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3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LaboratoryReagentInventorySpreadsheet\"/>
    </mc:Choice>
  </mc:AlternateContent>
  <xr:revisionPtr revIDLastSave="0" documentId="13_ncr:1_{3857D9C2-B2C5-4B5D-A1DC-EC0C2EBB0A47}" xr6:coauthVersionLast="34" xr6:coauthVersionMax="34" xr10:uidLastSave="{00000000-0000-0000-0000-000000000000}"/>
  <bookViews>
    <workbookView xWindow="0" yWindow="0" windowWidth="28800" windowHeight="12435" tabRatio="816" activeTab="1" xr2:uid="{00000000-000D-0000-FFFF-FFFF00000000}"/>
  </bookViews>
  <sheets>
    <sheet name="On Machine" sheetId="1" r:id="rId1"/>
    <sheet name="On Shelf" sheetId="2" r:id="rId2"/>
    <sheet name="Machine history" sheetId="3" r:id="rId3"/>
    <sheet name="Shelf history" sheetId="4" r:id="rId4"/>
    <sheet name="Machine history chart" sheetId="16" r:id="rId5"/>
    <sheet name="Shelf history chart" sheetId="325" r:id="rId6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9" i="2" l="1"/>
  <c r="B67" i="2"/>
  <c r="B66" i="2"/>
  <c r="B62" i="2"/>
  <c r="B40" i="2"/>
  <c r="B37" i="2"/>
  <c r="B68" i="2" l="1"/>
  <c r="B61" i="2"/>
  <c r="B60" i="2"/>
  <c r="B38" i="2"/>
  <c r="B2" i="2"/>
  <c r="B6" i="2" l="1"/>
  <c r="B4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Ainsworth, Eric</author>
  </authors>
  <commentList>
    <comment ref="W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Ainsworth, Eric:</t>
        </r>
        <r>
          <rPr>
            <sz val="9"/>
            <color indexed="81"/>
            <rFont val="Tahoma"/>
            <family val="2"/>
          </rPr>
          <t xml:space="preserve">
RETIRED
</t>
        </r>
      </text>
    </comment>
    <comment ref="A2" authorId="0" shapeId="0" xr:uid="{00000000-0006-0000-0200-0000B90A0000}">
      <text>
        <r>
          <rPr>
            <sz val="9"/>
            <color indexed="81"/>
            <rFont val="Tahoma"/>
            <charset val="1"/>
          </rPr>
          <t>Date macro run: 1/10/2018 10:18:57 PM</t>
        </r>
      </text>
    </comment>
    <comment ref="B2" authorId="0" shapeId="0" xr:uid="{00000000-0006-0000-0200-0000BA0A0000}">
      <text>
        <r>
          <rPr>
            <sz val="9"/>
            <color indexed="81"/>
            <rFont val="Tahoma"/>
            <charset val="1"/>
          </rPr>
          <t>Stability=29,Expiration=3/9/2019</t>
        </r>
      </text>
    </comment>
    <comment ref="C2" authorId="0" shapeId="0" xr:uid="{00000000-0006-0000-0200-0000BB0A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2" authorId="0" shapeId="0" xr:uid="{00000000-0006-0000-0200-0000BC0A0000}">
      <text>
        <r>
          <rPr>
            <sz val="9"/>
            <color indexed="81"/>
            <rFont val="Tahoma"/>
            <charset val="1"/>
          </rPr>
          <t>Stability=19,Expiration=7/4/2018</t>
        </r>
      </text>
    </comment>
    <comment ref="E2" authorId="0" shapeId="0" xr:uid="{00000000-0006-0000-0200-0000BD0A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F2" authorId="0" shapeId="0" xr:uid="{00000000-0006-0000-0200-0000BE0A0000}">
      <text>
        <r>
          <rPr>
            <sz val="9"/>
            <color indexed="81"/>
            <rFont val="Tahoma"/>
            <charset val="1"/>
          </rPr>
          <t>Stability=24,Expiration=3/13/2018</t>
        </r>
      </text>
    </comment>
    <comment ref="G2" authorId="0" shapeId="0" xr:uid="{00000000-0006-0000-0200-0000BF0A0000}">
      <text>
        <r>
          <rPr>
            <sz val="9"/>
            <color indexed="81"/>
            <rFont val="Tahoma"/>
            <charset val="1"/>
          </rPr>
          <t>Stability=9,Expiration=6/30/2018</t>
        </r>
      </text>
    </comment>
    <comment ref="H2" authorId="0" shapeId="0" xr:uid="{00000000-0006-0000-0200-0000C00A0000}">
      <text>
        <r>
          <rPr>
            <sz val="9"/>
            <color indexed="81"/>
            <rFont val="Tahoma"/>
            <charset val="1"/>
          </rPr>
          <t>Stability=8,Expiration=11/30/2018</t>
        </r>
      </text>
    </comment>
    <comment ref="I2" authorId="0" shapeId="0" xr:uid="{00000000-0006-0000-0200-0000C10A0000}">
      <text>
        <r>
          <rPr>
            <sz val="9"/>
            <color indexed="81"/>
            <rFont val="Tahoma"/>
            <charset val="1"/>
          </rPr>
          <t>Stability=28,Expiration=3/12/2018</t>
        </r>
      </text>
    </comment>
    <comment ref="J2" authorId="0" shapeId="0" xr:uid="{00000000-0006-0000-0200-0000C20A0000}">
      <text>
        <r>
          <rPr>
            <sz val="9"/>
            <color indexed="81"/>
            <rFont val="Tahoma"/>
            <charset val="1"/>
          </rPr>
          <t>Stability=21,Expiration=2/1/2018</t>
        </r>
      </text>
    </comment>
    <comment ref="K2" authorId="0" shapeId="0" xr:uid="{00000000-0006-0000-0200-0000C30A0000}">
      <text>
        <r>
          <rPr>
            <sz val="9"/>
            <color indexed="81"/>
            <rFont val="Tahoma"/>
            <charset val="1"/>
          </rPr>
          <t>Stability=8,Expiration=6/30/2018</t>
        </r>
      </text>
    </comment>
    <comment ref="L2" authorId="0" shapeId="0" xr:uid="{00000000-0006-0000-0200-0000C40A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2" authorId="0" shapeId="0" xr:uid="{00000000-0006-0000-0200-0000C50A0000}">
      <text>
        <r>
          <rPr>
            <sz val="9"/>
            <color indexed="81"/>
            <rFont val="Tahoma"/>
            <charset val="1"/>
          </rPr>
          <t>Stability=9,Expiration=4/30/2018</t>
        </r>
      </text>
    </comment>
    <comment ref="N2" authorId="0" shapeId="0" xr:uid="{00000000-0006-0000-0200-0000C60A0000}">
      <text>
        <r>
          <rPr>
            <sz val="9"/>
            <color indexed="81"/>
            <rFont val="Tahoma"/>
            <charset val="1"/>
          </rPr>
          <t>Stability=17,Expiration=5/31/2018</t>
        </r>
      </text>
    </comment>
    <comment ref="O2" authorId="0" shapeId="0" xr:uid="{00000000-0006-0000-0200-0000C7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" authorId="0" shapeId="0" xr:uid="{00000000-0006-0000-0200-0000C80A0000}">
      <text>
        <r>
          <rPr>
            <sz val="9"/>
            <color indexed="81"/>
            <rFont val="Tahoma"/>
            <charset val="1"/>
          </rPr>
          <t>Stability=13,Expiration=5/3/2019</t>
        </r>
      </text>
    </comment>
    <comment ref="Q2" authorId="0" shapeId="0" xr:uid="{00000000-0006-0000-0200-0000C90A0000}">
      <text>
        <r>
          <rPr>
            <sz val="9"/>
            <color indexed="81"/>
            <rFont val="Tahoma"/>
            <charset val="1"/>
          </rPr>
          <t>Stability=2,Expiration=2/6/2019</t>
        </r>
      </text>
    </comment>
    <comment ref="R2" authorId="0" shapeId="0" xr:uid="{00000000-0006-0000-0200-0000CA0A0000}">
      <text>
        <r>
          <rPr>
            <sz val="9"/>
            <color indexed="81"/>
            <rFont val="Tahoma"/>
            <charset val="1"/>
          </rPr>
          <t>Stability=55,Expiration=5/10/2018</t>
        </r>
      </text>
    </comment>
    <comment ref="S2" authorId="0" shapeId="0" xr:uid="{00000000-0006-0000-0200-0000C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" authorId="0" shapeId="0" xr:uid="{00000000-0006-0000-0200-0000CC0A0000}">
      <text>
        <r>
          <rPr>
            <sz val="9"/>
            <color indexed="81"/>
            <rFont val="Tahoma"/>
            <charset val="1"/>
          </rPr>
          <t>Stability=22,Expiration=8/4/2018</t>
        </r>
      </text>
    </comment>
    <comment ref="U2" authorId="0" shapeId="0" xr:uid="{00000000-0006-0000-0200-0000CD0A0000}">
      <text>
        <r>
          <rPr>
            <sz val="9"/>
            <color indexed="81"/>
            <rFont val="Tahoma"/>
            <charset val="1"/>
          </rPr>
          <t>Stability=19,Expiration=4/20/2018</t>
        </r>
      </text>
    </comment>
    <comment ref="V2" authorId="0" shapeId="0" xr:uid="{00000000-0006-0000-0200-0000CE0A0000}">
      <text>
        <r>
          <rPr>
            <sz val="9"/>
            <color indexed="81"/>
            <rFont val="Tahoma"/>
            <charset val="1"/>
          </rPr>
          <t>Stability=10,Expiration=8/17/2018</t>
        </r>
      </text>
    </comment>
    <comment ref="W2" authorId="0" shapeId="0" xr:uid="{00000000-0006-0000-0200-0000CF0A0000}">
      <text>
        <r>
          <rPr>
            <sz val="9"/>
            <color indexed="81"/>
            <rFont val="Tahoma"/>
            <charset val="1"/>
          </rPr>
          <t>Stability=16,Expiration=3/31/2019</t>
        </r>
      </text>
    </comment>
    <comment ref="X2" authorId="0" shapeId="0" xr:uid="{00000000-0006-0000-0200-0000D00A0000}">
      <text>
        <r>
          <rPr>
            <sz val="9"/>
            <color indexed="81"/>
            <rFont val="Tahoma"/>
            <charset val="1"/>
          </rPr>
          <t>Stability=21,Expiration=5/27/2018</t>
        </r>
      </text>
    </comment>
    <comment ref="Y2" authorId="0" shapeId="0" xr:uid="{00000000-0006-0000-0200-0000D10A0000}">
      <text>
        <r>
          <rPr>
            <sz val="9"/>
            <color indexed="81"/>
            <rFont val="Tahoma"/>
            <charset val="1"/>
          </rPr>
          <t>Stability=28,Expiration=3/4/2019</t>
        </r>
      </text>
    </comment>
    <comment ref="Z2" authorId="0" shapeId="0" xr:uid="{00000000-0006-0000-0200-0000D20A0000}">
      <text>
        <r>
          <rPr>
            <sz val="9"/>
            <color indexed="81"/>
            <rFont val="Tahoma"/>
            <charset val="1"/>
          </rPr>
          <t>Stability=6,Expiration=6/30/2018</t>
        </r>
      </text>
    </comment>
    <comment ref="AA2" authorId="0" shapeId="0" xr:uid="{00000000-0006-0000-0200-0000D30A0000}">
      <text>
        <r>
          <rPr>
            <sz val="9"/>
            <color indexed="81"/>
            <rFont val="Tahoma"/>
            <charset val="1"/>
          </rPr>
          <t>Stability=21,Expiration=11/12/2018</t>
        </r>
      </text>
    </comment>
    <comment ref="AB2" authorId="0" shapeId="0" xr:uid="{00000000-0006-0000-0200-0000D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" authorId="0" shapeId="0" xr:uid="{00000000-0006-0000-0200-0000D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" authorId="0" shapeId="0" xr:uid="{00000000-0006-0000-0200-0000D6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" authorId="0" shapeId="0" xr:uid="{00000000-0006-0000-0200-0000D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" authorId="0" shapeId="0" xr:uid="{00000000-0006-0000-0200-0000D8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" authorId="0" shapeId="0" xr:uid="{00000000-0006-0000-0200-0000D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" authorId="0" shapeId="0" xr:uid="{00000000-0006-0000-0200-0000DA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" authorId="0" shapeId="0" xr:uid="{00000000-0006-0000-0200-0000D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" authorId="0" shapeId="0" xr:uid="{00000000-0006-0000-0200-0000DC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" authorId="0" shapeId="0" xr:uid="{00000000-0006-0000-0200-0000DD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" authorId="0" shapeId="0" xr:uid="{00000000-0006-0000-0200-0000DE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" authorId="0" shapeId="0" xr:uid="{00000000-0006-0000-0200-0000D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" authorId="0" shapeId="0" xr:uid="{00000000-0006-0000-0200-0000E0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" authorId="0" shapeId="0" xr:uid="{00000000-0006-0000-0200-0000E1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" authorId="0" shapeId="0" xr:uid="{00000000-0006-0000-0200-0000E2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" authorId="0" shapeId="0" xr:uid="{00000000-0006-0000-0200-0000E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" authorId="0" shapeId="0" xr:uid="{00000000-0006-0000-0200-0000E40A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" authorId="0" shapeId="0" xr:uid="{00000000-0006-0000-0200-0000E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" authorId="0" shapeId="0" xr:uid="{00000000-0006-0000-0200-0000E6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" authorId="0" shapeId="0" xr:uid="{00000000-0006-0000-0200-0000E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" authorId="0" shapeId="0" xr:uid="{00000000-0006-0000-0200-0000E80A0000}">
      <text>
        <r>
          <rPr>
            <sz val="9"/>
            <color indexed="81"/>
            <rFont val="Tahoma"/>
            <charset val="1"/>
          </rPr>
          <t>Stability=5,Expiration=6/30/2018</t>
        </r>
      </text>
    </comment>
    <comment ref="A3" authorId="0" shapeId="0" xr:uid="{00000000-0006-0000-0200-0000E90A0000}">
      <text>
        <r>
          <rPr>
            <sz val="9"/>
            <color indexed="81"/>
            <rFont val="Tahoma"/>
            <charset val="1"/>
          </rPr>
          <t>Date macro run: 1/11/2018 9:24:41 PM</t>
        </r>
      </text>
    </comment>
    <comment ref="B3" authorId="0" shapeId="0" xr:uid="{00000000-0006-0000-0200-0000EA0A0000}">
      <text>
        <r>
          <rPr>
            <sz val="9"/>
            <color indexed="81"/>
            <rFont val="Tahoma"/>
            <charset val="1"/>
          </rPr>
          <t>Stability=29,Expiration=3/9/2019</t>
        </r>
      </text>
    </comment>
    <comment ref="C3" authorId="0" shapeId="0" xr:uid="{00000000-0006-0000-0200-0000EB0A0000}">
      <text>
        <r>
          <rPr>
            <sz val="9"/>
            <color indexed="81"/>
            <rFont val="Tahoma"/>
            <charset val="1"/>
          </rPr>
          <t>Stability=4,Expiration=10/22/2018</t>
        </r>
      </text>
    </comment>
    <comment ref="D3" authorId="0" shapeId="0" xr:uid="{00000000-0006-0000-0200-0000EC0A0000}">
      <text>
        <r>
          <rPr>
            <sz val="9"/>
            <color indexed="81"/>
            <rFont val="Tahoma"/>
            <charset val="1"/>
          </rPr>
          <t>Stability=18,Expiration=7/4/2018</t>
        </r>
      </text>
    </comment>
    <comment ref="E3" authorId="0" shapeId="0" xr:uid="{00000000-0006-0000-0200-0000ED0A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F3" authorId="0" shapeId="0" xr:uid="{00000000-0006-0000-0200-0000EE0A0000}">
      <text>
        <r>
          <rPr>
            <sz val="9"/>
            <color indexed="81"/>
            <rFont val="Tahoma"/>
            <charset val="1"/>
          </rPr>
          <t>Stability=24,Expiration=3/13/2018</t>
        </r>
      </text>
    </comment>
    <comment ref="G3" authorId="0" shapeId="0" xr:uid="{00000000-0006-0000-0200-0000EF0A0000}">
      <text>
        <r>
          <rPr>
            <sz val="9"/>
            <color indexed="81"/>
            <rFont val="Tahoma"/>
            <charset val="1"/>
          </rPr>
          <t>Stability=8,Expiration=6/30/2018</t>
        </r>
      </text>
    </comment>
    <comment ref="H3" authorId="0" shapeId="0" xr:uid="{00000000-0006-0000-0200-0000F00A0000}">
      <text>
        <r>
          <rPr>
            <sz val="9"/>
            <color indexed="81"/>
            <rFont val="Tahoma"/>
            <charset val="1"/>
          </rPr>
          <t>Stability=8,Expiration=11/30/2018</t>
        </r>
      </text>
    </comment>
    <comment ref="I3" authorId="0" shapeId="0" xr:uid="{00000000-0006-0000-0200-0000F10A0000}">
      <text>
        <r>
          <rPr>
            <sz val="9"/>
            <color indexed="81"/>
            <rFont val="Tahoma"/>
            <charset val="1"/>
          </rPr>
          <t>Stability=27,Expiration=3/12/2018</t>
        </r>
      </text>
    </comment>
    <comment ref="J3" authorId="0" shapeId="0" xr:uid="{00000000-0006-0000-0200-0000F20A0000}">
      <text>
        <r>
          <rPr>
            <sz val="9"/>
            <color indexed="81"/>
            <rFont val="Tahoma"/>
            <charset val="1"/>
          </rPr>
          <t>Stability=20,Expiration=2/1/2018</t>
        </r>
      </text>
    </comment>
    <comment ref="K3" authorId="0" shapeId="0" xr:uid="{00000000-0006-0000-0200-0000F30A0000}">
      <text>
        <r>
          <rPr>
            <sz val="9"/>
            <color indexed="81"/>
            <rFont val="Tahoma"/>
            <charset val="1"/>
          </rPr>
          <t>Stability=8,Expiration=6/30/2018</t>
        </r>
      </text>
    </comment>
    <comment ref="L3" authorId="0" shapeId="0" xr:uid="{00000000-0006-0000-0200-0000F40A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3" authorId="0" shapeId="0" xr:uid="{00000000-0006-0000-0200-0000F50A0000}">
      <text>
        <r>
          <rPr>
            <sz val="9"/>
            <color indexed="81"/>
            <rFont val="Tahoma"/>
            <charset val="1"/>
          </rPr>
          <t>Stability=8,Expiration=4/30/2018</t>
        </r>
      </text>
    </comment>
    <comment ref="N3" authorId="0" shapeId="0" xr:uid="{00000000-0006-0000-0200-0000F60A0000}">
      <text>
        <r>
          <rPr>
            <sz val="9"/>
            <color indexed="81"/>
            <rFont val="Tahoma"/>
            <charset val="1"/>
          </rPr>
          <t>Stability=17,Expiration=5/31/2018</t>
        </r>
      </text>
    </comment>
    <comment ref="O3" authorId="0" shapeId="0" xr:uid="{00000000-0006-0000-0200-0000F7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3" authorId="0" shapeId="0" xr:uid="{00000000-0006-0000-0200-0000F80A0000}">
      <text>
        <r>
          <rPr>
            <sz val="9"/>
            <color indexed="81"/>
            <rFont val="Tahoma"/>
            <charset val="1"/>
          </rPr>
          <t>Stability=13,Expiration=5/3/2019</t>
        </r>
      </text>
    </comment>
    <comment ref="Q3" authorId="0" shapeId="0" xr:uid="{00000000-0006-0000-0200-0000F90A0000}">
      <text>
        <r>
          <rPr>
            <sz val="9"/>
            <color indexed="81"/>
            <rFont val="Tahoma"/>
            <charset val="1"/>
          </rPr>
          <t>Stability=30,Expiration=2/6/2019</t>
        </r>
      </text>
    </comment>
    <comment ref="R3" authorId="0" shapeId="0" xr:uid="{00000000-0006-0000-0200-0000FA0A0000}">
      <text>
        <r>
          <rPr>
            <sz val="9"/>
            <color indexed="81"/>
            <rFont val="Tahoma"/>
            <charset val="1"/>
          </rPr>
          <t>Stability=54,Expiration=5/10/2018</t>
        </r>
      </text>
    </comment>
    <comment ref="S3" authorId="0" shapeId="0" xr:uid="{00000000-0006-0000-0200-0000F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" authorId="0" shapeId="0" xr:uid="{00000000-0006-0000-0200-0000FC0A0000}">
      <text>
        <r>
          <rPr>
            <sz val="9"/>
            <color indexed="81"/>
            <rFont val="Tahoma"/>
            <charset val="1"/>
          </rPr>
          <t>Stability=21,Expiration=8/4/2018</t>
        </r>
      </text>
    </comment>
    <comment ref="U3" authorId="0" shapeId="0" xr:uid="{00000000-0006-0000-0200-0000FD0A0000}">
      <text>
        <r>
          <rPr>
            <sz val="9"/>
            <color indexed="81"/>
            <rFont val="Tahoma"/>
            <charset val="1"/>
          </rPr>
          <t>Stability=19,Expiration=4/20/2018</t>
        </r>
      </text>
    </comment>
    <comment ref="V3" authorId="0" shapeId="0" xr:uid="{00000000-0006-0000-0200-0000FE0A0000}">
      <text>
        <r>
          <rPr>
            <sz val="9"/>
            <color indexed="81"/>
            <rFont val="Tahoma"/>
            <charset val="1"/>
          </rPr>
          <t>Stability=30,Expiration=8/17/2018</t>
        </r>
      </text>
    </comment>
    <comment ref="W3" authorId="0" shapeId="0" xr:uid="{00000000-0006-0000-0200-0000FF0A0000}">
      <text>
        <r>
          <rPr>
            <sz val="9"/>
            <color indexed="81"/>
            <rFont val="Tahoma"/>
            <charset val="1"/>
          </rPr>
          <t>Stability=15,Expiration=3/31/2019</t>
        </r>
      </text>
    </comment>
    <comment ref="X3" authorId="0" shapeId="0" xr:uid="{00000000-0006-0000-0200-0000000B0000}">
      <text>
        <r>
          <rPr>
            <sz val="9"/>
            <color indexed="81"/>
            <rFont val="Tahoma"/>
            <charset val="1"/>
          </rPr>
          <t>Stability=20,Expiration=5/27/2018</t>
        </r>
      </text>
    </comment>
    <comment ref="Y3" authorId="0" shapeId="0" xr:uid="{00000000-0006-0000-0200-0000010B0000}">
      <text>
        <r>
          <rPr>
            <sz val="9"/>
            <color indexed="81"/>
            <rFont val="Tahoma"/>
            <charset val="1"/>
          </rPr>
          <t>Stability=27,Expiration=3/4/2019</t>
        </r>
      </text>
    </comment>
    <comment ref="Z3" authorId="0" shapeId="0" xr:uid="{00000000-0006-0000-0200-0000020B0000}">
      <text>
        <r>
          <rPr>
            <sz val="9"/>
            <color indexed="81"/>
            <rFont val="Tahoma"/>
            <charset val="1"/>
          </rPr>
          <t>Stability=30,Expiration=6/30/2018</t>
        </r>
      </text>
    </comment>
    <comment ref="AA3" authorId="0" shapeId="0" xr:uid="{00000000-0006-0000-0200-0000030B0000}">
      <text>
        <r>
          <rPr>
            <sz val="9"/>
            <color indexed="81"/>
            <rFont val="Tahoma"/>
            <charset val="1"/>
          </rPr>
          <t>Stability=20,Expiration=11/12/2018</t>
        </r>
      </text>
    </comment>
    <comment ref="AB3" authorId="0" shapeId="0" xr:uid="{00000000-0006-0000-0200-00000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" authorId="0" shapeId="0" xr:uid="{00000000-0006-0000-0200-00000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" authorId="0" shapeId="0" xr:uid="{00000000-0006-0000-0200-00000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" authorId="0" shapeId="0" xr:uid="{00000000-0006-0000-0200-00000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" authorId="0" shapeId="0" xr:uid="{00000000-0006-0000-0200-00000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" authorId="0" shapeId="0" xr:uid="{00000000-0006-0000-0200-00000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" authorId="0" shapeId="0" xr:uid="{00000000-0006-0000-0200-00000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" authorId="0" shapeId="0" xr:uid="{00000000-0006-0000-0200-00000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" authorId="0" shapeId="0" xr:uid="{00000000-0006-0000-0200-00000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" authorId="0" shapeId="0" xr:uid="{00000000-0006-0000-0200-00000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" authorId="0" shapeId="0" xr:uid="{00000000-0006-0000-0200-00000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" authorId="0" shapeId="0" xr:uid="{00000000-0006-0000-0200-00000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" authorId="0" shapeId="0" xr:uid="{00000000-0006-0000-0200-00001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" authorId="0" shapeId="0" xr:uid="{00000000-0006-0000-0200-00001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" authorId="0" shapeId="0" xr:uid="{00000000-0006-0000-0200-00001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" authorId="0" shapeId="0" xr:uid="{00000000-0006-0000-0200-00001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" authorId="0" shapeId="0" xr:uid="{00000000-0006-0000-0200-00001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" authorId="0" shapeId="0" xr:uid="{00000000-0006-0000-0200-00001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" authorId="0" shapeId="0" xr:uid="{00000000-0006-0000-0200-00001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" authorId="0" shapeId="0" xr:uid="{00000000-0006-0000-0200-00001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" authorId="0" shapeId="0" xr:uid="{00000000-0006-0000-0200-0000180B0000}">
      <text>
        <r>
          <rPr>
            <sz val="9"/>
            <color indexed="81"/>
            <rFont val="Tahoma"/>
            <charset val="1"/>
          </rPr>
          <t>Stability=4,Expiration=6/30/2018</t>
        </r>
      </text>
    </comment>
    <comment ref="A4" authorId="0" shapeId="0" xr:uid="{00000000-0006-0000-0200-0000190B0000}">
      <text>
        <r>
          <rPr>
            <sz val="9"/>
            <color indexed="81"/>
            <rFont val="Tahoma"/>
            <charset val="1"/>
          </rPr>
          <t>Date macro run: 1/15/2018 9:41:23 PM</t>
        </r>
      </text>
    </comment>
    <comment ref="B4" authorId="0" shapeId="0" xr:uid="{00000000-0006-0000-0200-00001A0B0000}">
      <text>
        <r>
          <rPr>
            <sz val="9"/>
            <color indexed="81"/>
            <rFont val="Tahoma"/>
            <charset val="1"/>
          </rPr>
          <t>Stability=24,Expiration=3/9/2019</t>
        </r>
      </text>
    </comment>
    <comment ref="C4" authorId="0" shapeId="0" xr:uid="{00000000-0006-0000-0200-00001B0B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4" authorId="0" shapeId="0" xr:uid="{00000000-0006-0000-0200-00001C0B0000}">
      <text>
        <r>
          <rPr>
            <sz val="9"/>
            <color indexed="81"/>
            <rFont val="Tahoma"/>
            <charset val="1"/>
          </rPr>
          <t>Stability=24,Expiration=7/4/2018</t>
        </r>
      </text>
    </comment>
    <comment ref="E4" authorId="0" shapeId="0" xr:uid="{00000000-0006-0000-0200-00001D0B0000}">
      <text>
        <r>
          <rPr>
            <sz val="9"/>
            <color indexed="81"/>
            <rFont val="Tahoma"/>
            <charset val="1"/>
          </rPr>
          <t>Stability=7,Expiration=10/31/2018</t>
        </r>
      </text>
    </comment>
    <comment ref="F4" authorId="0" shapeId="0" xr:uid="{00000000-0006-0000-0200-00001E0B0000}">
      <text>
        <r>
          <rPr>
            <sz val="9"/>
            <color indexed="81"/>
            <rFont val="Tahoma"/>
            <charset val="1"/>
          </rPr>
          <t>Stability=19,Expiration=3/13/2018</t>
        </r>
      </text>
    </comment>
    <comment ref="G4" authorId="0" shapeId="0" xr:uid="{00000000-0006-0000-0200-00001F0B0000}">
      <text>
        <r>
          <rPr>
            <sz val="9"/>
            <color indexed="81"/>
            <rFont val="Tahoma"/>
            <charset val="1"/>
          </rPr>
          <t>Stability=4,Expiration=6/30/2018</t>
        </r>
      </text>
    </comment>
    <comment ref="H4" authorId="0" shapeId="0" xr:uid="{00000000-0006-0000-0200-0000200B0000}">
      <text>
        <r>
          <rPr>
            <sz val="9"/>
            <color indexed="81"/>
            <rFont val="Tahoma"/>
            <charset val="1"/>
          </rPr>
          <t>Stability=3,Expiration=11/30/2018</t>
        </r>
      </text>
    </comment>
    <comment ref="I4" authorId="0" shapeId="0" xr:uid="{00000000-0006-0000-0200-0000210B0000}">
      <text>
        <r>
          <rPr>
            <sz val="9"/>
            <color indexed="81"/>
            <rFont val="Tahoma"/>
            <charset val="1"/>
          </rPr>
          <t>Stability=23,Expiration=3/12/2018</t>
        </r>
      </text>
    </comment>
    <comment ref="J4" authorId="0" shapeId="0" xr:uid="{00000000-0006-0000-0200-0000220B0000}">
      <text>
        <r>
          <rPr>
            <sz val="9"/>
            <color indexed="81"/>
            <rFont val="Tahoma"/>
            <charset val="1"/>
          </rPr>
          <t>Stability=16,Expiration=2/1/2018</t>
        </r>
      </text>
    </comment>
    <comment ref="K4" authorId="0" shapeId="0" xr:uid="{00000000-0006-0000-0200-0000230B0000}">
      <text>
        <r>
          <rPr>
            <sz val="9"/>
            <color indexed="81"/>
            <rFont val="Tahoma"/>
            <charset val="1"/>
          </rPr>
          <t>Stability=3,Expiration=6/30/2018</t>
        </r>
      </text>
    </comment>
    <comment ref="L4" authorId="0" shapeId="0" xr:uid="{00000000-0006-0000-0200-0000240B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4" authorId="0" shapeId="0" xr:uid="{00000000-0006-0000-0200-0000250B0000}">
      <text>
        <r>
          <rPr>
            <sz val="9"/>
            <color indexed="81"/>
            <rFont val="Tahoma"/>
            <charset val="1"/>
          </rPr>
          <t>Stability=4,Expiration=4/30/2018</t>
        </r>
      </text>
    </comment>
    <comment ref="N4" authorId="0" shapeId="0" xr:uid="{00000000-0006-0000-0200-0000260B0000}">
      <text>
        <r>
          <rPr>
            <sz val="9"/>
            <color indexed="81"/>
            <rFont val="Tahoma"/>
            <charset val="1"/>
          </rPr>
          <t>Stability=12,Expiration=5/31/2018</t>
        </r>
      </text>
    </comment>
    <comment ref="O4" authorId="0" shapeId="0" xr:uid="{00000000-0006-0000-0200-00002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4" authorId="0" shapeId="0" xr:uid="{00000000-0006-0000-0200-0000280B0000}">
      <text>
        <r>
          <rPr>
            <sz val="9"/>
            <color indexed="81"/>
            <rFont val="Tahoma"/>
            <charset val="1"/>
          </rPr>
          <t>Stability=8,Expiration=5/3/2019</t>
        </r>
      </text>
    </comment>
    <comment ref="Q4" authorId="0" shapeId="0" xr:uid="{00000000-0006-0000-0200-0000290B0000}">
      <text>
        <r>
          <rPr>
            <sz val="9"/>
            <color indexed="81"/>
            <rFont val="Tahoma"/>
            <charset val="1"/>
          </rPr>
          <t>Stability=25,Expiration=2/6/2019</t>
        </r>
      </text>
    </comment>
    <comment ref="R4" authorId="0" shapeId="0" xr:uid="{00000000-0006-0000-0200-00002A0B0000}">
      <text>
        <r>
          <rPr>
            <sz val="9"/>
            <color indexed="81"/>
            <rFont val="Tahoma"/>
            <charset val="1"/>
          </rPr>
          <t>Stability=50,Expiration=5/10/2018</t>
        </r>
      </text>
    </comment>
    <comment ref="S4" authorId="0" shapeId="0" xr:uid="{00000000-0006-0000-0200-00002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" authorId="0" shapeId="0" xr:uid="{00000000-0006-0000-0200-00002C0B0000}">
      <text>
        <r>
          <rPr>
            <sz val="9"/>
            <color indexed="81"/>
            <rFont val="Tahoma"/>
            <charset val="1"/>
          </rPr>
          <t>Stability=17,Expiration=8/4/2018</t>
        </r>
      </text>
    </comment>
    <comment ref="U4" authorId="0" shapeId="0" xr:uid="{00000000-0006-0000-0200-00002D0B0000}">
      <text>
        <r>
          <rPr>
            <sz val="9"/>
            <color indexed="81"/>
            <rFont val="Tahoma"/>
            <charset val="1"/>
          </rPr>
          <t>Stability=14,Expiration=4/20/2018</t>
        </r>
      </text>
    </comment>
    <comment ref="V4" authorId="0" shapeId="0" xr:uid="{00000000-0006-0000-0200-00002E0B0000}">
      <text>
        <r>
          <rPr>
            <sz val="9"/>
            <color indexed="81"/>
            <rFont val="Tahoma"/>
            <charset val="1"/>
          </rPr>
          <t>Stability=26,Expiration=8/17/2018</t>
        </r>
      </text>
    </comment>
    <comment ref="W4" authorId="0" shapeId="0" xr:uid="{00000000-0006-0000-0200-00002F0B0000}">
      <text>
        <r>
          <rPr>
            <sz val="9"/>
            <color indexed="81"/>
            <rFont val="Tahoma"/>
            <charset val="1"/>
          </rPr>
          <t>Stability=27,Expiration=3/31/2019</t>
        </r>
      </text>
    </comment>
    <comment ref="X4" authorId="0" shapeId="0" xr:uid="{00000000-0006-0000-0200-0000300B0000}">
      <text>
        <r>
          <rPr>
            <sz val="9"/>
            <color indexed="81"/>
            <rFont val="Tahoma"/>
            <charset val="1"/>
          </rPr>
          <t>Stability=16,Expiration=5/27/2018</t>
        </r>
      </text>
    </comment>
    <comment ref="Y4" authorId="0" shapeId="0" xr:uid="{00000000-0006-0000-0200-0000310B0000}">
      <text>
        <r>
          <rPr>
            <sz val="9"/>
            <color indexed="81"/>
            <rFont val="Tahoma"/>
            <charset val="1"/>
          </rPr>
          <t>Stability=23,Expiration=3/4/2019</t>
        </r>
      </text>
    </comment>
    <comment ref="Z4" authorId="0" shapeId="0" xr:uid="{00000000-0006-0000-0200-0000320B0000}">
      <text>
        <r>
          <rPr>
            <sz val="9"/>
            <color indexed="81"/>
            <rFont val="Tahoma"/>
            <charset val="1"/>
          </rPr>
          <t>Stability=26,Expiration=6/30/2018</t>
        </r>
      </text>
    </comment>
    <comment ref="AA4" authorId="0" shapeId="0" xr:uid="{00000000-0006-0000-0200-0000330B0000}">
      <text>
        <r>
          <rPr>
            <sz val="9"/>
            <color indexed="81"/>
            <rFont val="Tahoma"/>
            <charset val="1"/>
          </rPr>
          <t>Stability=16,Expiration=11/12/2018</t>
        </r>
      </text>
    </comment>
    <comment ref="AB4" authorId="0" shapeId="0" xr:uid="{00000000-0006-0000-0200-00003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" authorId="0" shapeId="0" xr:uid="{00000000-0006-0000-0200-00003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" authorId="0" shapeId="0" xr:uid="{00000000-0006-0000-0200-00003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" authorId="0" shapeId="0" xr:uid="{00000000-0006-0000-0200-00003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" authorId="0" shapeId="0" xr:uid="{00000000-0006-0000-0200-00003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" authorId="0" shapeId="0" xr:uid="{00000000-0006-0000-0200-00003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" authorId="0" shapeId="0" xr:uid="{00000000-0006-0000-0200-00003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" authorId="0" shapeId="0" xr:uid="{00000000-0006-0000-0200-00003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" authorId="0" shapeId="0" xr:uid="{00000000-0006-0000-0200-00003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" authorId="0" shapeId="0" xr:uid="{00000000-0006-0000-0200-00003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" authorId="0" shapeId="0" xr:uid="{00000000-0006-0000-0200-00003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" authorId="0" shapeId="0" xr:uid="{00000000-0006-0000-0200-00003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" authorId="0" shapeId="0" xr:uid="{00000000-0006-0000-0200-00004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" authorId="0" shapeId="0" xr:uid="{00000000-0006-0000-0200-00004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" authorId="0" shapeId="0" xr:uid="{00000000-0006-0000-0200-00004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" authorId="0" shapeId="0" xr:uid="{00000000-0006-0000-0200-00004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" authorId="0" shapeId="0" xr:uid="{00000000-0006-0000-0200-00004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" authorId="0" shapeId="0" xr:uid="{00000000-0006-0000-0200-00004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" authorId="0" shapeId="0" xr:uid="{00000000-0006-0000-0200-00004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" authorId="0" shapeId="0" xr:uid="{00000000-0006-0000-0200-00004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" authorId="0" shapeId="0" xr:uid="{00000000-0006-0000-0200-0000480B0000}">
      <text>
        <r>
          <rPr>
            <sz val="9"/>
            <color indexed="81"/>
            <rFont val="Tahoma"/>
            <charset val="1"/>
          </rPr>
          <t>Stability=27,Expiration=6/30/2018</t>
        </r>
      </text>
    </comment>
    <comment ref="A5" authorId="0" shapeId="0" xr:uid="{00000000-0006-0000-0200-0000490B0000}">
      <text>
        <r>
          <rPr>
            <sz val="9"/>
            <color indexed="81"/>
            <rFont val="Tahoma"/>
            <charset val="1"/>
          </rPr>
          <t>Date macro run: 1/17/2018 10:14:01 PM</t>
        </r>
      </text>
    </comment>
    <comment ref="B5" authorId="0" shapeId="0" xr:uid="{00000000-0006-0000-0200-00004A0B0000}">
      <text>
        <r>
          <rPr>
            <sz val="9"/>
            <color indexed="81"/>
            <rFont val="Tahoma"/>
            <charset val="1"/>
          </rPr>
          <t>Stability=22,Expiration=3/9/2019</t>
        </r>
      </text>
    </comment>
    <comment ref="C5" authorId="0" shapeId="0" xr:uid="{00000000-0006-0000-0200-00004B0B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5" authorId="0" shapeId="0" xr:uid="{00000000-0006-0000-0200-00004C0B0000}">
      <text>
        <r>
          <rPr>
            <sz val="9"/>
            <color indexed="81"/>
            <rFont val="Tahoma"/>
            <charset val="1"/>
          </rPr>
          <t>Stability=21,Expiration=7/4/2018</t>
        </r>
      </text>
    </comment>
    <comment ref="E5" authorId="0" shapeId="0" xr:uid="{00000000-0006-0000-0200-00004D0B0000}">
      <text>
        <r>
          <rPr>
            <sz val="9"/>
            <color indexed="81"/>
            <rFont val="Tahoma"/>
            <charset val="1"/>
          </rPr>
          <t>Stability=14,Expiration=10/31/2018</t>
        </r>
      </text>
    </comment>
    <comment ref="F5" authorId="0" shapeId="0" xr:uid="{00000000-0006-0000-0200-00004E0B0000}">
      <text>
        <r>
          <rPr>
            <sz val="9"/>
            <color indexed="81"/>
            <rFont val="Tahoma"/>
            <charset val="1"/>
          </rPr>
          <t>Stability=17,Expiration=3/13/2018</t>
        </r>
      </text>
    </comment>
    <comment ref="G5" authorId="0" shapeId="0" xr:uid="{00000000-0006-0000-0200-00004F0B0000}">
      <text>
        <r>
          <rPr>
            <sz val="9"/>
            <color indexed="81"/>
            <rFont val="Tahoma"/>
            <charset val="1"/>
          </rPr>
          <t>Stability=1,Expiration=6/30/2018</t>
        </r>
      </text>
    </comment>
    <comment ref="H5" authorId="0" shapeId="0" xr:uid="{00000000-0006-0000-0200-0000500B0000}">
      <text>
        <r>
          <rPr>
            <sz val="9"/>
            <color indexed="81"/>
            <rFont val="Tahoma"/>
            <charset val="1"/>
          </rPr>
          <t>Stability=1,Expiration=11/30/2018</t>
        </r>
      </text>
    </comment>
    <comment ref="I5" authorId="0" shapeId="0" xr:uid="{00000000-0006-0000-0200-0000510B0000}">
      <text>
        <r>
          <rPr>
            <sz val="9"/>
            <color indexed="81"/>
            <rFont val="Tahoma"/>
            <charset val="1"/>
          </rPr>
          <t>Stability=21,Expiration=3/12/2018</t>
        </r>
      </text>
    </comment>
    <comment ref="J5" authorId="0" shapeId="0" xr:uid="{00000000-0006-0000-0200-0000520B0000}">
      <text>
        <r>
          <rPr>
            <sz val="9"/>
            <color indexed="81"/>
            <rFont val="Tahoma"/>
            <charset val="1"/>
          </rPr>
          <t>Stability=14,Expiration=2/1/2018</t>
        </r>
      </text>
    </comment>
    <comment ref="K5" authorId="0" shapeId="0" xr:uid="{00000000-0006-0000-0200-0000530B0000}">
      <text>
        <r>
          <rPr>
            <sz val="9"/>
            <color indexed="81"/>
            <rFont val="Tahoma"/>
            <charset val="1"/>
          </rPr>
          <t>Stability=1,Expiration=6/30/2018</t>
        </r>
      </text>
    </comment>
    <comment ref="L5" authorId="0" shapeId="0" xr:uid="{00000000-0006-0000-0200-0000540B0000}">
      <text>
        <r>
          <rPr>
            <sz val="9"/>
            <color indexed="81"/>
            <rFont val="Tahoma"/>
            <charset val="1"/>
          </rPr>
          <t>Stability=3,Expiration=1/7/2019</t>
        </r>
      </text>
    </comment>
    <comment ref="M5" authorId="0" shapeId="0" xr:uid="{00000000-0006-0000-0200-0000550B0000}">
      <text>
        <r>
          <rPr>
            <sz val="9"/>
            <color indexed="81"/>
            <rFont val="Tahoma"/>
            <charset val="1"/>
          </rPr>
          <t>Stability=2,Expiration=4/30/2018</t>
        </r>
      </text>
    </comment>
    <comment ref="N5" authorId="0" shapeId="0" xr:uid="{00000000-0006-0000-0200-0000560B0000}">
      <text>
        <r>
          <rPr>
            <sz val="9"/>
            <color indexed="81"/>
            <rFont val="Tahoma"/>
            <charset val="1"/>
          </rPr>
          <t>Stability=28,Expiration=5/31/2018</t>
        </r>
      </text>
    </comment>
    <comment ref="O5" authorId="0" shapeId="0" xr:uid="{00000000-0006-0000-0200-00005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5" authorId="0" shapeId="0" xr:uid="{00000000-0006-0000-0200-0000580B0000}">
      <text>
        <r>
          <rPr>
            <sz val="9"/>
            <color indexed="81"/>
            <rFont val="Tahoma"/>
            <charset val="1"/>
          </rPr>
          <t>Stability=6,Expiration=5/3/2019</t>
        </r>
      </text>
    </comment>
    <comment ref="Q5" authorId="0" shapeId="0" xr:uid="{00000000-0006-0000-0200-0000590B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5" authorId="0" shapeId="0" xr:uid="{00000000-0006-0000-0200-00005A0B0000}">
      <text>
        <r>
          <rPr>
            <sz val="9"/>
            <color indexed="81"/>
            <rFont val="Tahoma"/>
            <charset val="1"/>
          </rPr>
          <t>Stability=47,Expiration=5/10/2018</t>
        </r>
      </text>
    </comment>
    <comment ref="S5" authorId="0" shapeId="0" xr:uid="{00000000-0006-0000-0200-00005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" authorId="0" shapeId="0" xr:uid="{00000000-0006-0000-0200-00005C0B0000}">
      <text>
        <r>
          <rPr>
            <sz val="9"/>
            <color indexed="81"/>
            <rFont val="Tahoma"/>
            <charset val="1"/>
          </rPr>
          <t>Stability=15,Expiration=8/4/2018</t>
        </r>
      </text>
    </comment>
    <comment ref="U5" authorId="0" shapeId="0" xr:uid="{00000000-0006-0000-0200-00005D0B0000}">
      <text>
        <r>
          <rPr>
            <sz val="9"/>
            <color indexed="81"/>
            <rFont val="Tahoma"/>
            <charset val="1"/>
          </rPr>
          <t>Stability=12,Expiration=4/20/2018</t>
        </r>
      </text>
    </comment>
    <comment ref="V5" authorId="0" shapeId="0" xr:uid="{00000000-0006-0000-0200-00005E0B0000}">
      <text>
        <r>
          <rPr>
            <sz val="9"/>
            <color indexed="81"/>
            <rFont val="Tahoma"/>
            <charset val="1"/>
          </rPr>
          <t>Stability=24,Expiration=8/17/2018</t>
        </r>
      </text>
    </comment>
    <comment ref="W5" authorId="0" shapeId="0" xr:uid="{00000000-0006-0000-0200-00005F0B0000}">
      <text>
        <r>
          <rPr>
            <sz val="9"/>
            <color indexed="81"/>
            <rFont val="Tahoma"/>
            <charset val="1"/>
          </rPr>
          <t>Stability=25,Expiration=3/31/2019</t>
        </r>
      </text>
    </comment>
    <comment ref="X5" authorId="0" shapeId="0" xr:uid="{00000000-0006-0000-0200-0000600B0000}">
      <text>
        <r>
          <rPr>
            <sz val="9"/>
            <color indexed="81"/>
            <rFont val="Tahoma"/>
            <charset val="1"/>
          </rPr>
          <t>Stability=14,Expiration=5/27/2018</t>
        </r>
      </text>
    </comment>
    <comment ref="Y5" authorId="0" shapeId="0" xr:uid="{00000000-0006-0000-0200-0000610B0000}">
      <text>
        <r>
          <rPr>
            <sz val="9"/>
            <color indexed="81"/>
            <rFont val="Tahoma"/>
            <charset val="1"/>
          </rPr>
          <t>Stability=21,Expiration=3/4/2019</t>
        </r>
      </text>
    </comment>
    <comment ref="Z5" authorId="0" shapeId="0" xr:uid="{00000000-0006-0000-0200-0000620B0000}">
      <text>
        <r>
          <rPr>
            <sz val="9"/>
            <color indexed="81"/>
            <rFont val="Tahoma"/>
            <charset val="1"/>
          </rPr>
          <t>Stability=24,Expiration=6/30/2018</t>
        </r>
      </text>
    </comment>
    <comment ref="AA5" authorId="0" shapeId="0" xr:uid="{00000000-0006-0000-0200-0000630B0000}">
      <text>
        <r>
          <rPr>
            <sz val="9"/>
            <color indexed="81"/>
            <rFont val="Tahoma"/>
            <charset val="1"/>
          </rPr>
          <t>Stability=14,Expiration=11/12/2018</t>
        </r>
      </text>
    </comment>
    <comment ref="AB5" authorId="0" shapeId="0" xr:uid="{00000000-0006-0000-0200-00006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" authorId="0" shapeId="0" xr:uid="{00000000-0006-0000-0200-00006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" authorId="0" shapeId="0" xr:uid="{00000000-0006-0000-0200-00006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" authorId="0" shapeId="0" xr:uid="{00000000-0006-0000-0200-00006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" authorId="0" shapeId="0" xr:uid="{00000000-0006-0000-0200-00006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" authorId="0" shapeId="0" xr:uid="{00000000-0006-0000-0200-00006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" authorId="0" shapeId="0" xr:uid="{00000000-0006-0000-0200-00006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" authorId="0" shapeId="0" xr:uid="{00000000-0006-0000-0200-00006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" authorId="0" shapeId="0" xr:uid="{00000000-0006-0000-0200-00006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" authorId="0" shapeId="0" xr:uid="{00000000-0006-0000-0200-00006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" authorId="0" shapeId="0" xr:uid="{00000000-0006-0000-0200-00006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" authorId="0" shapeId="0" xr:uid="{00000000-0006-0000-0200-00006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" authorId="0" shapeId="0" xr:uid="{00000000-0006-0000-0200-00007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" authorId="0" shapeId="0" xr:uid="{00000000-0006-0000-0200-00007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" authorId="0" shapeId="0" xr:uid="{00000000-0006-0000-0200-00007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" authorId="0" shapeId="0" xr:uid="{00000000-0006-0000-0200-00007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" authorId="0" shapeId="0" xr:uid="{00000000-0006-0000-0200-00007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" authorId="0" shapeId="0" xr:uid="{00000000-0006-0000-0200-00007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" authorId="0" shapeId="0" xr:uid="{00000000-0006-0000-0200-00007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" authorId="0" shapeId="0" xr:uid="{00000000-0006-0000-0200-00007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" authorId="0" shapeId="0" xr:uid="{00000000-0006-0000-0200-0000780B0000}">
      <text>
        <r>
          <rPr>
            <sz val="9"/>
            <color indexed="81"/>
            <rFont val="Tahoma"/>
            <charset val="1"/>
          </rPr>
          <t>Stability=25,Expiration=6/30/2018</t>
        </r>
      </text>
    </comment>
    <comment ref="A6" authorId="0" shapeId="0" xr:uid="{00000000-0006-0000-0200-0000790B0000}">
      <text>
        <r>
          <rPr>
            <sz val="9"/>
            <color indexed="81"/>
            <rFont val="Tahoma"/>
            <charset val="1"/>
          </rPr>
          <t>Date macro run: 1/19/2018 8:42:25 PM</t>
        </r>
      </text>
    </comment>
    <comment ref="B6" authorId="0" shapeId="0" xr:uid="{00000000-0006-0000-0200-00007A0B0000}">
      <text>
        <r>
          <rPr>
            <sz val="9"/>
            <color indexed="81"/>
            <rFont val="Tahoma"/>
            <charset val="1"/>
          </rPr>
          <t>Stability=21,Expiration=3/9/2019</t>
        </r>
      </text>
    </comment>
    <comment ref="C6" authorId="0" shapeId="0" xr:uid="{00000000-0006-0000-0200-00007B0B0000}">
      <text>
        <r>
          <rPr>
            <sz val="9"/>
            <color indexed="81"/>
            <rFont val="Tahoma"/>
            <charset val="1"/>
          </rPr>
          <t>Stability=8,Expiration=10/22/2018</t>
        </r>
      </text>
    </comment>
    <comment ref="D6" authorId="0" shapeId="0" xr:uid="{00000000-0006-0000-0200-00007C0B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6" authorId="0" shapeId="0" xr:uid="{00000000-0006-0000-0200-00007D0B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6" authorId="0" shapeId="0" xr:uid="{00000000-0006-0000-0200-00007E0B0000}">
      <text>
        <r>
          <rPr>
            <sz val="9"/>
            <color indexed="81"/>
            <rFont val="Tahoma"/>
            <charset val="1"/>
          </rPr>
          <t>Stability=16,Expiration=3/13/2018</t>
        </r>
      </text>
    </comment>
    <comment ref="G6" authorId="0" shapeId="0" xr:uid="{00000000-0006-0000-0200-00007F0B0000}">
      <text>
        <r>
          <rPr>
            <sz val="9"/>
            <color indexed="81"/>
            <rFont val="Tahoma"/>
            <charset val="1"/>
          </rPr>
          <t>Stability=26,Expiration=6/30/2018</t>
        </r>
      </text>
    </comment>
    <comment ref="H6" authorId="0" shapeId="0" xr:uid="{00000000-0006-0000-0200-0000800B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I6" authorId="0" shapeId="0" xr:uid="{00000000-0006-0000-0200-0000810B0000}">
      <text>
        <r>
          <rPr>
            <sz val="9"/>
            <color indexed="81"/>
            <rFont val="Tahoma"/>
            <charset val="1"/>
          </rPr>
          <t>Stability=19,Expiration=3/12/2018</t>
        </r>
      </text>
    </comment>
    <comment ref="J6" authorId="0" shapeId="0" xr:uid="{00000000-0006-0000-0200-0000820B0000}">
      <text>
        <r>
          <rPr>
            <sz val="9"/>
            <color indexed="81"/>
            <rFont val="Tahoma"/>
            <charset val="1"/>
          </rPr>
          <t>Stability=12,Expiration=2/1/2018</t>
        </r>
      </text>
    </comment>
    <comment ref="K6" authorId="0" shapeId="0" xr:uid="{00000000-0006-0000-0200-0000830B0000}">
      <text>
        <r>
          <rPr>
            <sz val="9"/>
            <color indexed="81"/>
            <rFont val="Tahoma"/>
            <charset val="1"/>
          </rPr>
          <t>Stability=12,Expiration=6/30/2018</t>
        </r>
      </text>
    </comment>
    <comment ref="L6" authorId="0" shapeId="0" xr:uid="{00000000-0006-0000-0200-0000840B0000}">
      <text>
        <r>
          <rPr>
            <sz val="9"/>
            <color indexed="81"/>
            <rFont val="Tahoma"/>
            <charset val="1"/>
          </rPr>
          <t>Stability=1,Expiration=1/7/2019</t>
        </r>
      </text>
    </comment>
    <comment ref="M6" authorId="0" shapeId="0" xr:uid="{00000000-0006-0000-0200-0000850B0000}">
      <text>
        <r>
          <rPr>
            <sz val="9"/>
            <color indexed="81"/>
            <rFont val="Tahoma"/>
            <charset val="1"/>
          </rPr>
          <t>Stability=60,Expiration=4/30/2018</t>
        </r>
      </text>
    </comment>
    <comment ref="N6" authorId="0" shapeId="0" xr:uid="{00000000-0006-0000-0200-0000860B0000}">
      <text>
        <r>
          <rPr>
            <sz val="9"/>
            <color indexed="81"/>
            <rFont val="Tahoma"/>
            <charset val="1"/>
          </rPr>
          <t>Stability=26,Expiration=5/31/2018</t>
        </r>
      </text>
    </comment>
    <comment ref="O6" authorId="0" shapeId="0" xr:uid="{00000000-0006-0000-0200-00008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6" authorId="0" shapeId="0" xr:uid="{00000000-0006-0000-0200-0000880B0000}">
      <text>
        <r>
          <rPr>
            <sz val="9"/>
            <color indexed="81"/>
            <rFont val="Tahoma"/>
            <charset val="1"/>
          </rPr>
          <t>Stability=19,Expiration=5/3/2019</t>
        </r>
      </text>
    </comment>
    <comment ref="Q6" authorId="0" shapeId="0" xr:uid="{00000000-0006-0000-0200-0000890B0000}">
      <text>
        <r>
          <rPr>
            <sz val="9"/>
            <color indexed="81"/>
            <rFont val="Tahoma"/>
            <charset val="1"/>
          </rPr>
          <t>Stability=22,Expiration=2/6/2019</t>
        </r>
      </text>
    </comment>
    <comment ref="R6" authorId="0" shapeId="0" xr:uid="{00000000-0006-0000-0200-00008A0B0000}">
      <text>
        <r>
          <rPr>
            <sz val="9"/>
            <color indexed="81"/>
            <rFont val="Tahoma"/>
            <charset val="1"/>
          </rPr>
          <t>Stability=46,Expiration=5/10/2018</t>
        </r>
      </text>
    </comment>
    <comment ref="S6" authorId="0" shapeId="0" xr:uid="{00000000-0006-0000-0200-00008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" authorId="0" shapeId="0" xr:uid="{00000000-0006-0000-0200-00008C0B0000}">
      <text>
        <r>
          <rPr>
            <sz val="9"/>
            <color indexed="81"/>
            <rFont val="Tahoma"/>
            <charset val="1"/>
          </rPr>
          <t>Stability=13,Expiration=8/4/2018</t>
        </r>
      </text>
    </comment>
    <comment ref="U6" authorId="0" shapeId="0" xr:uid="{00000000-0006-0000-0200-00008D0B0000}">
      <text>
        <r>
          <rPr>
            <sz val="9"/>
            <color indexed="81"/>
            <rFont val="Tahoma"/>
            <charset val="1"/>
          </rPr>
          <t>Stability=11,Expiration=4/20/2018</t>
        </r>
      </text>
    </comment>
    <comment ref="V6" authorId="0" shapeId="0" xr:uid="{00000000-0006-0000-0200-00008E0B0000}">
      <text>
        <r>
          <rPr>
            <sz val="9"/>
            <color indexed="81"/>
            <rFont val="Tahoma"/>
            <charset val="1"/>
          </rPr>
          <t>Stability=22,Expiration=8/17/2018</t>
        </r>
      </text>
    </comment>
    <comment ref="W6" authorId="0" shapeId="0" xr:uid="{00000000-0006-0000-0200-00008F0B0000}">
      <text>
        <r>
          <rPr>
            <sz val="9"/>
            <color indexed="81"/>
            <rFont val="Tahoma"/>
            <charset val="1"/>
          </rPr>
          <t>Stability=23,Expiration=3/31/2019</t>
        </r>
      </text>
    </comment>
    <comment ref="X6" authorId="0" shapeId="0" xr:uid="{00000000-0006-0000-0200-0000900B0000}">
      <text>
        <r>
          <rPr>
            <sz val="9"/>
            <color indexed="81"/>
            <rFont val="Tahoma"/>
            <charset val="1"/>
          </rPr>
          <t>Stability=28,Expiration=6/28/2018</t>
        </r>
      </text>
    </comment>
    <comment ref="Y6" authorId="0" shapeId="0" xr:uid="{00000000-0006-0000-0200-0000910B0000}">
      <text>
        <r>
          <rPr>
            <sz val="9"/>
            <color indexed="81"/>
            <rFont val="Tahoma"/>
            <charset val="1"/>
          </rPr>
          <t>Stability=19,Expiration=3/4/2019</t>
        </r>
      </text>
    </comment>
    <comment ref="Z6" authorId="0" shapeId="0" xr:uid="{00000000-0006-0000-0200-0000920B0000}">
      <text>
        <r>
          <rPr>
            <sz val="9"/>
            <color indexed="81"/>
            <rFont val="Tahoma"/>
            <charset val="1"/>
          </rPr>
          <t>Stability=22,Expiration=6/30/2018</t>
        </r>
      </text>
    </comment>
    <comment ref="AA6" authorId="0" shapeId="0" xr:uid="{00000000-0006-0000-0200-0000930B0000}">
      <text>
        <r>
          <rPr>
            <sz val="9"/>
            <color indexed="81"/>
            <rFont val="Tahoma"/>
            <charset val="1"/>
          </rPr>
          <t>Stability=12,Expiration=11/12/2018</t>
        </r>
      </text>
    </comment>
    <comment ref="AB6" authorId="0" shapeId="0" xr:uid="{00000000-0006-0000-0200-00009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" authorId="0" shapeId="0" xr:uid="{00000000-0006-0000-0200-00009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" authorId="0" shapeId="0" xr:uid="{00000000-0006-0000-0200-00009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" authorId="0" shapeId="0" xr:uid="{00000000-0006-0000-0200-00009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" authorId="0" shapeId="0" xr:uid="{00000000-0006-0000-0200-00009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" authorId="0" shapeId="0" xr:uid="{00000000-0006-0000-0200-00009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" authorId="0" shapeId="0" xr:uid="{00000000-0006-0000-0200-00009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" authorId="0" shapeId="0" xr:uid="{00000000-0006-0000-0200-00009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" authorId="0" shapeId="0" xr:uid="{00000000-0006-0000-0200-00009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" authorId="0" shapeId="0" xr:uid="{00000000-0006-0000-0200-00009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" authorId="0" shapeId="0" xr:uid="{00000000-0006-0000-0200-00009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" authorId="0" shapeId="0" xr:uid="{00000000-0006-0000-0200-00009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" authorId="0" shapeId="0" xr:uid="{00000000-0006-0000-0200-0000A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" authorId="0" shapeId="0" xr:uid="{00000000-0006-0000-0200-0000A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" authorId="0" shapeId="0" xr:uid="{00000000-0006-0000-0200-0000A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" authorId="0" shapeId="0" xr:uid="{00000000-0006-0000-0200-0000A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" authorId="0" shapeId="0" xr:uid="{00000000-0006-0000-0200-0000A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" authorId="0" shapeId="0" xr:uid="{00000000-0006-0000-0200-0000A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" authorId="0" shapeId="0" xr:uid="{00000000-0006-0000-0200-0000A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" authorId="0" shapeId="0" xr:uid="{00000000-0006-0000-0200-0000A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" authorId="0" shapeId="0" xr:uid="{00000000-0006-0000-0200-0000A80B0000}">
      <text>
        <r>
          <rPr>
            <sz val="9"/>
            <color indexed="81"/>
            <rFont val="Tahoma"/>
            <charset val="1"/>
          </rPr>
          <t>Stability=23,Expiration=9/25/2018</t>
        </r>
      </text>
    </comment>
    <comment ref="A7" authorId="0" shapeId="0" xr:uid="{00000000-0006-0000-0200-0000A90B0000}">
      <text>
        <r>
          <rPr>
            <sz val="9"/>
            <color indexed="81"/>
            <rFont val="Tahoma"/>
            <charset val="1"/>
          </rPr>
          <t>Date macro run: 1/22/2018 10:05:35 PM</t>
        </r>
      </text>
    </comment>
    <comment ref="B7" authorId="0" shapeId="0" xr:uid="{00000000-0006-0000-0200-0000AA0B0000}">
      <text>
        <r>
          <rPr>
            <sz val="9"/>
            <color indexed="81"/>
            <rFont val="Tahoma"/>
            <charset val="1"/>
          </rPr>
          <t>Stability=17,Expiration=3/9/2019</t>
        </r>
      </text>
    </comment>
    <comment ref="C7" authorId="0" shapeId="0" xr:uid="{00000000-0006-0000-0200-0000AB0B0000}">
      <text>
        <r>
          <rPr>
            <sz val="9"/>
            <color indexed="81"/>
            <rFont val="Tahoma"/>
            <charset val="1"/>
          </rPr>
          <t>Stability=4,Expiration=10/22/2018</t>
        </r>
      </text>
    </comment>
    <comment ref="D7" authorId="0" shapeId="0" xr:uid="{00000000-0006-0000-0200-0000AC0B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7" authorId="0" shapeId="0" xr:uid="{00000000-0006-0000-0200-0000AD0B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7" authorId="0" shapeId="0" xr:uid="{00000000-0006-0000-0200-0000AE0B0000}">
      <text>
        <r>
          <rPr>
            <sz val="9"/>
            <color indexed="81"/>
            <rFont val="Tahoma"/>
            <charset val="1"/>
          </rPr>
          <t>Stability=12,Expiration=3/13/2018</t>
        </r>
      </text>
    </comment>
    <comment ref="G7" authorId="0" shapeId="0" xr:uid="{00000000-0006-0000-0200-0000AF0B0000}">
      <text>
        <r>
          <rPr>
            <sz val="9"/>
            <color indexed="81"/>
            <rFont val="Tahoma"/>
            <charset val="1"/>
          </rPr>
          <t>Stability=23,Expiration=6/30/2018</t>
        </r>
      </text>
    </comment>
    <comment ref="H7" authorId="0" shapeId="0" xr:uid="{00000000-0006-0000-0200-0000B00B0000}">
      <text>
        <r>
          <rPr>
            <sz val="9"/>
            <color indexed="81"/>
            <rFont val="Tahoma"/>
            <charset val="1"/>
          </rPr>
          <t>Stability=16,Expiration=10/31/2018</t>
        </r>
      </text>
    </comment>
    <comment ref="I7" authorId="0" shapeId="0" xr:uid="{00000000-0006-0000-0200-0000B10B0000}">
      <text>
        <r>
          <rPr>
            <sz val="9"/>
            <color indexed="81"/>
            <rFont val="Tahoma"/>
            <charset val="1"/>
          </rPr>
          <t>Stability=16,Expiration=3/12/2018</t>
        </r>
      </text>
    </comment>
    <comment ref="J7" authorId="0" shapeId="0" xr:uid="{00000000-0006-0000-0200-0000B20B0000}">
      <text>
        <r>
          <rPr>
            <sz val="9"/>
            <color indexed="81"/>
            <rFont val="Tahoma"/>
            <charset val="1"/>
          </rPr>
          <t>Stability=9,Expiration=2/1/2018</t>
        </r>
      </text>
    </comment>
    <comment ref="K7" authorId="0" shapeId="0" xr:uid="{00000000-0006-0000-0200-0000B30B0000}">
      <text>
        <r>
          <rPr>
            <sz val="9"/>
            <color indexed="81"/>
            <rFont val="Tahoma"/>
            <charset val="1"/>
          </rPr>
          <t>Stability=9,Expiration=6/30/2018</t>
        </r>
      </text>
    </comment>
    <comment ref="L7" authorId="0" shapeId="0" xr:uid="{00000000-0006-0000-0200-0000B40B0000}">
      <text>
        <r>
          <rPr>
            <sz val="9"/>
            <color indexed="81"/>
            <rFont val="Tahoma"/>
            <charset val="1"/>
          </rPr>
          <t>Stability=3,Expiration=1/7/2019</t>
        </r>
      </text>
    </comment>
    <comment ref="M7" authorId="0" shapeId="0" xr:uid="{00000000-0006-0000-0200-0000B50B0000}">
      <text>
        <r>
          <rPr>
            <sz val="9"/>
            <color indexed="81"/>
            <rFont val="Tahoma"/>
            <charset val="1"/>
          </rPr>
          <t>Stability=56,Expiration=4/30/2018</t>
        </r>
      </text>
    </comment>
    <comment ref="N7" authorId="0" shapeId="0" xr:uid="{00000000-0006-0000-0200-0000B60B0000}">
      <text>
        <r>
          <rPr>
            <sz val="9"/>
            <color indexed="81"/>
            <rFont val="Tahoma"/>
            <charset val="1"/>
          </rPr>
          <t>Stability=23,Expiration=5/31/2018</t>
        </r>
      </text>
    </comment>
    <comment ref="O7" authorId="0" shapeId="0" xr:uid="{00000000-0006-0000-0200-0000B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7" authorId="0" shapeId="0" xr:uid="{00000000-0006-0000-0200-0000B80B0000}">
      <text>
        <r>
          <rPr>
            <sz val="9"/>
            <color indexed="81"/>
            <rFont val="Tahoma"/>
            <charset val="1"/>
          </rPr>
          <t>Stability=16,Expiration=5/3/2019</t>
        </r>
      </text>
    </comment>
    <comment ref="Q7" authorId="0" shapeId="0" xr:uid="{00000000-0006-0000-0200-0000B90B0000}">
      <text>
        <r>
          <rPr>
            <sz val="9"/>
            <color indexed="81"/>
            <rFont val="Tahoma"/>
            <charset val="1"/>
          </rPr>
          <t>Stability=18,Expiration=2/6/2019</t>
        </r>
      </text>
    </comment>
    <comment ref="R7" authorId="0" shapeId="0" xr:uid="{00000000-0006-0000-0200-0000BA0B0000}">
      <text>
        <r>
          <rPr>
            <sz val="9"/>
            <color indexed="81"/>
            <rFont val="Tahoma"/>
            <charset val="1"/>
          </rPr>
          <t>Stability=43,Expiration=5/10/2018</t>
        </r>
      </text>
    </comment>
    <comment ref="S7" authorId="0" shapeId="0" xr:uid="{00000000-0006-0000-0200-0000B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" authorId="0" shapeId="0" xr:uid="{00000000-0006-0000-0200-0000BC0B0000}">
      <text>
        <r>
          <rPr>
            <sz val="9"/>
            <color indexed="81"/>
            <rFont val="Tahoma"/>
            <charset val="1"/>
          </rPr>
          <t>Stability=10,Expiration=8/4/2018</t>
        </r>
      </text>
    </comment>
    <comment ref="U7" authorId="0" shapeId="0" xr:uid="{00000000-0006-0000-0200-0000BD0B0000}">
      <text>
        <r>
          <rPr>
            <sz val="9"/>
            <color indexed="81"/>
            <rFont val="Tahoma"/>
            <charset val="1"/>
          </rPr>
          <t>Stability=7,Expiration=4/20/2018</t>
        </r>
      </text>
    </comment>
    <comment ref="V7" authorId="0" shapeId="0" xr:uid="{00000000-0006-0000-0200-0000BE0B0000}">
      <text>
        <r>
          <rPr>
            <sz val="9"/>
            <color indexed="81"/>
            <rFont val="Tahoma"/>
            <charset val="1"/>
          </rPr>
          <t>Stability=19,Expiration=8/17/2018</t>
        </r>
      </text>
    </comment>
    <comment ref="W7" authorId="0" shapeId="0" xr:uid="{00000000-0006-0000-0200-0000BF0B0000}">
      <text>
        <r>
          <rPr>
            <sz val="9"/>
            <color indexed="81"/>
            <rFont val="Tahoma"/>
            <charset val="1"/>
          </rPr>
          <t>Stability=20,Expiration=3/31/2019</t>
        </r>
      </text>
    </comment>
    <comment ref="X7" authorId="0" shapeId="0" xr:uid="{00000000-0006-0000-0200-0000C00B0000}">
      <text>
        <r>
          <rPr>
            <sz val="9"/>
            <color indexed="81"/>
            <rFont val="Tahoma"/>
            <charset val="1"/>
          </rPr>
          <t>Stability=25,Expiration=6/28/2018</t>
        </r>
      </text>
    </comment>
    <comment ref="Y7" authorId="0" shapeId="0" xr:uid="{00000000-0006-0000-0200-0000C10B0000}">
      <text>
        <r>
          <rPr>
            <sz val="9"/>
            <color indexed="81"/>
            <rFont val="Tahoma"/>
            <charset val="1"/>
          </rPr>
          <t>Stability=16,Expiration=3/4/2019</t>
        </r>
      </text>
    </comment>
    <comment ref="Z7" authorId="0" shapeId="0" xr:uid="{00000000-0006-0000-0200-0000C20B0000}">
      <text>
        <r>
          <rPr>
            <sz val="9"/>
            <color indexed="81"/>
            <rFont val="Tahoma"/>
            <charset val="1"/>
          </rPr>
          <t>Stability=19,Expiration=6/30/2018</t>
        </r>
      </text>
    </comment>
    <comment ref="AA7" authorId="0" shapeId="0" xr:uid="{00000000-0006-0000-0200-0000C30B0000}">
      <text>
        <r>
          <rPr>
            <sz val="9"/>
            <color indexed="81"/>
            <rFont val="Tahoma"/>
            <charset val="1"/>
          </rPr>
          <t>Stability=9,Expiration=11/12/2018</t>
        </r>
      </text>
    </comment>
    <comment ref="AB7" authorId="0" shapeId="0" xr:uid="{00000000-0006-0000-0200-0000C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" authorId="0" shapeId="0" xr:uid="{00000000-0006-0000-0200-0000C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" authorId="0" shapeId="0" xr:uid="{00000000-0006-0000-0200-0000C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" authorId="0" shapeId="0" xr:uid="{00000000-0006-0000-0200-0000C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" authorId="0" shapeId="0" xr:uid="{00000000-0006-0000-0200-0000C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" authorId="0" shapeId="0" xr:uid="{00000000-0006-0000-0200-0000C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" authorId="0" shapeId="0" xr:uid="{00000000-0006-0000-0200-0000C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" authorId="0" shapeId="0" xr:uid="{00000000-0006-0000-0200-0000C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" authorId="0" shapeId="0" xr:uid="{00000000-0006-0000-0200-0000C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" authorId="0" shapeId="0" xr:uid="{00000000-0006-0000-0200-0000C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" authorId="0" shapeId="0" xr:uid="{00000000-0006-0000-0200-0000C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" authorId="0" shapeId="0" xr:uid="{00000000-0006-0000-0200-0000C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" authorId="0" shapeId="0" xr:uid="{00000000-0006-0000-0200-0000D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" authorId="0" shapeId="0" xr:uid="{00000000-0006-0000-0200-0000D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" authorId="0" shapeId="0" xr:uid="{00000000-0006-0000-0200-0000D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" authorId="0" shapeId="0" xr:uid="{00000000-0006-0000-0200-0000D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" authorId="0" shapeId="0" xr:uid="{00000000-0006-0000-0200-0000D40B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" authorId="0" shapeId="0" xr:uid="{00000000-0006-0000-0200-0000D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" authorId="0" shapeId="0" xr:uid="{00000000-0006-0000-0200-0000D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" authorId="0" shapeId="0" xr:uid="{00000000-0006-0000-0200-0000D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" authorId="0" shapeId="0" xr:uid="{00000000-0006-0000-0200-0000D80B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8" authorId="0" shapeId="0" xr:uid="{00000000-0006-0000-0200-0000D90B0000}">
      <text>
        <r>
          <rPr>
            <sz val="9"/>
            <color indexed="81"/>
            <rFont val="Tahoma"/>
            <charset val="1"/>
          </rPr>
          <t>Date macro run: 1/24/2018 9:21:08 PM</t>
        </r>
      </text>
    </comment>
    <comment ref="B8" authorId="0" shapeId="0" xr:uid="{00000000-0006-0000-0200-0000DA0B0000}">
      <text>
        <r>
          <rPr>
            <sz val="9"/>
            <color indexed="81"/>
            <rFont val="Tahoma"/>
            <charset val="1"/>
          </rPr>
          <t>Stability=15,Expiration=3/9/2019</t>
        </r>
      </text>
    </comment>
    <comment ref="C8" authorId="0" shapeId="0" xr:uid="{00000000-0006-0000-0200-0000DB0B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8" authorId="0" shapeId="0" xr:uid="{00000000-0006-0000-0200-0000DC0B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8" authorId="0" shapeId="0" xr:uid="{00000000-0006-0000-0200-0000DD0B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8" authorId="0" shapeId="0" xr:uid="{00000000-0006-0000-0200-0000DE0B0000}">
      <text>
        <r>
          <rPr>
            <sz val="9"/>
            <color indexed="81"/>
            <rFont val="Tahoma"/>
            <charset val="1"/>
          </rPr>
          <t>Stability=10,Expiration=3/13/2018</t>
        </r>
      </text>
    </comment>
    <comment ref="G8" authorId="0" shapeId="0" xr:uid="{00000000-0006-0000-0200-0000DF0B0000}">
      <text>
        <r>
          <rPr>
            <sz val="9"/>
            <color indexed="81"/>
            <rFont val="Tahoma"/>
            <charset val="1"/>
          </rPr>
          <t>Stability=21,Expiration=6/30/2018</t>
        </r>
      </text>
    </comment>
    <comment ref="H8" authorId="0" shapeId="0" xr:uid="{00000000-0006-0000-0200-0000E00B0000}">
      <text>
        <r>
          <rPr>
            <sz val="9"/>
            <color indexed="81"/>
            <rFont val="Tahoma"/>
            <charset val="1"/>
          </rPr>
          <t>Stability=14,Expiration=10/31/2018</t>
        </r>
      </text>
    </comment>
    <comment ref="I8" authorId="0" shapeId="0" xr:uid="{00000000-0006-0000-0200-0000E10B0000}">
      <text>
        <r>
          <rPr>
            <sz val="9"/>
            <color indexed="81"/>
            <rFont val="Tahoma"/>
            <charset val="1"/>
          </rPr>
          <t>Stability=14,Expiration=3/12/2018</t>
        </r>
      </text>
    </comment>
    <comment ref="J8" authorId="0" shapeId="0" xr:uid="{00000000-0006-0000-0200-0000E20B0000}">
      <text>
        <r>
          <rPr>
            <sz val="9"/>
            <color indexed="81"/>
            <rFont val="Tahoma"/>
            <charset val="1"/>
          </rPr>
          <t>Stability=7,Expiration=2/1/2018</t>
        </r>
      </text>
    </comment>
    <comment ref="K8" authorId="0" shapeId="0" xr:uid="{00000000-0006-0000-0200-0000E30B0000}">
      <text>
        <r>
          <rPr>
            <sz val="9"/>
            <color indexed="81"/>
            <rFont val="Tahoma"/>
            <charset val="1"/>
          </rPr>
          <t>Stability=7,Expiration=6/30/2018</t>
        </r>
      </text>
    </comment>
    <comment ref="L8" authorId="0" shapeId="0" xr:uid="{00000000-0006-0000-0200-0000E40B0000}">
      <text>
        <r>
          <rPr>
            <sz val="9"/>
            <color indexed="81"/>
            <rFont val="Tahoma"/>
            <charset val="1"/>
          </rPr>
          <t>Stability=1,Expiration=1/7/2019</t>
        </r>
      </text>
    </comment>
    <comment ref="M8" authorId="0" shapeId="0" xr:uid="{00000000-0006-0000-0200-0000E50B0000}">
      <text>
        <r>
          <rPr>
            <sz val="9"/>
            <color indexed="81"/>
            <rFont val="Tahoma"/>
            <charset val="1"/>
          </rPr>
          <t>Stability=54,Expiration=4/30/2018</t>
        </r>
      </text>
    </comment>
    <comment ref="N8" authorId="0" shapeId="0" xr:uid="{00000000-0006-0000-0200-0000E60B0000}">
      <text>
        <r>
          <rPr>
            <sz val="9"/>
            <color indexed="81"/>
            <rFont val="Tahoma"/>
            <charset val="1"/>
          </rPr>
          <t>Stability=21,Expiration=5/31/2018</t>
        </r>
      </text>
    </comment>
    <comment ref="O8" authorId="0" shapeId="0" xr:uid="{00000000-0006-0000-0200-0000E7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8" authorId="0" shapeId="0" xr:uid="{00000000-0006-0000-0200-0000E80B0000}">
      <text>
        <r>
          <rPr>
            <sz val="9"/>
            <color indexed="81"/>
            <rFont val="Tahoma"/>
            <charset val="1"/>
          </rPr>
          <t>Stability=14,Expiration=5/3/2019</t>
        </r>
      </text>
    </comment>
    <comment ref="Q8" authorId="0" shapeId="0" xr:uid="{00000000-0006-0000-0200-0000E90B0000}">
      <text>
        <r>
          <rPr>
            <sz val="9"/>
            <color indexed="81"/>
            <rFont val="Tahoma"/>
            <charset val="1"/>
          </rPr>
          <t>Stability=16,Expiration=2/6/2019</t>
        </r>
      </text>
    </comment>
    <comment ref="R8" authorId="0" shapeId="0" xr:uid="{00000000-0006-0000-0200-0000EA0B0000}">
      <text>
        <r>
          <rPr>
            <sz val="9"/>
            <color indexed="81"/>
            <rFont val="Tahoma"/>
            <charset val="1"/>
          </rPr>
          <t>Stability=41,Expiration=5/10/2018</t>
        </r>
      </text>
    </comment>
    <comment ref="S8" authorId="0" shapeId="0" xr:uid="{00000000-0006-0000-0200-0000E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8" authorId="0" shapeId="0" xr:uid="{00000000-0006-0000-0200-0000EC0B0000}">
      <text>
        <r>
          <rPr>
            <sz val="9"/>
            <color indexed="81"/>
            <rFont val="Tahoma"/>
            <charset val="1"/>
          </rPr>
          <t>Stability=8,Expiration=8/4/2018</t>
        </r>
      </text>
    </comment>
    <comment ref="U8" authorId="0" shapeId="0" xr:uid="{00000000-0006-0000-0200-0000ED0B0000}">
      <text>
        <r>
          <rPr>
            <sz val="9"/>
            <color indexed="81"/>
            <rFont val="Tahoma"/>
            <charset val="1"/>
          </rPr>
          <t>Stability=5,Expiration=4/20/2018</t>
        </r>
      </text>
    </comment>
    <comment ref="V8" authorId="0" shapeId="0" xr:uid="{00000000-0006-0000-0200-0000EE0B0000}">
      <text>
        <r>
          <rPr>
            <sz val="9"/>
            <color indexed="81"/>
            <rFont val="Tahoma"/>
            <charset val="1"/>
          </rPr>
          <t>Stability=29,Expiration=8/17/2018</t>
        </r>
      </text>
    </comment>
    <comment ref="W8" authorId="0" shapeId="0" xr:uid="{00000000-0006-0000-0200-0000EF0B0000}">
      <text>
        <r>
          <rPr>
            <sz val="9"/>
            <color indexed="81"/>
            <rFont val="Tahoma"/>
            <charset val="1"/>
          </rPr>
          <t>Stability=18,Expiration=3/31/2019</t>
        </r>
      </text>
    </comment>
    <comment ref="X8" authorId="0" shapeId="0" xr:uid="{00000000-0006-0000-0200-0000F00B0000}">
      <text>
        <r>
          <rPr>
            <sz val="9"/>
            <color indexed="81"/>
            <rFont val="Tahoma"/>
            <charset val="1"/>
          </rPr>
          <t>Stability=23,Expiration=6/28/2018</t>
        </r>
      </text>
    </comment>
    <comment ref="Y8" authorId="0" shapeId="0" xr:uid="{00000000-0006-0000-0200-0000F10B0000}">
      <text>
        <r>
          <rPr>
            <sz val="9"/>
            <color indexed="81"/>
            <rFont val="Tahoma"/>
            <charset val="1"/>
          </rPr>
          <t>Stability=14,Expiration=3/4/2019</t>
        </r>
      </text>
    </comment>
    <comment ref="Z8" authorId="0" shapeId="0" xr:uid="{00000000-0006-0000-0200-0000F20B0000}">
      <text>
        <r>
          <rPr>
            <sz val="9"/>
            <color indexed="81"/>
            <rFont val="Tahoma"/>
            <charset val="1"/>
          </rPr>
          <t>Stability=17,Expiration=6/30/2018</t>
        </r>
      </text>
    </comment>
    <comment ref="AA8" authorId="0" shapeId="0" xr:uid="{00000000-0006-0000-0200-0000F30B0000}">
      <text>
        <r>
          <rPr>
            <sz val="9"/>
            <color indexed="81"/>
            <rFont val="Tahoma"/>
            <charset val="1"/>
          </rPr>
          <t>Stability=7,Expiration=11/12/2018</t>
        </r>
      </text>
    </comment>
    <comment ref="AB8" authorId="0" shapeId="0" xr:uid="{00000000-0006-0000-0200-0000F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8" authorId="0" shapeId="0" xr:uid="{00000000-0006-0000-0200-0000F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8" authorId="0" shapeId="0" xr:uid="{00000000-0006-0000-0200-0000F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8" authorId="0" shapeId="0" xr:uid="{00000000-0006-0000-0200-0000F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8" authorId="0" shapeId="0" xr:uid="{00000000-0006-0000-0200-0000F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8" authorId="0" shapeId="0" xr:uid="{00000000-0006-0000-0200-0000F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8" authorId="0" shapeId="0" xr:uid="{00000000-0006-0000-0200-0000F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8" authorId="0" shapeId="0" xr:uid="{00000000-0006-0000-0200-0000F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8" authorId="0" shapeId="0" xr:uid="{00000000-0006-0000-0200-0000F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8" authorId="0" shapeId="0" xr:uid="{00000000-0006-0000-0200-0000F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" authorId="0" shapeId="0" xr:uid="{00000000-0006-0000-0200-0000F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" authorId="0" shapeId="0" xr:uid="{00000000-0006-0000-0200-0000F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" authorId="0" shapeId="0" xr:uid="{00000000-0006-0000-0200-00000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" authorId="0" shapeId="0" xr:uid="{00000000-0006-0000-0200-00000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" authorId="0" shapeId="0" xr:uid="{00000000-0006-0000-0200-00000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" authorId="0" shapeId="0" xr:uid="{00000000-0006-0000-0200-00000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8" authorId="0" shapeId="0" xr:uid="{00000000-0006-0000-0200-00000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8" authorId="0" shapeId="0" xr:uid="{00000000-0006-0000-0200-00000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" authorId="0" shapeId="0" xr:uid="{00000000-0006-0000-0200-00000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8" authorId="0" shapeId="0" xr:uid="{00000000-0006-0000-0200-00000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" authorId="0" shapeId="0" xr:uid="{00000000-0006-0000-0200-0000080C0000}">
      <text>
        <r>
          <rPr>
            <sz val="9"/>
            <color indexed="81"/>
            <rFont val="Tahoma"/>
            <charset val="1"/>
          </rPr>
          <t>Stability=18,Expiration=9/25/2018</t>
        </r>
      </text>
    </comment>
    <comment ref="A9" authorId="0" shapeId="0" xr:uid="{00000000-0006-0000-0200-0000090C0000}">
      <text>
        <r>
          <rPr>
            <sz val="9"/>
            <color indexed="81"/>
            <rFont val="Tahoma"/>
            <charset val="1"/>
          </rPr>
          <t>Date macro run: 1/26/2018 10:02:40 PM</t>
        </r>
      </text>
    </comment>
    <comment ref="B9" authorId="0" shapeId="0" xr:uid="{00000000-0006-0000-0200-00000A0C0000}">
      <text>
        <r>
          <rPr>
            <sz val="9"/>
            <color indexed="81"/>
            <rFont val="Tahoma"/>
            <charset val="1"/>
          </rPr>
          <t>Stability=13,Expiration=3/9/2019</t>
        </r>
      </text>
    </comment>
    <comment ref="C9" authorId="0" shapeId="0" xr:uid="{00000000-0006-0000-0200-00000B0C0000}">
      <text>
        <r>
          <rPr>
            <sz val="9"/>
            <color indexed="81"/>
            <rFont val="Tahoma"/>
            <charset val="1"/>
          </rPr>
          <t>Stability=1,Expiration=10/22/2018</t>
        </r>
      </text>
    </comment>
    <comment ref="D9" authorId="0" shapeId="0" xr:uid="{00000000-0006-0000-0200-00000C0C0000}">
      <text>
        <r>
          <rPr>
            <sz val="9"/>
            <color indexed="81"/>
            <rFont val="Tahoma"/>
            <charset val="1"/>
          </rPr>
          <t>Stability=3,Expiration=11/23/2018</t>
        </r>
      </text>
    </comment>
    <comment ref="E9" authorId="0" shapeId="0" xr:uid="{00000000-0006-0000-0200-00000D0C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9" authorId="0" shapeId="0" xr:uid="{00000000-0006-0000-0200-00000E0C0000}">
      <text>
        <r>
          <rPr>
            <sz val="9"/>
            <color indexed="81"/>
            <rFont val="Tahoma"/>
            <charset val="1"/>
          </rPr>
          <t>Stability=8,Expiration=3/13/2018</t>
        </r>
      </text>
    </comment>
    <comment ref="G9" authorId="0" shapeId="0" xr:uid="{00000000-0006-0000-0200-00000F0C0000}">
      <text>
        <r>
          <rPr>
            <sz val="9"/>
            <color indexed="81"/>
            <rFont val="Tahoma"/>
            <charset val="1"/>
          </rPr>
          <t>Stability=19,Expiration=6/30/2018</t>
        </r>
      </text>
    </comment>
    <comment ref="H9" authorId="0" shapeId="0" xr:uid="{00000000-0006-0000-0200-0000100C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I9" authorId="0" shapeId="0" xr:uid="{00000000-0006-0000-0200-0000110C0000}">
      <text>
        <r>
          <rPr>
            <sz val="9"/>
            <color indexed="81"/>
            <rFont val="Tahoma"/>
            <charset val="1"/>
          </rPr>
          <t>Stability=27,Expiration=3/12/2018</t>
        </r>
      </text>
    </comment>
    <comment ref="J9" authorId="0" shapeId="0" xr:uid="{00000000-0006-0000-0200-0000120C0000}">
      <text>
        <r>
          <rPr>
            <sz val="9"/>
            <color indexed="81"/>
            <rFont val="Tahoma"/>
            <charset val="1"/>
          </rPr>
          <t>Stability=5,Expiration=2/1/2018</t>
        </r>
      </text>
    </comment>
    <comment ref="K9" authorId="0" shapeId="0" xr:uid="{00000000-0006-0000-0200-0000130C0000}">
      <text>
        <r>
          <rPr>
            <sz val="9"/>
            <color indexed="81"/>
            <rFont val="Tahoma"/>
            <charset val="1"/>
          </rPr>
          <t>Stability=5,Expiration=6/30/2018</t>
        </r>
      </text>
    </comment>
    <comment ref="L9" authorId="0" shapeId="0" xr:uid="{00000000-0006-0000-0200-0000140C0000}">
      <text>
        <r>
          <rPr>
            <sz val="9"/>
            <color indexed="81"/>
            <rFont val="Tahoma"/>
            <charset val="1"/>
          </rPr>
          <t>Stability=3,Expiration=1/7/2019</t>
        </r>
      </text>
    </comment>
    <comment ref="M9" authorId="0" shapeId="0" xr:uid="{00000000-0006-0000-0200-0000150C0000}">
      <text>
        <r>
          <rPr>
            <sz val="9"/>
            <color indexed="81"/>
            <rFont val="Tahoma"/>
            <charset val="1"/>
          </rPr>
          <t>Stability=52,Expiration=4/30/2018</t>
        </r>
      </text>
    </comment>
    <comment ref="N9" authorId="0" shapeId="0" xr:uid="{00000000-0006-0000-0200-0000160C0000}">
      <text>
        <r>
          <rPr>
            <sz val="9"/>
            <color indexed="81"/>
            <rFont val="Tahoma"/>
            <charset val="1"/>
          </rPr>
          <t>Stability=19,Expiration=5/31/2018</t>
        </r>
      </text>
    </comment>
    <comment ref="O9" authorId="0" shapeId="0" xr:uid="{00000000-0006-0000-0200-00001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9" authorId="0" shapeId="0" xr:uid="{00000000-0006-0000-0200-0000180C0000}">
      <text>
        <r>
          <rPr>
            <sz val="9"/>
            <color indexed="81"/>
            <rFont val="Tahoma"/>
            <charset val="1"/>
          </rPr>
          <t>Stability=12,Expiration=5/3/2019</t>
        </r>
      </text>
    </comment>
    <comment ref="Q9" authorId="0" shapeId="0" xr:uid="{00000000-0006-0000-0200-0000190C0000}">
      <text>
        <r>
          <rPr>
            <sz val="9"/>
            <color indexed="81"/>
            <rFont val="Tahoma"/>
            <charset val="1"/>
          </rPr>
          <t>Stability=14,Expiration=2/6/2019</t>
        </r>
      </text>
    </comment>
    <comment ref="R9" authorId="0" shapeId="0" xr:uid="{00000000-0006-0000-0200-00001A0C0000}">
      <text>
        <r>
          <rPr>
            <sz val="9"/>
            <color indexed="81"/>
            <rFont val="Tahoma"/>
            <charset val="1"/>
          </rPr>
          <t>Stability=39,Expiration=5/10/2018</t>
        </r>
      </text>
    </comment>
    <comment ref="S9" authorId="0" shapeId="0" xr:uid="{00000000-0006-0000-0200-00001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9" authorId="0" shapeId="0" xr:uid="{00000000-0006-0000-0200-00001C0C0000}">
      <text>
        <r>
          <rPr>
            <sz val="9"/>
            <color indexed="81"/>
            <rFont val="Tahoma"/>
            <charset val="1"/>
          </rPr>
          <t>Stability=6,Expiration=8/4/2018</t>
        </r>
      </text>
    </comment>
    <comment ref="U9" authorId="0" shapeId="0" xr:uid="{00000000-0006-0000-0200-00001D0C0000}">
      <text>
        <r>
          <rPr>
            <sz val="9"/>
            <color indexed="81"/>
            <rFont val="Tahoma"/>
            <charset val="1"/>
          </rPr>
          <t>Stability=3,Expiration=4/20/2018</t>
        </r>
      </text>
    </comment>
    <comment ref="V9" authorId="0" shapeId="0" xr:uid="{00000000-0006-0000-0200-00001E0C0000}">
      <text>
        <r>
          <rPr>
            <sz val="9"/>
            <color indexed="81"/>
            <rFont val="Tahoma"/>
            <charset val="1"/>
          </rPr>
          <t>Stability=27,Expiration=8/17/2018</t>
        </r>
      </text>
    </comment>
    <comment ref="W9" authorId="0" shapeId="0" xr:uid="{00000000-0006-0000-0200-00001F0C0000}">
      <text>
        <r>
          <rPr>
            <sz val="9"/>
            <color indexed="81"/>
            <rFont val="Tahoma"/>
            <charset val="1"/>
          </rPr>
          <t>Stability=16,Expiration=3/31/2019</t>
        </r>
      </text>
    </comment>
    <comment ref="X9" authorId="0" shapeId="0" xr:uid="{00000000-0006-0000-0200-0000200C0000}">
      <text>
        <r>
          <rPr>
            <sz val="9"/>
            <color indexed="81"/>
            <rFont val="Tahoma"/>
            <charset val="1"/>
          </rPr>
          <t>Stability=21,Expiration=6/28/2018</t>
        </r>
      </text>
    </comment>
    <comment ref="Y9" authorId="0" shapeId="0" xr:uid="{00000000-0006-0000-0200-0000210C0000}">
      <text>
        <r>
          <rPr>
            <sz val="9"/>
            <color indexed="81"/>
            <rFont val="Tahoma"/>
            <charset val="1"/>
          </rPr>
          <t>Stability=12,Expiration=3/4/2019</t>
        </r>
      </text>
    </comment>
    <comment ref="Z9" authorId="0" shapeId="0" xr:uid="{00000000-0006-0000-0200-0000220C0000}">
      <text>
        <r>
          <rPr>
            <sz val="9"/>
            <color indexed="81"/>
            <rFont val="Tahoma"/>
            <charset val="1"/>
          </rPr>
          <t>Stability=15,Expiration=6/30/2018</t>
        </r>
      </text>
    </comment>
    <comment ref="AA9" authorId="0" shapeId="0" xr:uid="{00000000-0006-0000-0200-0000230C0000}">
      <text>
        <r>
          <rPr>
            <sz val="9"/>
            <color indexed="81"/>
            <rFont val="Tahoma"/>
            <charset val="1"/>
          </rPr>
          <t>Stability=5,Expiration=11/12/2018</t>
        </r>
      </text>
    </comment>
    <comment ref="AB9" authorId="0" shapeId="0" xr:uid="{00000000-0006-0000-0200-00002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9" authorId="0" shapeId="0" xr:uid="{00000000-0006-0000-0200-00002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9" authorId="0" shapeId="0" xr:uid="{00000000-0006-0000-0200-00002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9" authorId="0" shapeId="0" xr:uid="{00000000-0006-0000-0200-00002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9" authorId="0" shapeId="0" xr:uid="{00000000-0006-0000-0200-00002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9" authorId="0" shapeId="0" xr:uid="{00000000-0006-0000-0200-00002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9" authorId="0" shapeId="0" xr:uid="{00000000-0006-0000-0200-00002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9" authorId="0" shapeId="0" xr:uid="{00000000-0006-0000-0200-00002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9" authorId="0" shapeId="0" xr:uid="{00000000-0006-0000-0200-00002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9" authorId="0" shapeId="0" xr:uid="{00000000-0006-0000-0200-00002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" authorId="0" shapeId="0" xr:uid="{00000000-0006-0000-0200-00002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" authorId="0" shapeId="0" xr:uid="{00000000-0006-0000-0200-00002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" authorId="0" shapeId="0" xr:uid="{00000000-0006-0000-0200-00003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" authorId="0" shapeId="0" xr:uid="{00000000-0006-0000-0200-00003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" authorId="0" shapeId="0" xr:uid="{00000000-0006-0000-0200-00003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" authorId="0" shapeId="0" xr:uid="{00000000-0006-0000-0200-00003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9" authorId="0" shapeId="0" xr:uid="{00000000-0006-0000-0200-00003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9" authorId="0" shapeId="0" xr:uid="{00000000-0006-0000-0200-00003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" authorId="0" shapeId="0" xr:uid="{00000000-0006-0000-0200-00003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9" authorId="0" shapeId="0" xr:uid="{00000000-0006-0000-0200-00003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" authorId="0" shapeId="0" xr:uid="{00000000-0006-0000-0200-0000380C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10" authorId="0" shapeId="0" xr:uid="{00000000-0006-0000-0200-0000390C0000}">
      <text>
        <r>
          <rPr>
            <sz val="9"/>
            <color indexed="81"/>
            <rFont val="Tahoma"/>
            <charset val="1"/>
          </rPr>
          <t>Date macro run: 1/29/2018 10:47:34 PM</t>
        </r>
      </text>
    </comment>
    <comment ref="B10" authorId="0" shapeId="0" xr:uid="{00000000-0006-0000-0200-00003A0C0000}">
      <text>
        <r>
          <rPr>
            <sz val="9"/>
            <color indexed="81"/>
            <rFont val="Tahoma"/>
            <charset val="1"/>
          </rPr>
          <t>Stability=10,Expiration=3/9/2019</t>
        </r>
      </text>
    </comment>
    <comment ref="C10" authorId="0" shapeId="0" xr:uid="{00000000-0006-0000-0200-00003B0C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10" authorId="0" shapeId="0" xr:uid="{00000000-0006-0000-0200-00003C0C0000}">
      <text>
        <r>
          <rPr>
            <sz val="9"/>
            <color indexed="81"/>
            <rFont val="Tahoma"/>
            <charset val="1"/>
          </rPr>
          <t>Stability=26,Expiration=11/23/2018</t>
        </r>
      </text>
    </comment>
    <comment ref="E10" authorId="0" shapeId="0" xr:uid="{00000000-0006-0000-0200-00003D0C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10" authorId="0" shapeId="0" xr:uid="{00000000-0006-0000-0200-00003E0C0000}">
      <text>
        <r>
          <rPr>
            <sz val="9"/>
            <color indexed="81"/>
            <rFont val="Tahoma"/>
            <charset val="1"/>
          </rPr>
          <t>Stability=5,Expiration=3/13/2018</t>
        </r>
      </text>
    </comment>
    <comment ref="G10" authorId="0" shapeId="0" xr:uid="{00000000-0006-0000-0200-00003F0C0000}">
      <text>
        <r>
          <rPr>
            <sz val="9"/>
            <color indexed="81"/>
            <rFont val="Tahoma"/>
            <charset val="1"/>
          </rPr>
          <t>Stability=16,Expiration=6/30/2018</t>
        </r>
      </text>
    </comment>
    <comment ref="H10" authorId="0" shapeId="0" xr:uid="{00000000-0006-0000-0200-0000400C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I10" authorId="0" shapeId="0" xr:uid="{00000000-0006-0000-0200-0000410C0000}">
      <text>
        <r>
          <rPr>
            <sz val="9"/>
            <color indexed="81"/>
            <rFont val="Tahoma"/>
            <charset val="1"/>
          </rPr>
          <t>Stability=24,Expiration=3/12/2018</t>
        </r>
      </text>
    </comment>
    <comment ref="J10" authorId="0" shapeId="0" xr:uid="{00000000-0006-0000-0200-0000420C0000}">
      <text>
        <r>
          <rPr>
            <sz val="9"/>
            <color indexed="81"/>
            <rFont val="Tahoma"/>
            <charset val="1"/>
          </rPr>
          <t>Stability=2,Expiration=2/1/2018</t>
        </r>
      </text>
    </comment>
    <comment ref="K10" authorId="0" shapeId="0" xr:uid="{00000000-0006-0000-0200-0000430C0000}">
      <text>
        <r>
          <rPr>
            <sz val="9"/>
            <color indexed="81"/>
            <rFont val="Tahoma"/>
            <charset val="1"/>
          </rPr>
          <t>Stability=2,Expiration=6/30/2018</t>
        </r>
      </text>
    </comment>
    <comment ref="L10" authorId="0" shapeId="0" xr:uid="{00000000-0006-0000-0200-0000440C0000}">
      <text>
        <r>
          <rPr>
            <sz val="9"/>
            <color indexed="81"/>
            <rFont val="Tahoma"/>
            <charset val="1"/>
          </rPr>
          <t>Stability=1,Expiration=1/7/2019</t>
        </r>
      </text>
    </comment>
    <comment ref="M10" authorId="0" shapeId="0" xr:uid="{00000000-0006-0000-0200-0000450C0000}">
      <text>
        <r>
          <rPr>
            <sz val="9"/>
            <color indexed="81"/>
            <rFont val="Tahoma"/>
            <charset val="1"/>
          </rPr>
          <t>Stability=49,Expiration=4/30/2018</t>
        </r>
      </text>
    </comment>
    <comment ref="N10" authorId="0" shapeId="0" xr:uid="{00000000-0006-0000-0200-0000460C0000}">
      <text>
        <r>
          <rPr>
            <sz val="9"/>
            <color indexed="81"/>
            <rFont val="Tahoma"/>
            <charset val="1"/>
          </rPr>
          <t>Stability=16,Expiration=5/31/2018</t>
        </r>
      </text>
    </comment>
    <comment ref="O10" authorId="0" shapeId="0" xr:uid="{00000000-0006-0000-0200-00004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0" authorId="0" shapeId="0" xr:uid="{00000000-0006-0000-0200-0000480C0000}">
      <text>
        <r>
          <rPr>
            <sz val="9"/>
            <color indexed="81"/>
            <rFont val="Tahoma"/>
            <charset val="1"/>
          </rPr>
          <t>Stability=9,Expiration=5/3/2019</t>
        </r>
      </text>
    </comment>
    <comment ref="Q10" authorId="0" shapeId="0" xr:uid="{00000000-0006-0000-0200-0000490C0000}">
      <text>
        <r>
          <rPr>
            <sz val="9"/>
            <color indexed="81"/>
            <rFont val="Tahoma"/>
            <charset val="1"/>
          </rPr>
          <t>Stability=11,Expiration=2/6/2019</t>
        </r>
      </text>
    </comment>
    <comment ref="R10" authorId="0" shapeId="0" xr:uid="{00000000-0006-0000-0200-00004A0C0000}">
      <text>
        <r>
          <rPr>
            <sz val="9"/>
            <color indexed="81"/>
            <rFont val="Tahoma"/>
            <charset val="1"/>
          </rPr>
          <t>Stability=35,Expiration=5/10/2018</t>
        </r>
      </text>
    </comment>
    <comment ref="S10" authorId="0" shapeId="0" xr:uid="{00000000-0006-0000-0200-00004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0" authorId="0" shapeId="0" xr:uid="{00000000-0006-0000-0200-00004C0C0000}">
      <text>
        <r>
          <rPr>
            <sz val="9"/>
            <color indexed="81"/>
            <rFont val="Tahoma"/>
            <charset val="1"/>
          </rPr>
          <t>Stability=3,Expiration=8/4/2018</t>
        </r>
      </text>
    </comment>
    <comment ref="U10" authorId="0" shapeId="0" xr:uid="{00000000-0006-0000-0200-00004D0C0000}">
      <text>
        <r>
          <rPr>
            <sz val="9"/>
            <color indexed="81"/>
            <rFont val="Tahoma"/>
            <charset val="1"/>
          </rPr>
          <t>Stability=1,Expiration=4/20/2018</t>
        </r>
      </text>
    </comment>
    <comment ref="V10" authorId="0" shapeId="0" xr:uid="{00000000-0006-0000-0200-00004E0C0000}">
      <text>
        <r>
          <rPr>
            <sz val="9"/>
            <color indexed="81"/>
            <rFont val="Tahoma"/>
            <charset val="1"/>
          </rPr>
          <t>Stability=24,Expiration=8/17/2018</t>
        </r>
      </text>
    </comment>
    <comment ref="W10" authorId="0" shapeId="0" xr:uid="{00000000-0006-0000-0200-00004F0C0000}">
      <text>
        <r>
          <rPr>
            <sz val="9"/>
            <color indexed="81"/>
            <rFont val="Tahoma"/>
            <charset val="1"/>
          </rPr>
          <t>Stability=13,Expiration=3/31/2019</t>
        </r>
      </text>
    </comment>
    <comment ref="X10" authorId="0" shapeId="0" xr:uid="{00000000-0006-0000-0200-0000500C0000}">
      <text>
        <r>
          <rPr>
            <sz val="9"/>
            <color indexed="81"/>
            <rFont val="Tahoma"/>
            <charset val="1"/>
          </rPr>
          <t>Stability=18,Expiration=6/28/2018</t>
        </r>
      </text>
    </comment>
    <comment ref="Y10" authorId="0" shapeId="0" xr:uid="{00000000-0006-0000-0200-0000510C0000}">
      <text>
        <r>
          <rPr>
            <sz val="9"/>
            <color indexed="81"/>
            <rFont val="Tahoma"/>
            <charset val="1"/>
          </rPr>
          <t>Stability=29,Expiration=3/4/2019</t>
        </r>
      </text>
    </comment>
    <comment ref="Z10" authorId="0" shapeId="0" xr:uid="{00000000-0006-0000-0200-0000520C0000}">
      <text>
        <r>
          <rPr>
            <sz val="9"/>
            <color indexed="81"/>
            <rFont val="Tahoma"/>
            <charset val="1"/>
          </rPr>
          <t>Stability=28,Expiration=6/30/2018</t>
        </r>
      </text>
    </comment>
    <comment ref="AA10" authorId="0" shapeId="0" xr:uid="{00000000-0006-0000-0200-0000530C0000}">
      <text>
        <r>
          <rPr>
            <sz val="9"/>
            <color indexed="81"/>
            <rFont val="Tahoma"/>
            <charset val="1"/>
          </rPr>
          <t>Stability=28,Expiration=11/12/2018</t>
        </r>
      </text>
    </comment>
    <comment ref="AB10" authorId="0" shapeId="0" xr:uid="{00000000-0006-0000-0200-00005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0" authorId="0" shapeId="0" xr:uid="{00000000-0006-0000-0200-00005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0" authorId="0" shapeId="0" xr:uid="{00000000-0006-0000-0200-00005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0" authorId="0" shapeId="0" xr:uid="{00000000-0006-0000-0200-00005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0" authorId="0" shapeId="0" xr:uid="{00000000-0006-0000-0200-00005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0" authorId="0" shapeId="0" xr:uid="{00000000-0006-0000-0200-00005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0" authorId="0" shapeId="0" xr:uid="{00000000-0006-0000-0200-00005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0" authorId="0" shapeId="0" xr:uid="{00000000-0006-0000-0200-00005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0" authorId="0" shapeId="0" xr:uid="{00000000-0006-0000-0200-00005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0" authorId="0" shapeId="0" xr:uid="{00000000-0006-0000-0200-00005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" authorId="0" shapeId="0" xr:uid="{00000000-0006-0000-0200-00005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" authorId="0" shapeId="0" xr:uid="{00000000-0006-0000-0200-00005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" authorId="0" shapeId="0" xr:uid="{00000000-0006-0000-0200-00006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" authorId="0" shapeId="0" xr:uid="{00000000-0006-0000-0200-00006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" authorId="0" shapeId="0" xr:uid="{00000000-0006-0000-0200-00006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" authorId="0" shapeId="0" xr:uid="{00000000-0006-0000-0200-00006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0" authorId="0" shapeId="0" xr:uid="{00000000-0006-0000-0200-00006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0" authorId="0" shapeId="0" xr:uid="{00000000-0006-0000-0200-00006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" authorId="0" shapeId="0" xr:uid="{00000000-0006-0000-0200-00006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0" authorId="0" shapeId="0" xr:uid="{00000000-0006-0000-0200-00006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" authorId="0" shapeId="0" xr:uid="{00000000-0006-0000-0200-0000680C0000}">
      <text>
        <r>
          <rPr>
            <sz val="9"/>
            <color indexed="81"/>
            <rFont val="Tahoma"/>
            <charset val="1"/>
          </rPr>
          <t>Stability=13,Expiration=9/25/2018</t>
        </r>
      </text>
    </comment>
    <comment ref="A11" authorId="0" shapeId="0" xr:uid="{00000000-0006-0000-0200-0000690C0000}">
      <text>
        <r>
          <rPr>
            <sz val="9"/>
            <color indexed="81"/>
            <rFont val="Tahoma"/>
            <charset val="1"/>
          </rPr>
          <t>Date macro run: 2/1/2018 10:21:53 PM</t>
        </r>
      </text>
    </comment>
    <comment ref="B11" authorId="0" shapeId="0" xr:uid="{00000000-0006-0000-0200-00006A0C0000}">
      <text>
        <r>
          <rPr>
            <sz val="9"/>
            <color indexed="81"/>
            <rFont val="Tahoma"/>
            <charset val="1"/>
          </rPr>
          <t>Stability=7,Expiration=3/9/2019</t>
        </r>
      </text>
    </comment>
    <comment ref="C11" authorId="0" shapeId="0" xr:uid="{00000000-0006-0000-0200-00006B0C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11" authorId="0" shapeId="0" xr:uid="{00000000-0006-0000-0200-00006C0C0000}">
      <text>
        <r>
          <rPr>
            <sz val="9"/>
            <color indexed="81"/>
            <rFont val="Tahoma"/>
            <charset val="1"/>
          </rPr>
          <t>Stability=23,Expiration=11/23/2018</t>
        </r>
      </text>
    </comment>
    <comment ref="E11" authorId="0" shapeId="0" xr:uid="{00000000-0006-0000-0200-00006D0C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11" authorId="0" shapeId="0" xr:uid="{00000000-0006-0000-0200-00006E0C0000}">
      <text>
        <r>
          <rPr>
            <sz val="9"/>
            <color indexed="81"/>
            <rFont val="Tahoma"/>
            <charset val="1"/>
          </rPr>
          <t>Stability=2,Expiration=3/13/2018</t>
        </r>
      </text>
    </comment>
    <comment ref="G11" authorId="0" shapeId="0" xr:uid="{00000000-0006-0000-0200-00006F0C0000}">
      <text>
        <r>
          <rPr>
            <sz val="9"/>
            <color indexed="81"/>
            <rFont val="Tahoma"/>
            <charset val="1"/>
          </rPr>
          <t>Stability=13,Expiration=6/30/2018</t>
        </r>
      </text>
    </comment>
    <comment ref="H11" authorId="0" shapeId="0" xr:uid="{00000000-0006-0000-0200-0000700C0000}">
      <text>
        <r>
          <rPr>
            <sz val="9"/>
            <color indexed="81"/>
            <rFont val="Tahoma"/>
            <charset val="1"/>
          </rPr>
          <t>Stability=6,Expiration=10/31/2018</t>
        </r>
      </text>
    </comment>
    <comment ref="I11" authorId="0" shapeId="0" xr:uid="{00000000-0006-0000-0200-0000710C0000}">
      <text>
        <r>
          <rPr>
            <sz val="9"/>
            <color indexed="81"/>
            <rFont val="Tahoma"/>
            <charset val="1"/>
          </rPr>
          <t>Stability=21,Expiration=3/12/2018</t>
        </r>
      </text>
    </comment>
    <comment ref="J11" authorId="0" shapeId="0" xr:uid="{00000000-0006-0000-0200-0000720C0000}">
      <text>
        <r>
          <rPr>
            <sz val="9"/>
            <color indexed="81"/>
            <rFont val="Tahoma"/>
            <charset val="1"/>
          </rPr>
          <t>Stability=29,Expiration=2/1/2018</t>
        </r>
      </text>
    </comment>
    <comment ref="K11" authorId="0" shapeId="0" xr:uid="{00000000-0006-0000-0200-0000730C0000}">
      <text>
        <r>
          <rPr>
            <sz val="9"/>
            <color indexed="81"/>
            <rFont val="Tahoma"/>
            <charset val="1"/>
          </rPr>
          <t>Stability=10,Expiration=6/30/2018</t>
        </r>
      </text>
    </comment>
    <comment ref="L11" authorId="0" shapeId="0" xr:uid="{00000000-0006-0000-0200-0000740C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11" authorId="0" shapeId="0" xr:uid="{00000000-0006-0000-0200-0000750C0000}">
      <text>
        <r>
          <rPr>
            <sz val="9"/>
            <color indexed="81"/>
            <rFont val="Tahoma"/>
            <charset val="1"/>
          </rPr>
          <t>Stability=46,Expiration=4/30/2018</t>
        </r>
      </text>
    </comment>
    <comment ref="N11" authorId="0" shapeId="0" xr:uid="{00000000-0006-0000-0200-0000760C0000}">
      <text>
        <r>
          <rPr>
            <sz val="9"/>
            <color indexed="81"/>
            <rFont val="Tahoma"/>
            <charset val="1"/>
          </rPr>
          <t>Stability=28,Expiration=5/31/2018</t>
        </r>
      </text>
    </comment>
    <comment ref="O11" authorId="0" shapeId="0" xr:uid="{00000000-0006-0000-0200-00007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1" authorId="0" shapeId="0" xr:uid="{00000000-0006-0000-0200-0000780C0000}">
      <text>
        <r>
          <rPr>
            <sz val="9"/>
            <color indexed="81"/>
            <rFont val="Tahoma"/>
            <charset val="1"/>
          </rPr>
          <t>Stability=19,Expiration=5/3/2019</t>
        </r>
      </text>
    </comment>
    <comment ref="Q11" authorId="0" shapeId="0" xr:uid="{00000000-0006-0000-0200-0000790C0000}">
      <text>
        <r>
          <rPr>
            <sz val="9"/>
            <color indexed="81"/>
            <rFont val="Tahoma"/>
            <charset val="1"/>
          </rPr>
          <t>Stability=8,Expiration=2/6/2019</t>
        </r>
      </text>
    </comment>
    <comment ref="R11" authorId="0" shapeId="0" xr:uid="{00000000-0006-0000-0200-00007A0C0000}">
      <text>
        <r>
          <rPr>
            <sz val="9"/>
            <color indexed="81"/>
            <rFont val="Tahoma"/>
            <charset val="1"/>
          </rPr>
          <t>Stability=32,Expiration=5/10/2018</t>
        </r>
      </text>
    </comment>
    <comment ref="S11" authorId="0" shapeId="0" xr:uid="{00000000-0006-0000-0200-00007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1" authorId="0" shapeId="0" xr:uid="{00000000-0006-0000-0200-00007C0C0000}">
      <text>
        <r>
          <rPr>
            <sz val="9"/>
            <color indexed="81"/>
            <rFont val="Tahoma"/>
            <charset val="1"/>
          </rPr>
          <t>Stability=22,Expiration=8/4/2018</t>
        </r>
      </text>
    </comment>
    <comment ref="U11" authorId="0" shapeId="0" xr:uid="{00000000-0006-0000-0200-00007D0C0000}">
      <text>
        <r>
          <rPr>
            <sz val="9"/>
            <color indexed="81"/>
            <rFont val="Tahoma"/>
            <charset val="1"/>
          </rPr>
          <t>Stability=22,Expiration=4/20/2018</t>
        </r>
      </text>
    </comment>
    <comment ref="V11" authorId="0" shapeId="0" xr:uid="{00000000-0006-0000-0200-00007E0C0000}">
      <text>
        <r>
          <rPr>
            <sz val="9"/>
            <color indexed="81"/>
            <rFont val="Tahoma"/>
            <charset val="1"/>
          </rPr>
          <t>Stability=21,Expiration=8/17/2018</t>
        </r>
      </text>
    </comment>
    <comment ref="W11" authorId="0" shapeId="0" xr:uid="{00000000-0006-0000-0200-00007F0C0000}">
      <text>
        <r>
          <rPr>
            <sz val="9"/>
            <color indexed="81"/>
            <rFont val="Tahoma"/>
            <charset val="1"/>
          </rPr>
          <t>Stability=26,Expiration=3/31/2019</t>
        </r>
      </text>
    </comment>
    <comment ref="X11" authorId="0" shapeId="0" xr:uid="{00000000-0006-0000-0200-0000800C0000}">
      <text>
        <r>
          <rPr>
            <sz val="9"/>
            <color indexed="81"/>
            <rFont val="Tahoma"/>
            <charset val="1"/>
          </rPr>
          <t>Stability=15,Expiration=6/28/2018</t>
        </r>
      </text>
    </comment>
    <comment ref="Y11" authorId="0" shapeId="0" xr:uid="{00000000-0006-0000-0200-0000810C0000}">
      <text>
        <r>
          <rPr>
            <sz val="9"/>
            <color indexed="81"/>
            <rFont val="Tahoma"/>
            <charset val="1"/>
          </rPr>
          <t>Stability=26,Expiration=3/4/2019</t>
        </r>
      </text>
    </comment>
    <comment ref="Z11" authorId="0" shapeId="0" xr:uid="{00000000-0006-0000-0200-0000820C0000}">
      <text>
        <r>
          <rPr>
            <sz val="9"/>
            <color indexed="81"/>
            <rFont val="Tahoma"/>
            <charset val="1"/>
          </rPr>
          <t>Stability=25,Expiration=6/30/2018</t>
        </r>
      </text>
    </comment>
    <comment ref="AA11" authorId="0" shapeId="0" xr:uid="{00000000-0006-0000-0200-0000830C0000}">
      <text>
        <r>
          <rPr>
            <sz val="9"/>
            <color indexed="81"/>
            <rFont val="Tahoma"/>
            <charset val="1"/>
          </rPr>
          <t>Stability=25,Expiration=11/12/2018</t>
        </r>
      </text>
    </comment>
    <comment ref="AB11" authorId="0" shapeId="0" xr:uid="{00000000-0006-0000-0200-00008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1" authorId="0" shapeId="0" xr:uid="{00000000-0006-0000-0200-00008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1" authorId="0" shapeId="0" xr:uid="{00000000-0006-0000-0200-00008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1" authorId="0" shapeId="0" xr:uid="{00000000-0006-0000-0200-00008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1" authorId="0" shapeId="0" xr:uid="{00000000-0006-0000-0200-00008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1" authorId="0" shapeId="0" xr:uid="{00000000-0006-0000-0200-00008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1" authorId="0" shapeId="0" xr:uid="{00000000-0006-0000-0200-00008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1" authorId="0" shapeId="0" xr:uid="{00000000-0006-0000-0200-00008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1" authorId="0" shapeId="0" xr:uid="{00000000-0006-0000-0200-00008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1" authorId="0" shapeId="0" xr:uid="{00000000-0006-0000-0200-00008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" authorId="0" shapeId="0" xr:uid="{00000000-0006-0000-0200-00008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" authorId="0" shapeId="0" xr:uid="{00000000-0006-0000-0200-00008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" authorId="0" shapeId="0" xr:uid="{00000000-0006-0000-0200-00009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" authorId="0" shapeId="0" xr:uid="{00000000-0006-0000-0200-00009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" authorId="0" shapeId="0" xr:uid="{00000000-0006-0000-0200-00009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" authorId="0" shapeId="0" xr:uid="{00000000-0006-0000-0200-00009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1" authorId="0" shapeId="0" xr:uid="{00000000-0006-0000-0200-00009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1" authorId="0" shapeId="0" xr:uid="{00000000-0006-0000-0200-00009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" authorId="0" shapeId="0" xr:uid="{00000000-0006-0000-0200-00009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1" authorId="0" shapeId="0" xr:uid="{00000000-0006-0000-0200-00009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" authorId="0" shapeId="0" xr:uid="{00000000-0006-0000-0200-0000980C0000}">
      <text>
        <r>
          <rPr>
            <sz val="9"/>
            <color indexed="81"/>
            <rFont val="Tahoma"/>
            <charset val="1"/>
          </rPr>
          <t>Stability=10,Expiration=9/25/2018</t>
        </r>
      </text>
    </comment>
    <comment ref="A12" authorId="0" shapeId="0" xr:uid="{00000000-0006-0000-0200-0000990C0000}">
      <text>
        <r>
          <rPr>
            <sz val="9"/>
            <color indexed="81"/>
            <rFont val="Tahoma"/>
            <charset val="1"/>
          </rPr>
          <t>Date macro run: 2/5/2018 10:08:01 PM</t>
        </r>
      </text>
    </comment>
    <comment ref="B12" authorId="0" shapeId="0" xr:uid="{00000000-0006-0000-0200-00009A0C0000}">
      <text>
        <r>
          <rPr>
            <sz val="9"/>
            <color indexed="81"/>
            <rFont val="Tahoma"/>
            <charset val="1"/>
          </rPr>
          <t>Stability=3,Expiration=3/9/2019</t>
        </r>
      </text>
    </comment>
    <comment ref="C12" authorId="0" shapeId="0" xr:uid="{00000000-0006-0000-0200-00009B0C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12" authorId="0" shapeId="0" xr:uid="{00000000-0006-0000-0200-00009C0C0000}">
      <text>
        <r>
          <rPr>
            <sz val="9"/>
            <color indexed="81"/>
            <rFont val="Tahoma"/>
            <charset val="1"/>
          </rPr>
          <t>Stability=19,Expiration=11/23/2018</t>
        </r>
      </text>
    </comment>
    <comment ref="E12" authorId="0" shapeId="0" xr:uid="{00000000-0006-0000-0200-00009D0C0000}">
      <text>
        <r>
          <rPr>
            <sz val="9"/>
            <color indexed="81"/>
            <rFont val="Tahoma"/>
            <charset val="1"/>
          </rPr>
          <t>Stability=10,Expiration=12/31/2018</t>
        </r>
      </text>
    </comment>
    <comment ref="F12" authorId="0" shapeId="0" xr:uid="{00000000-0006-0000-0200-00009E0C0000}">
      <text>
        <r>
          <rPr>
            <sz val="9"/>
            <color indexed="81"/>
            <rFont val="Tahoma"/>
            <charset val="1"/>
          </rPr>
          <t>Stability=27,Expiration=3/13/2018</t>
        </r>
      </text>
    </comment>
    <comment ref="G12" authorId="0" shapeId="0" xr:uid="{00000000-0006-0000-0200-00009F0C0000}">
      <text>
        <r>
          <rPr>
            <sz val="9"/>
            <color indexed="81"/>
            <rFont val="Tahoma"/>
            <charset val="1"/>
          </rPr>
          <t>Stability=9,Expiration=6/30/2018</t>
        </r>
      </text>
    </comment>
    <comment ref="H12" authorId="0" shapeId="0" xr:uid="{00000000-0006-0000-0200-0000A00C0000}">
      <text>
        <r>
          <rPr>
            <sz val="9"/>
            <color indexed="81"/>
            <rFont val="Tahoma"/>
            <charset val="1"/>
          </rPr>
          <t>Stability=2,Expiration=10/31/2018</t>
        </r>
      </text>
    </comment>
    <comment ref="I12" authorId="0" shapeId="0" xr:uid="{00000000-0006-0000-0200-0000A10C0000}">
      <text>
        <r>
          <rPr>
            <sz val="9"/>
            <color indexed="81"/>
            <rFont val="Tahoma"/>
            <charset val="1"/>
          </rPr>
          <t>Stability=17,Expiration=3/12/2018</t>
        </r>
      </text>
    </comment>
    <comment ref="J12" authorId="0" shapeId="0" xr:uid="{00000000-0006-0000-0200-0000A20C0000}">
      <text>
        <r>
          <rPr>
            <sz val="9"/>
            <color indexed="81"/>
            <rFont val="Tahoma"/>
            <charset val="1"/>
          </rPr>
          <t>Stability=25,Expiration=2/1/2018</t>
        </r>
      </text>
    </comment>
    <comment ref="K12" authorId="0" shapeId="0" xr:uid="{00000000-0006-0000-0200-0000A30C0000}">
      <text>
        <r>
          <rPr>
            <sz val="9"/>
            <color indexed="81"/>
            <rFont val="Tahoma"/>
            <charset val="1"/>
          </rPr>
          <t>Stability=6,Expiration=6/30/2018</t>
        </r>
      </text>
    </comment>
    <comment ref="L12" authorId="0" shapeId="0" xr:uid="{00000000-0006-0000-0200-0000A40C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12" authorId="0" shapeId="0" xr:uid="{00000000-0006-0000-0200-0000A50C0000}">
      <text>
        <r>
          <rPr>
            <sz val="9"/>
            <color indexed="81"/>
            <rFont val="Tahoma"/>
            <charset val="1"/>
          </rPr>
          <t>Stability=42,Expiration=4/30/2018</t>
        </r>
      </text>
    </comment>
    <comment ref="N12" authorId="0" shapeId="0" xr:uid="{00000000-0006-0000-0200-0000A60C0000}">
      <text>
        <r>
          <rPr>
            <sz val="9"/>
            <color indexed="81"/>
            <rFont val="Tahoma"/>
            <charset val="1"/>
          </rPr>
          <t>Stability=24,Expiration=5/31/2018</t>
        </r>
      </text>
    </comment>
    <comment ref="O12" authorId="0" shapeId="0" xr:uid="{00000000-0006-0000-0200-0000A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2" authorId="0" shapeId="0" xr:uid="{00000000-0006-0000-0200-0000A80C0000}">
      <text>
        <r>
          <rPr>
            <sz val="9"/>
            <color indexed="81"/>
            <rFont val="Tahoma"/>
            <charset val="1"/>
          </rPr>
          <t>Stability=15,Expiration=5/3/2019</t>
        </r>
      </text>
    </comment>
    <comment ref="Q12" authorId="0" shapeId="0" xr:uid="{00000000-0006-0000-0200-0000A90C0000}">
      <text>
        <r>
          <rPr>
            <sz val="9"/>
            <color indexed="81"/>
            <rFont val="Tahoma"/>
            <charset val="1"/>
          </rPr>
          <t>Stability=27,Expiration=2/6/2019</t>
        </r>
      </text>
    </comment>
    <comment ref="R12" authorId="0" shapeId="0" xr:uid="{00000000-0006-0000-0200-0000AA0C0000}">
      <text>
        <r>
          <rPr>
            <sz val="9"/>
            <color indexed="81"/>
            <rFont val="Tahoma"/>
            <charset val="1"/>
          </rPr>
          <t>Stability=28,Expiration=5/10/2018</t>
        </r>
      </text>
    </comment>
    <comment ref="S12" authorId="0" shapeId="0" xr:uid="{00000000-0006-0000-0200-0000A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2" authorId="0" shapeId="0" xr:uid="{00000000-0006-0000-0200-0000AC0C0000}">
      <text>
        <r>
          <rPr>
            <sz val="9"/>
            <color indexed="81"/>
            <rFont val="Tahoma"/>
            <charset val="1"/>
          </rPr>
          <t>Stability=18,Expiration=8/4/2018</t>
        </r>
      </text>
    </comment>
    <comment ref="U12" authorId="0" shapeId="0" xr:uid="{00000000-0006-0000-0200-0000AD0C0000}">
      <text>
        <r>
          <rPr>
            <sz val="9"/>
            <color indexed="81"/>
            <rFont val="Tahoma"/>
            <charset val="1"/>
          </rPr>
          <t>Stability=18,Expiration=4/20/2018</t>
        </r>
      </text>
    </comment>
    <comment ref="V12" authorId="0" shapeId="0" xr:uid="{00000000-0006-0000-0200-0000AE0C0000}">
      <text>
        <r>
          <rPr>
            <sz val="9"/>
            <color indexed="81"/>
            <rFont val="Tahoma"/>
            <charset val="1"/>
          </rPr>
          <t>Stability=17,Expiration=8/17/2018</t>
        </r>
      </text>
    </comment>
    <comment ref="W12" authorId="0" shapeId="0" xr:uid="{00000000-0006-0000-0200-0000AF0C0000}">
      <text>
        <r>
          <rPr>
            <sz val="9"/>
            <color indexed="81"/>
            <rFont val="Tahoma"/>
            <charset val="1"/>
          </rPr>
          <t>Stability=22,Expiration=3/31/2019</t>
        </r>
      </text>
    </comment>
    <comment ref="X12" authorId="0" shapeId="0" xr:uid="{00000000-0006-0000-0200-0000B00C0000}">
      <text>
        <r>
          <rPr>
            <sz val="9"/>
            <color indexed="81"/>
            <rFont val="Tahoma"/>
            <charset val="1"/>
          </rPr>
          <t>Stability=28,Expiration=6/28/2018</t>
        </r>
      </text>
    </comment>
    <comment ref="Y12" authorId="0" shapeId="0" xr:uid="{00000000-0006-0000-0200-0000B10C0000}">
      <text>
        <r>
          <rPr>
            <sz val="9"/>
            <color indexed="81"/>
            <rFont val="Tahoma"/>
            <charset val="1"/>
          </rPr>
          <t>Stability=22,Expiration=3/4/2019</t>
        </r>
      </text>
    </comment>
    <comment ref="Z12" authorId="0" shapeId="0" xr:uid="{00000000-0006-0000-0200-0000B20C0000}">
      <text>
        <r>
          <rPr>
            <sz val="9"/>
            <color indexed="81"/>
            <rFont val="Tahoma"/>
            <charset val="1"/>
          </rPr>
          <t>Stability=21,Expiration=6/30/2018</t>
        </r>
      </text>
    </comment>
    <comment ref="AA12" authorId="0" shapeId="0" xr:uid="{00000000-0006-0000-0200-0000B30C0000}">
      <text>
        <r>
          <rPr>
            <sz val="9"/>
            <color indexed="81"/>
            <rFont val="Tahoma"/>
            <charset val="1"/>
          </rPr>
          <t>Stability=21,Expiration=11/12/2018</t>
        </r>
      </text>
    </comment>
    <comment ref="AB12" authorId="0" shapeId="0" xr:uid="{00000000-0006-0000-0200-0000B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2" authorId="0" shapeId="0" xr:uid="{00000000-0006-0000-0200-0000B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2" authorId="0" shapeId="0" xr:uid="{00000000-0006-0000-0200-0000B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2" authorId="0" shapeId="0" xr:uid="{00000000-0006-0000-0200-0000B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2" authorId="0" shapeId="0" xr:uid="{00000000-0006-0000-0200-0000B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2" authorId="0" shapeId="0" xr:uid="{00000000-0006-0000-0200-0000B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2" authorId="0" shapeId="0" xr:uid="{00000000-0006-0000-0200-0000B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2" authorId="0" shapeId="0" xr:uid="{00000000-0006-0000-0200-0000B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2" authorId="0" shapeId="0" xr:uid="{00000000-0006-0000-0200-0000B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2" authorId="0" shapeId="0" xr:uid="{00000000-0006-0000-0200-0000B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" authorId="0" shapeId="0" xr:uid="{00000000-0006-0000-0200-0000B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" authorId="0" shapeId="0" xr:uid="{00000000-0006-0000-0200-0000B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" authorId="0" shapeId="0" xr:uid="{00000000-0006-0000-0200-0000C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" authorId="0" shapeId="0" xr:uid="{00000000-0006-0000-0200-0000C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" authorId="0" shapeId="0" xr:uid="{00000000-0006-0000-0200-0000C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" authorId="0" shapeId="0" xr:uid="{00000000-0006-0000-0200-0000C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2" authorId="0" shapeId="0" xr:uid="{00000000-0006-0000-0200-0000C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2" authorId="0" shapeId="0" xr:uid="{00000000-0006-0000-0200-0000C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" authorId="0" shapeId="0" xr:uid="{00000000-0006-0000-0200-0000C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2" authorId="0" shapeId="0" xr:uid="{00000000-0006-0000-0200-0000C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" authorId="0" shapeId="0" xr:uid="{00000000-0006-0000-0200-0000C80C0000}">
      <text>
        <r>
          <rPr>
            <sz val="9"/>
            <color indexed="81"/>
            <rFont val="Tahoma"/>
            <charset val="1"/>
          </rPr>
          <t>Stability=30,Expiration=9/25/2018</t>
        </r>
      </text>
    </comment>
    <comment ref="A13" authorId="0" shapeId="0" xr:uid="{00000000-0006-0000-0200-0000C90C0000}">
      <text>
        <r>
          <rPr>
            <sz val="9"/>
            <color indexed="81"/>
            <rFont val="Tahoma"/>
            <charset val="1"/>
          </rPr>
          <t>Date macro run: 2/8/2018 10:16:28 PM</t>
        </r>
      </text>
    </comment>
    <comment ref="B13" authorId="0" shapeId="0" xr:uid="{00000000-0006-0000-0200-0000CA0C0000}">
      <text>
        <r>
          <rPr>
            <sz val="9"/>
            <color indexed="81"/>
            <rFont val="Tahoma"/>
            <charset val="1"/>
          </rPr>
          <t>Stability=41,Expiration=3/9/2019</t>
        </r>
      </text>
    </comment>
    <comment ref="C13" authorId="0" shapeId="0" xr:uid="{00000000-0006-0000-0200-0000CB0C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13" authorId="0" shapeId="0" xr:uid="{00000000-0006-0000-0200-0000CC0C0000}">
      <text>
        <r>
          <rPr>
            <sz val="9"/>
            <color indexed="81"/>
            <rFont val="Tahoma"/>
            <charset val="1"/>
          </rPr>
          <t>Stability=16,Expiration=11/23/2018</t>
        </r>
      </text>
    </comment>
    <comment ref="E13" authorId="0" shapeId="0" xr:uid="{00000000-0006-0000-0200-0000CD0C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13" authorId="0" shapeId="0" xr:uid="{00000000-0006-0000-0200-0000CE0C0000}">
      <text>
        <r>
          <rPr>
            <sz val="9"/>
            <color indexed="81"/>
            <rFont val="Tahoma"/>
            <charset val="1"/>
          </rPr>
          <t>Stability=24,Expiration=3/13/2018</t>
        </r>
      </text>
    </comment>
    <comment ref="G13" authorId="0" shapeId="0" xr:uid="{00000000-0006-0000-0200-0000CF0C0000}">
      <text>
        <r>
          <rPr>
            <sz val="9"/>
            <color indexed="81"/>
            <rFont val="Tahoma"/>
            <charset val="1"/>
          </rPr>
          <t>Stability=6,Expiration=6/30/2018</t>
        </r>
      </text>
    </comment>
    <comment ref="H13" authorId="0" shapeId="0" xr:uid="{00000000-0006-0000-0200-0000D00C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I13" authorId="0" shapeId="0" xr:uid="{00000000-0006-0000-0200-0000D10C0000}">
      <text>
        <r>
          <rPr>
            <sz val="9"/>
            <color indexed="81"/>
            <rFont val="Tahoma"/>
            <charset val="1"/>
          </rPr>
          <t>Stability=14,Expiration=3/12/2018</t>
        </r>
      </text>
    </comment>
    <comment ref="J13" authorId="0" shapeId="0" xr:uid="{00000000-0006-0000-0200-0000D20C0000}">
      <text>
        <r>
          <rPr>
            <sz val="9"/>
            <color indexed="81"/>
            <rFont val="Tahoma"/>
            <charset val="1"/>
          </rPr>
          <t>Stability=22,Expiration=2/1/2018</t>
        </r>
      </text>
    </comment>
    <comment ref="K13" authorId="0" shapeId="0" xr:uid="{00000000-0006-0000-0200-0000D30C0000}">
      <text>
        <r>
          <rPr>
            <sz val="9"/>
            <color indexed="81"/>
            <rFont val="Tahoma"/>
            <charset val="1"/>
          </rPr>
          <t>Stability=3,Expiration=6/30/2018</t>
        </r>
      </text>
    </comment>
    <comment ref="L13" authorId="0" shapeId="0" xr:uid="{00000000-0006-0000-0200-0000D40C0000}">
      <text>
        <r>
          <rPr>
            <sz val="9"/>
            <color indexed="81"/>
            <rFont val="Tahoma"/>
            <charset val="1"/>
          </rPr>
          <t>Stability=3,Expiration=1/7/2019</t>
        </r>
      </text>
    </comment>
    <comment ref="M13" authorId="0" shapeId="0" xr:uid="{00000000-0006-0000-0200-0000D50C0000}">
      <text>
        <r>
          <rPr>
            <sz val="9"/>
            <color indexed="81"/>
            <rFont val="Tahoma"/>
            <charset val="1"/>
          </rPr>
          <t>Stability=39,Expiration=4/30/2018</t>
        </r>
      </text>
    </comment>
    <comment ref="N13" authorId="0" shapeId="0" xr:uid="{00000000-0006-0000-0200-0000D60C0000}">
      <text>
        <r>
          <rPr>
            <sz val="9"/>
            <color indexed="81"/>
            <rFont val="Tahoma"/>
            <charset val="1"/>
          </rPr>
          <t>Stability=21,Expiration=5/31/2018</t>
        </r>
      </text>
    </comment>
    <comment ref="O13" authorId="0" shapeId="0" xr:uid="{00000000-0006-0000-0200-0000D7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3" authorId="0" shapeId="0" xr:uid="{00000000-0006-0000-0200-0000D80C0000}">
      <text>
        <r>
          <rPr>
            <sz val="9"/>
            <color indexed="81"/>
            <rFont val="Tahoma"/>
            <charset val="1"/>
          </rPr>
          <t>Stability=12,Expiration=5/3/2019</t>
        </r>
      </text>
    </comment>
    <comment ref="Q13" authorId="0" shapeId="0" xr:uid="{00000000-0006-0000-0200-0000D90C0000}">
      <text>
        <r>
          <rPr>
            <sz val="9"/>
            <color indexed="81"/>
            <rFont val="Tahoma"/>
            <charset val="1"/>
          </rPr>
          <t>Stability=24,Expiration=2/6/2019</t>
        </r>
      </text>
    </comment>
    <comment ref="R13" authorId="0" shapeId="0" xr:uid="{00000000-0006-0000-0200-0000DA0C0000}">
      <text>
        <r>
          <rPr>
            <sz val="9"/>
            <color indexed="81"/>
            <rFont val="Tahoma"/>
            <charset val="1"/>
          </rPr>
          <t>Stability=25,Expiration=5/10/2018</t>
        </r>
      </text>
    </comment>
    <comment ref="S13" authorId="0" shapeId="0" xr:uid="{00000000-0006-0000-0200-0000D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3" authorId="0" shapeId="0" xr:uid="{00000000-0006-0000-0200-0000DC0C0000}">
      <text>
        <r>
          <rPr>
            <sz val="9"/>
            <color indexed="81"/>
            <rFont val="Tahoma"/>
            <charset val="1"/>
          </rPr>
          <t>Stability=15,Expiration=8/4/2018</t>
        </r>
      </text>
    </comment>
    <comment ref="U13" authorId="0" shapeId="0" xr:uid="{00000000-0006-0000-0200-0000DD0C0000}">
      <text>
        <r>
          <rPr>
            <sz val="9"/>
            <color indexed="81"/>
            <rFont val="Tahoma"/>
            <charset val="1"/>
          </rPr>
          <t>Stability=15,Expiration=4/20/2018</t>
        </r>
      </text>
    </comment>
    <comment ref="V13" authorId="0" shapeId="0" xr:uid="{00000000-0006-0000-0200-0000DE0C0000}">
      <text>
        <r>
          <rPr>
            <sz val="9"/>
            <color indexed="81"/>
            <rFont val="Tahoma"/>
            <charset val="1"/>
          </rPr>
          <t>Stability=14,Expiration=8/17/2018</t>
        </r>
      </text>
    </comment>
    <comment ref="W13" authorId="0" shapeId="0" xr:uid="{00000000-0006-0000-0200-0000DF0C0000}">
      <text>
        <r>
          <rPr>
            <sz val="9"/>
            <color indexed="81"/>
            <rFont val="Tahoma"/>
            <charset val="1"/>
          </rPr>
          <t>Stability=19,Expiration=3/31/2019</t>
        </r>
      </text>
    </comment>
    <comment ref="X13" authorId="0" shapeId="0" xr:uid="{00000000-0006-0000-0200-0000E00C0000}">
      <text>
        <r>
          <rPr>
            <sz val="9"/>
            <color indexed="81"/>
            <rFont val="Tahoma"/>
            <charset val="1"/>
          </rPr>
          <t>Stability=25,Expiration=6/28/2018</t>
        </r>
      </text>
    </comment>
    <comment ref="Y13" authorId="0" shapeId="0" xr:uid="{00000000-0006-0000-0200-0000E10C0000}">
      <text>
        <r>
          <rPr>
            <sz val="9"/>
            <color indexed="81"/>
            <rFont val="Tahoma"/>
            <charset val="1"/>
          </rPr>
          <t>Stability=19,Expiration=3/4/2019</t>
        </r>
      </text>
    </comment>
    <comment ref="Z13" authorId="0" shapeId="0" xr:uid="{00000000-0006-0000-0200-0000E20C0000}">
      <text>
        <r>
          <rPr>
            <sz val="9"/>
            <color indexed="81"/>
            <rFont val="Tahoma"/>
            <charset val="1"/>
          </rPr>
          <t>Stability=18,Expiration=6/30/2018</t>
        </r>
      </text>
    </comment>
    <comment ref="AA13" authorId="0" shapeId="0" xr:uid="{00000000-0006-0000-0200-0000E30C0000}">
      <text>
        <r>
          <rPr>
            <sz val="9"/>
            <color indexed="81"/>
            <rFont val="Tahoma"/>
            <charset val="1"/>
          </rPr>
          <t>Stability=29,Expiration=11/12/2018</t>
        </r>
      </text>
    </comment>
    <comment ref="AB13" authorId="0" shapeId="0" xr:uid="{00000000-0006-0000-0200-0000E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3" authorId="0" shapeId="0" xr:uid="{00000000-0006-0000-0200-0000E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3" authorId="0" shapeId="0" xr:uid="{00000000-0006-0000-0200-0000E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3" authorId="0" shapeId="0" xr:uid="{00000000-0006-0000-0200-0000E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3" authorId="0" shapeId="0" xr:uid="{00000000-0006-0000-0200-0000E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3" authorId="0" shapeId="0" xr:uid="{00000000-0006-0000-0200-0000E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3" authorId="0" shapeId="0" xr:uid="{00000000-0006-0000-0200-0000E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3" authorId="0" shapeId="0" xr:uid="{00000000-0006-0000-0200-0000E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3" authorId="0" shapeId="0" xr:uid="{00000000-0006-0000-0200-0000E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3" authorId="0" shapeId="0" xr:uid="{00000000-0006-0000-0200-0000E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" authorId="0" shapeId="0" xr:uid="{00000000-0006-0000-0200-0000E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" authorId="0" shapeId="0" xr:uid="{00000000-0006-0000-0200-0000E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" authorId="0" shapeId="0" xr:uid="{00000000-0006-0000-0200-0000F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" authorId="0" shapeId="0" xr:uid="{00000000-0006-0000-0200-0000F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" authorId="0" shapeId="0" xr:uid="{00000000-0006-0000-0200-0000F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" authorId="0" shapeId="0" xr:uid="{00000000-0006-0000-0200-0000F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3" authorId="0" shapeId="0" xr:uid="{00000000-0006-0000-0200-0000F40C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3" authorId="0" shapeId="0" xr:uid="{00000000-0006-0000-0200-0000F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" authorId="0" shapeId="0" xr:uid="{00000000-0006-0000-0200-0000F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3" authorId="0" shapeId="0" xr:uid="{00000000-0006-0000-0200-0000F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" authorId="0" shapeId="0" xr:uid="{00000000-0006-0000-0200-0000F80C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14" authorId="0" shapeId="0" xr:uid="{00000000-0006-0000-0200-0000F90C0000}">
      <text>
        <r>
          <rPr>
            <sz val="9"/>
            <color indexed="81"/>
            <rFont val="Tahoma"/>
            <charset val="1"/>
          </rPr>
          <t>Date macro run: 2/9/2018 10:30:34 PM</t>
        </r>
      </text>
    </comment>
    <comment ref="B14" authorId="0" shapeId="0" xr:uid="{00000000-0006-0000-0200-0000FA0C0000}">
      <text>
        <r>
          <rPr>
            <sz val="9"/>
            <color indexed="81"/>
            <rFont val="Tahoma"/>
            <charset val="1"/>
          </rPr>
          <t>Stability=40,Expiration=3/9/2019</t>
        </r>
      </text>
    </comment>
    <comment ref="C14" authorId="0" shapeId="0" xr:uid="{00000000-0006-0000-0200-0000FB0C0000}">
      <text>
        <r>
          <rPr>
            <sz val="9"/>
            <color indexed="81"/>
            <rFont val="Tahoma"/>
            <charset val="1"/>
          </rPr>
          <t>Stability=1,Expiration=10/22/2018</t>
        </r>
      </text>
    </comment>
    <comment ref="D14" authorId="0" shapeId="0" xr:uid="{00000000-0006-0000-0200-0000FC0C0000}">
      <text>
        <r>
          <rPr>
            <sz val="9"/>
            <color indexed="81"/>
            <rFont val="Tahoma"/>
            <charset val="1"/>
          </rPr>
          <t>Stability=15,Expiration=11/23/2018</t>
        </r>
      </text>
    </comment>
    <comment ref="E14" authorId="0" shapeId="0" xr:uid="{00000000-0006-0000-0200-0000FD0C0000}">
      <text>
        <r>
          <rPr>
            <sz val="9"/>
            <color indexed="81"/>
            <rFont val="Tahoma"/>
            <charset val="1"/>
          </rPr>
          <t>Stability=6,Expiration=12/31/2018</t>
        </r>
      </text>
    </comment>
    <comment ref="F14" authorId="0" shapeId="0" xr:uid="{00000000-0006-0000-0200-0000FE0C0000}">
      <text>
        <r>
          <rPr>
            <sz val="9"/>
            <color indexed="81"/>
            <rFont val="Tahoma"/>
            <charset val="1"/>
          </rPr>
          <t>Stability=23,Expiration=3/13/2018</t>
        </r>
      </text>
    </comment>
    <comment ref="G14" authorId="0" shapeId="0" xr:uid="{00000000-0006-0000-0200-0000FF0C0000}">
      <text>
        <r>
          <rPr>
            <sz val="9"/>
            <color indexed="81"/>
            <rFont val="Tahoma"/>
            <charset val="1"/>
          </rPr>
          <t>Stability=5,Expiration=6/30/2018</t>
        </r>
      </text>
    </comment>
    <comment ref="H14" authorId="0" shapeId="0" xr:uid="{00000000-0006-0000-0200-0000000D0000}">
      <text>
        <r>
          <rPr>
            <sz val="9"/>
            <color indexed="81"/>
            <rFont val="Tahoma"/>
            <charset val="1"/>
          </rPr>
          <t>Stability=18,Expiration=10/31/2018</t>
        </r>
      </text>
    </comment>
    <comment ref="I14" authorId="0" shapeId="0" xr:uid="{00000000-0006-0000-0200-0000010D0000}">
      <text>
        <r>
          <rPr>
            <sz val="9"/>
            <color indexed="81"/>
            <rFont val="Tahoma"/>
            <charset val="1"/>
          </rPr>
          <t>Stability=29,Expiration=3/12/2018</t>
        </r>
      </text>
    </comment>
    <comment ref="J14" authorId="0" shapeId="0" xr:uid="{00000000-0006-0000-0200-0000020D0000}">
      <text>
        <r>
          <rPr>
            <sz val="9"/>
            <color indexed="81"/>
            <rFont val="Tahoma"/>
            <charset val="1"/>
          </rPr>
          <t>Stability=21,Expiration=2/1/2018</t>
        </r>
      </text>
    </comment>
    <comment ref="K14" authorId="0" shapeId="0" xr:uid="{00000000-0006-0000-0200-0000030D0000}">
      <text>
        <r>
          <rPr>
            <sz val="9"/>
            <color indexed="81"/>
            <rFont val="Tahoma"/>
            <charset val="1"/>
          </rPr>
          <t>Stability=2,Expiration=6/30/2018</t>
        </r>
      </text>
    </comment>
    <comment ref="L14" authorId="0" shapeId="0" xr:uid="{00000000-0006-0000-0200-0000040D0000}">
      <text>
        <r>
          <rPr>
            <sz val="9"/>
            <color indexed="81"/>
            <rFont val="Tahoma"/>
            <charset val="1"/>
          </rPr>
          <t>Stability=2,Expiration=1/7/2019</t>
        </r>
      </text>
    </comment>
    <comment ref="M14" authorId="0" shapeId="0" xr:uid="{00000000-0006-0000-0200-0000050D0000}">
      <text>
        <r>
          <rPr>
            <sz val="9"/>
            <color indexed="81"/>
            <rFont val="Tahoma"/>
            <charset val="1"/>
          </rPr>
          <t>Stability=38,Expiration=4/30/2018</t>
        </r>
      </text>
    </comment>
    <comment ref="N14" authorId="0" shapeId="0" xr:uid="{00000000-0006-0000-0200-0000060D0000}">
      <text>
        <r>
          <rPr>
            <sz val="9"/>
            <color indexed="81"/>
            <rFont val="Tahoma"/>
            <charset val="1"/>
          </rPr>
          <t>Stability=20,Expiration=5/31/2018</t>
        </r>
      </text>
    </comment>
    <comment ref="O14" authorId="0" shapeId="0" xr:uid="{00000000-0006-0000-0200-00000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4" authorId="0" shapeId="0" xr:uid="{00000000-0006-0000-0200-0000080D0000}">
      <text>
        <r>
          <rPr>
            <sz val="9"/>
            <color indexed="81"/>
            <rFont val="Tahoma"/>
            <charset val="1"/>
          </rPr>
          <t>Stability=11,Expiration=5/3/2019</t>
        </r>
      </text>
    </comment>
    <comment ref="Q14" authorId="0" shapeId="0" xr:uid="{00000000-0006-0000-0200-0000090D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14" authorId="0" shapeId="0" xr:uid="{00000000-0006-0000-0200-00000A0D0000}">
      <text>
        <r>
          <rPr>
            <sz val="9"/>
            <color indexed="81"/>
            <rFont val="Tahoma"/>
            <charset val="1"/>
          </rPr>
          <t>Stability=24,Expiration=5/10/2018</t>
        </r>
      </text>
    </comment>
    <comment ref="S14" authorId="0" shapeId="0" xr:uid="{00000000-0006-0000-0200-00000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4" authorId="0" shapeId="0" xr:uid="{00000000-0006-0000-0200-00000C0D0000}">
      <text>
        <r>
          <rPr>
            <sz val="9"/>
            <color indexed="81"/>
            <rFont val="Tahoma"/>
            <charset val="1"/>
          </rPr>
          <t>Stability=14,Expiration=8/4/2018</t>
        </r>
      </text>
    </comment>
    <comment ref="U14" authorId="0" shapeId="0" xr:uid="{00000000-0006-0000-0200-00000D0D0000}">
      <text>
        <r>
          <rPr>
            <sz val="9"/>
            <color indexed="81"/>
            <rFont val="Tahoma"/>
            <charset val="1"/>
          </rPr>
          <t>Stability=14,Expiration=4/20/2018</t>
        </r>
      </text>
    </comment>
    <comment ref="V14" authorId="0" shapeId="0" xr:uid="{00000000-0006-0000-0200-00000E0D0000}">
      <text>
        <r>
          <rPr>
            <sz val="9"/>
            <color indexed="81"/>
            <rFont val="Tahoma"/>
            <charset val="1"/>
          </rPr>
          <t>Stability=13,Expiration=8/17/2018</t>
        </r>
      </text>
    </comment>
    <comment ref="W14" authorId="0" shapeId="0" xr:uid="{00000000-0006-0000-0200-00000F0D0000}">
      <text>
        <r>
          <rPr>
            <sz val="9"/>
            <color indexed="81"/>
            <rFont val="Tahoma"/>
            <charset val="1"/>
          </rPr>
          <t>Stability=18,Expiration=3/31/2019</t>
        </r>
      </text>
    </comment>
    <comment ref="X14" authorId="0" shapeId="0" xr:uid="{00000000-0006-0000-0200-0000100D0000}">
      <text>
        <r>
          <rPr>
            <sz val="9"/>
            <color indexed="81"/>
            <rFont val="Tahoma"/>
            <charset val="1"/>
          </rPr>
          <t>Stability=24,Expiration=6/28/2018</t>
        </r>
      </text>
    </comment>
    <comment ref="Y14" authorId="0" shapeId="0" xr:uid="{00000000-0006-0000-0200-0000110D0000}">
      <text>
        <r>
          <rPr>
            <sz val="9"/>
            <color indexed="81"/>
            <rFont val="Tahoma"/>
            <charset val="1"/>
          </rPr>
          <t>Stability=29,Expiration=3/4/2019</t>
        </r>
      </text>
    </comment>
    <comment ref="Z14" authorId="0" shapeId="0" xr:uid="{00000000-0006-0000-0200-0000120D0000}">
      <text>
        <r>
          <rPr>
            <sz val="9"/>
            <color indexed="81"/>
            <rFont val="Tahoma"/>
            <charset val="1"/>
          </rPr>
          <t>Stability=17,Expiration=6/30/2018</t>
        </r>
      </text>
    </comment>
    <comment ref="AA14" authorId="0" shapeId="0" xr:uid="{00000000-0006-0000-0200-0000130D0000}">
      <text>
        <r>
          <rPr>
            <sz val="9"/>
            <color indexed="81"/>
            <rFont val="Tahoma"/>
            <charset val="1"/>
          </rPr>
          <t>Stability=28,Expiration=11/12/2018</t>
        </r>
      </text>
    </comment>
    <comment ref="AB14" authorId="0" shapeId="0" xr:uid="{00000000-0006-0000-0200-00001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4" authorId="0" shapeId="0" xr:uid="{00000000-0006-0000-0200-00001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4" authorId="0" shapeId="0" xr:uid="{00000000-0006-0000-0200-00001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4" authorId="0" shapeId="0" xr:uid="{00000000-0006-0000-0200-00001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4" authorId="0" shapeId="0" xr:uid="{00000000-0006-0000-0200-00001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4" authorId="0" shapeId="0" xr:uid="{00000000-0006-0000-0200-00001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4" authorId="0" shapeId="0" xr:uid="{00000000-0006-0000-0200-00001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4" authorId="0" shapeId="0" xr:uid="{00000000-0006-0000-0200-00001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4" authorId="0" shapeId="0" xr:uid="{00000000-0006-0000-0200-00001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4" authorId="0" shapeId="0" xr:uid="{00000000-0006-0000-0200-00001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" authorId="0" shapeId="0" xr:uid="{00000000-0006-0000-0200-00001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" authorId="0" shapeId="0" xr:uid="{00000000-0006-0000-0200-00001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" authorId="0" shapeId="0" xr:uid="{00000000-0006-0000-0200-00002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" authorId="0" shapeId="0" xr:uid="{00000000-0006-0000-0200-00002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" authorId="0" shapeId="0" xr:uid="{00000000-0006-0000-0200-00002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" authorId="0" shapeId="0" xr:uid="{00000000-0006-0000-0200-00002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4" authorId="0" shapeId="0" xr:uid="{00000000-0006-0000-0200-00002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4" authorId="0" shapeId="0" xr:uid="{00000000-0006-0000-0200-00002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" authorId="0" shapeId="0" xr:uid="{00000000-0006-0000-0200-00002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4" authorId="0" shapeId="0" xr:uid="{00000000-0006-0000-0200-00002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" authorId="0" shapeId="0" xr:uid="{00000000-0006-0000-0200-0000280D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15" authorId="0" shapeId="0" xr:uid="{00000000-0006-0000-0200-0000290D0000}">
      <text>
        <r>
          <rPr>
            <sz val="9"/>
            <color indexed="81"/>
            <rFont val="Tahoma"/>
            <charset val="1"/>
          </rPr>
          <t>Date macro run: 2/12/2018 10:08:21 PM</t>
        </r>
      </text>
    </comment>
    <comment ref="B15" authorId="0" shapeId="0" xr:uid="{00000000-0006-0000-0200-00002A0D0000}">
      <text>
        <r>
          <rPr>
            <sz val="9"/>
            <color indexed="81"/>
            <rFont val="Tahoma"/>
            <charset val="1"/>
          </rPr>
          <t>Stability=37,Expiration=5/9/2019</t>
        </r>
      </text>
    </comment>
    <comment ref="C15" authorId="0" shapeId="0" xr:uid="{00000000-0006-0000-0200-00002B0D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15" authorId="0" shapeId="0" xr:uid="{00000000-0006-0000-0200-00002C0D0000}">
      <text>
        <r>
          <rPr>
            <sz val="9"/>
            <color indexed="81"/>
            <rFont val="Tahoma"/>
            <charset val="1"/>
          </rPr>
          <t>Stability=12,Expiration=11/23/2018</t>
        </r>
      </text>
    </comment>
    <comment ref="E15" authorId="0" shapeId="0" xr:uid="{00000000-0006-0000-0200-00002D0D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15" authorId="0" shapeId="0" xr:uid="{00000000-0006-0000-0200-00002E0D0000}">
      <text>
        <r>
          <rPr>
            <sz val="9"/>
            <color indexed="81"/>
            <rFont val="Tahoma"/>
            <charset val="1"/>
          </rPr>
          <t>Stability=20,Expiration=3/13/2018</t>
        </r>
      </text>
    </comment>
    <comment ref="G15" authorId="0" shapeId="0" xr:uid="{00000000-0006-0000-0200-00002F0D0000}">
      <text>
        <r>
          <rPr>
            <sz val="9"/>
            <color indexed="81"/>
            <rFont val="Tahoma"/>
            <charset val="1"/>
          </rPr>
          <t>Stability=27,Expiration=10/31/2018</t>
        </r>
      </text>
    </comment>
    <comment ref="H15" authorId="0" shapeId="0" xr:uid="{00000000-0006-0000-0200-0000300D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I15" authorId="0" shapeId="0" xr:uid="{00000000-0006-0000-0200-0000310D0000}">
      <text>
        <r>
          <rPr>
            <sz val="9"/>
            <color indexed="81"/>
            <rFont val="Tahoma"/>
            <charset val="1"/>
          </rPr>
          <t>Stability=26,Expiration=3/12/2018</t>
        </r>
      </text>
    </comment>
    <comment ref="J15" authorId="0" shapeId="0" xr:uid="{00000000-0006-0000-0200-0000320D0000}">
      <text>
        <r>
          <rPr>
            <sz val="9"/>
            <color indexed="81"/>
            <rFont val="Tahoma"/>
            <charset val="1"/>
          </rPr>
          <t>Stability=18,Expiration=3/26/2018</t>
        </r>
      </text>
    </comment>
    <comment ref="K15" authorId="0" shapeId="0" xr:uid="{00000000-0006-0000-0200-0000330D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15" authorId="0" shapeId="0" xr:uid="{00000000-0006-0000-0200-0000340D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15" authorId="0" shapeId="0" xr:uid="{00000000-0006-0000-0200-0000350D0000}">
      <text>
        <r>
          <rPr>
            <sz val="9"/>
            <color indexed="81"/>
            <rFont val="Tahoma"/>
            <charset val="1"/>
          </rPr>
          <t>Stability=35,Expiration=4/30/2018</t>
        </r>
      </text>
    </comment>
    <comment ref="N15" authorId="0" shapeId="0" xr:uid="{00000000-0006-0000-0200-0000360D0000}">
      <text>
        <r>
          <rPr>
            <sz val="9"/>
            <color indexed="81"/>
            <rFont val="Tahoma"/>
            <charset val="1"/>
          </rPr>
          <t>Stability=17,Expiration=5/31/2018</t>
        </r>
      </text>
    </comment>
    <comment ref="O15" authorId="0" shapeId="0" xr:uid="{00000000-0006-0000-0200-00003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5" authorId="0" shapeId="0" xr:uid="{00000000-0006-0000-0200-0000380D0000}">
      <text>
        <r>
          <rPr>
            <sz val="9"/>
            <color indexed="81"/>
            <rFont val="Tahoma"/>
            <charset val="1"/>
          </rPr>
          <t>Stability=8,Expiration=5/3/2019</t>
        </r>
      </text>
    </comment>
    <comment ref="Q15" authorId="0" shapeId="0" xr:uid="{00000000-0006-0000-0200-0000390D0000}">
      <text>
        <r>
          <rPr>
            <sz val="9"/>
            <color indexed="81"/>
            <rFont val="Tahoma"/>
            <charset val="1"/>
          </rPr>
          <t>Stability=20,Expiration=2/6/2019</t>
        </r>
      </text>
    </comment>
    <comment ref="R15" authorId="0" shapeId="0" xr:uid="{00000000-0006-0000-0200-00003A0D0000}">
      <text>
        <r>
          <rPr>
            <sz val="9"/>
            <color indexed="81"/>
            <rFont val="Tahoma"/>
            <charset val="1"/>
          </rPr>
          <t>Stability=21,Expiration=5/10/2018</t>
        </r>
      </text>
    </comment>
    <comment ref="S15" authorId="0" shapeId="0" xr:uid="{00000000-0006-0000-0200-00003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5" authorId="0" shapeId="0" xr:uid="{00000000-0006-0000-0200-00003C0D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15" authorId="0" shapeId="0" xr:uid="{00000000-0006-0000-0200-00003D0D0000}">
      <text>
        <r>
          <rPr>
            <sz val="9"/>
            <color indexed="81"/>
            <rFont val="Tahoma"/>
            <charset val="1"/>
          </rPr>
          <t>Stability=11,Expiration=4/20/2018</t>
        </r>
      </text>
    </comment>
    <comment ref="V15" authorId="0" shapeId="0" xr:uid="{00000000-0006-0000-0200-00003E0D0000}">
      <text>
        <r>
          <rPr>
            <sz val="9"/>
            <color indexed="81"/>
            <rFont val="Tahoma"/>
            <charset val="1"/>
          </rPr>
          <t>Stability=10,Expiration=8/17/2018</t>
        </r>
      </text>
    </comment>
    <comment ref="W15" authorId="0" shapeId="0" xr:uid="{00000000-0006-0000-0200-00003F0D0000}">
      <text>
        <r>
          <rPr>
            <sz val="9"/>
            <color indexed="81"/>
            <rFont val="Tahoma"/>
            <charset val="1"/>
          </rPr>
          <t>Stability=15,Expiration=3/31/2019</t>
        </r>
      </text>
    </comment>
    <comment ref="X15" authorId="0" shapeId="0" xr:uid="{00000000-0006-0000-0200-0000400D0000}">
      <text>
        <r>
          <rPr>
            <sz val="9"/>
            <color indexed="81"/>
            <rFont val="Tahoma"/>
            <charset val="1"/>
          </rPr>
          <t>Stability=21,Expiration=6/28/2018</t>
        </r>
      </text>
    </comment>
    <comment ref="Y15" authorId="0" shapeId="0" xr:uid="{00000000-0006-0000-0200-0000410D0000}">
      <text>
        <r>
          <rPr>
            <sz val="9"/>
            <color indexed="81"/>
            <rFont val="Tahoma"/>
            <charset val="1"/>
          </rPr>
          <t>Stability=26,Expiration=3/4/2019</t>
        </r>
      </text>
    </comment>
    <comment ref="Z15" authorId="0" shapeId="0" xr:uid="{00000000-0006-0000-0200-0000420D0000}">
      <text>
        <r>
          <rPr>
            <sz val="9"/>
            <color indexed="81"/>
            <rFont val="Tahoma"/>
            <charset val="1"/>
          </rPr>
          <t>Stability=14,Expiration=11/30/2018</t>
        </r>
      </text>
    </comment>
    <comment ref="AA15" authorId="0" shapeId="0" xr:uid="{00000000-0006-0000-0200-0000430D0000}">
      <text>
        <r>
          <rPr>
            <sz val="9"/>
            <color indexed="81"/>
            <rFont val="Tahoma"/>
            <charset val="1"/>
          </rPr>
          <t>Stability=25,Expiration=3/14/2019</t>
        </r>
      </text>
    </comment>
    <comment ref="AB15" authorId="0" shapeId="0" xr:uid="{00000000-0006-0000-0200-00004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5" authorId="0" shapeId="0" xr:uid="{00000000-0006-0000-0200-00004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5" authorId="0" shapeId="0" xr:uid="{00000000-0006-0000-0200-00004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5" authorId="0" shapeId="0" xr:uid="{00000000-0006-0000-0200-00004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5" authorId="0" shapeId="0" xr:uid="{00000000-0006-0000-0200-00004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5" authorId="0" shapeId="0" xr:uid="{00000000-0006-0000-0200-00004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5" authorId="0" shapeId="0" xr:uid="{00000000-0006-0000-0200-00004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5" authorId="0" shapeId="0" xr:uid="{00000000-0006-0000-0200-00004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5" authorId="0" shapeId="0" xr:uid="{00000000-0006-0000-0200-00004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5" authorId="0" shapeId="0" xr:uid="{00000000-0006-0000-0200-00004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" authorId="0" shapeId="0" xr:uid="{00000000-0006-0000-0200-00004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" authorId="0" shapeId="0" xr:uid="{00000000-0006-0000-0200-00004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" authorId="0" shapeId="0" xr:uid="{00000000-0006-0000-0200-00005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" authorId="0" shapeId="0" xr:uid="{00000000-0006-0000-0200-00005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" authorId="0" shapeId="0" xr:uid="{00000000-0006-0000-0200-00005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" authorId="0" shapeId="0" xr:uid="{00000000-0006-0000-0200-00005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5" authorId="0" shapeId="0" xr:uid="{00000000-0006-0000-0200-00005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5" authorId="0" shapeId="0" xr:uid="{00000000-0006-0000-0200-00005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" authorId="0" shapeId="0" xr:uid="{00000000-0006-0000-0200-00005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5" authorId="0" shapeId="0" xr:uid="{00000000-0006-0000-0200-00005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" authorId="0" shapeId="0" xr:uid="{00000000-0006-0000-0200-0000580D0000}">
      <text>
        <r>
          <rPr>
            <sz val="9"/>
            <color indexed="81"/>
            <rFont val="Tahoma"/>
            <charset val="1"/>
          </rPr>
          <t>Stability=23,Expiration=9/25/2018</t>
        </r>
      </text>
    </comment>
    <comment ref="A16" authorId="0" shapeId="0" xr:uid="{00000000-0006-0000-0200-0000590D0000}">
      <text>
        <r>
          <rPr>
            <sz val="9"/>
            <color indexed="81"/>
            <rFont val="Tahoma"/>
            <charset val="1"/>
          </rPr>
          <t>Date macro run: 2/14/2018 9:05:55 PM</t>
        </r>
      </text>
    </comment>
    <comment ref="B16" authorId="0" shapeId="0" xr:uid="{00000000-0006-0000-0200-00005A0D0000}">
      <text>
        <r>
          <rPr>
            <sz val="9"/>
            <color indexed="81"/>
            <rFont val="Tahoma"/>
            <charset val="1"/>
          </rPr>
          <t>Stability=35,Expiration=5/9/2019</t>
        </r>
      </text>
    </comment>
    <comment ref="C16" authorId="0" shapeId="0" xr:uid="{00000000-0006-0000-0200-00005B0D0000}">
      <text>
        <r>
          <rPr>
            <sz val="9"/>
            <color indexed="81"/>
            <rFont val="Tahoma"/>
            <charset val="1"/>
          </rPr>
          <t>Stability=4,Expiration=10/22/2018</t>
        </r>
      </text>
    </comment>
    <comment ref="D16" authorId="0" shapeId="0" xr:uid="{00000000-0006-0000-0200-00005C0D0000}">
      <text>
        <r>
          <rPr>
            <sz val="9"/>
            <color indexed="81"/>
            <rFont val="Tahoma"/>
            <charset val="1"/>
          </rPr>
          <t>Stability=10,Expiration=11/23/2018</t>
        </r>
      </text>
    </comment>
    <comment ref="E16" authorId="0" shapeId="0" xr:uid="{00000000-0006-0000-0200-00005D0D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16" authorId="0" shapeId="0" xr:uid="{00000000-0006-0000-0200-00005E0D0000}">
      <text>
        <r>
          <rPr>
            <sz val="9"/>
            <color indexed="81"/>
            <rFont val="Tahoma"/>
            <charset val="1"/>
          </rPr>
          <t>Stability=19,Expiration=3/13/2018</t>
        </r>
      </text>
    </comment>
    <comment ref="G16" authorId="0" shapeId="0" xr:uid="{00000000-0006-0000-0200-00005F0D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16" authorId="0" shapeId="0" xr:uid="{00000000-0006-0000-0200-0000600D0000}">
      <text>
        <r>
          <rPr>
            <sz val="9"/>
            <color indexed="81"/>
            <rFont val="Tahoma"/>
            <charset val="1"/>
          </rPr>
          <t>Stability=13,Expiration=10/31/2018</t>
        </r>
      </text>
    </comment>
    <comment ref="I16" authorId="0" shapeId="0" xr:uid="{00000000-0006-0000-0200-0000610D0000}">
      <text>
        <r>
          <rPr>
            <sz val="9"/>
            <color indexed="81"/>
            <rFont val="Tahoma"/>
            <charset val="1"/>
          </rPr>
          <t>Stability=24,Expiration=3/12/2018</t>
        </r>
      </text>
    </comment>
    <comment ref="J16" authorId="0" shapeId="0" xr:uid="{00000000-0006-0000-0200-0000620D0000}">
      <text>
        <r>
          <rPr>
            <sz val="9"/>
            <color indexed="81"/>
            <rFont val="Tahoma"/>
            <charset val="1"/>
          </rPr>
          <t>Stability=16,Expiration=3/26/2018</t>
        </r>
      </text>
    </comment>
    <comment ref="K16" authorId="0" shapeId="0" xr:uid="{00000000-0006-0000-0200-0000630D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16" authorId="0" shapeId="0" xr:uid="{00000000-0006-0000-0200-0000640D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16" authorId="0" shapeId="0" xr:uid="{00000000-0006-0000-0200-0000650D0000}">
      <text>
        <r>
          <rPr>
            <sz val="9"/>
            <color indexed="81"/>
            <rFont val="Tahoma"/>
            <charset val="1"/>
          </rPr>
          <t>Stability=33,Expiration=4/30/2018</t>
        </r>
      </text>
    </comment>
    <comment ref="N16" authorId="0" shapeId="0" xr:uid="{00000000-0006-0000-0200-0000660D0000}">
      <text>
        <r>
          <rPr>
            <sz val="9"/>
            <color indexed="81"/>
            <rFont val="Tahoma"/>
            <charset val="1"/>
          </rPr>
          <t>Stability=15,Expiration=5/31/2018</t>
        </r>
      </text>
    </comment>
    <comment ref="O16" authorId="0" shapeId="0" xr:uid="{00000000-0006-0000-0200-00006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6" authorId="0" shapeId="0" xr:uid="{00000000-0006-0000-0200-0000680D0000}">
      <text>
        <r>
          <rPr>
            <sz val="9"/>
            <color indexed="81"/>
            <rFont val="Tahoma"/>
            <charset val="1"/>
          </rPr>
          <t>Stability=6,Expiration=5/3/2019</t>
        </r>
      </text>
    </comment>
    <comment ref="Q16" authorId="0" shapeId="0" xr:uid="{00000000-0006-0000-0200-0000690D0000}">
      <text>
        <r>
          <rPr>
            <sz val="9"/>
            <color indexed="81"/>
            <rFont val="Tahoma"/>
            <charset val="1"/>
          </rPr>
          <t>Stability=19,Expiration=2/6/2019</t>
        </r>
      </text>
    </comment>
    <comment ref="R16" authorId="0" shapeId="0" xr:uid="{00000000-0006-0000-0200-00006A0D0000}">
      <text>
        <r>
          <rPr>
            <sz val="9"/>
            <color indexed="81"/>
            <rFont val="Tahoma"/>
            <charset val="1"/>
          </rPr>
          <t>Stability=20,Expiration=5/10/2018</t>
        </r>
      </text>
    </comment>
    <comment ref="S16" authorId="0" shapeId="0" xr:uid="{00000000-0006-0000-0200-00006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6" authorId="0" shapeId="0" xr:uid="{00000000-0006-0000-0200-00006C0D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16" authorId="0" shapeId="0" xr:uid="{00000000-0006-0000-0200-00006D0D0000}">
      <text>
        <r>
          <rPr>
            <sz val="9"/>
            <color indexed="81"/>
            <rFont val="Tahoma"/>
            <charset val="1"/>
          </rPr>
          <t>Stability=9,Expiration=4/20/2018</t>
        </r>
      </text>
    </comment>
    <comment ref="V16" authorId="0" shapeId="0" xr:uid="{00000000-0006-0000-0200-00006E0D0000}">
      <text>
        <r>
          <rPr>
            <sz val="9"/>
            <color indexed="81"/>
            <rFont val="Tahoma"/>
            <charset val="1"/>
          </rPr>
          <t>Stability=8,Expiration=8/17/2018</t>
        </r>
      </text>
    </comment>
    <comment ref="W16" authorId="0" shapeId="0" xr:uid="{00000000-0006-0000-0200-00006F0D0000}">
      <text>
        <r>
          <rPr>
            <sz val="9"/>
            <color indexed="81"/>
            <rFont val="Tahoma"/>
            <charset val="1"/>
          </rPr>
          <t>Stability=29,Expiration=3/31/2019</t>
        </r>
      </text>
    </comment>
    <comment ref="X16" authorId="0" shapeId="0" xr:uid="{00000000-0006-0000-0200-0000700D0000}">
      <text>
        <r>
          <rPr>
            <sz val="9"/>
            <color indexed="81"/>
            <rFont val="Tahoma"/>
            <charset val="1"/>
          </rPr>
          <t>Stability=19,Expiration=6/28/2018</t>
        </r>
      </text>
    </comment>
    <comment ref="Y16" authorId="0" shapeId="0" xr:uid="{00000000-0006-0000-0200-0000710D0000}">
      <text>
        <r>
          <rPr>
            <sz val="9"/>
            <color indexed="81"/>
            <rFont val="Tahoma"/>
            <charset val="1"/>
          </rPr>
          <t>Stability=24,Expiration=3/4/2019</t>
        </r>
      </text>
    </comment>
    <comment ref="Z16" authorId="0" shapeId="0" xr:uid="{00000000-0006-0000-0200-0000720D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AA16" authorId="0" shapeId="0" xr:uid="{00000000-0006-0000-0200-0000730D0000}">
      <text>
        <r>
          <rPr>
            <sz val="9"/>
            <color indexed="81"/>
            <rFont val="Tahoma"/>
            <charset val="1"/>
          </rPr>
          <t>Stability=23,Expiration=3/14/2019</t>
        </r>
      </text>
    </comment>
    <comment ref="AB16" authorId="0" shapeId="0" xr:uid="{00000000-0006-0000-0200-00007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6" authorId="0" shapeId="0" xr:uid="{00000000-0006-0000-0200-00007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6" authorId="0" shapeId="0" xr:uid="{00000000-0006-0000-0200-00007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6" authorId="0" shapeId="0" xr:uid="{00000000-0006-0000-0200-00007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6" authorId="0" shapeId="0" xr:uid="{00000000-0006-0000-0200-00007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6" authorId="0" shapeId="0" xr:uid="{00000000-0006-0000-0200-00007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6" authorId="0" shapeId="0" xr:uid="{00000000-0006-0000-0200-00007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6" authorId="0" shapeId="0" xr:uid="{00000000-0006-0000-0200-00007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6" authorId="0" shapeId="0" xr:uid="{00000000-0006-0000-0200-00007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6" authorId="0" shapeId="0" xr:uid="{00000000-0006-0000-0200-00007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6" authorId="0" shapeId="0" xr:uid="{00000000-0006-0000-0200-00007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6" authorId="0" shapeId="0" xr:uid="{00000000-0006-0000-0200-00007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6" authorId="0" shapeId="0" xr:uid="{00000000-0006-0000-0200-00008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6" authorId="0" shapeId="0" xr:uid="{00000000-0006-0000-0200-00008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6" authorId="0" shapeId="0" xr:uid="{00000000-0006-0000-0200-00008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6" authorId="0" shapeId="0" xr:uid="{00000000-0006-0000-0200-00008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6" authorId="0" shapeId="0" xr:uid="{00000000-0006-0000-0200-00008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6" authorId="0" shapeId="0" xr:uid="{00000000-0006-0000-0200-00008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6" authorId="0" shapeId="0" xr:uid="{00000000-0006-0000-0200-00008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6" authorId="0" shapeId="0" xr:uid="{00000000-0006-0000-0200-00008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6" authorId="0" shapeId="0" xr:uid="{00000000-0006-0000-0200-0000880D0000}">
      <text>
        <r>
          <rPr>
            <sz val="9"/>
            <color indexed="81"/>
            <rFont val="Tahoma"/>
            <charset val="1"/>
          </rPr>
          <t>Stability=30,Expiration=9/25/2018</t>
        </r>
      </text>
    </comment>
    <comment ref="A17" authorId="0" shapeId="0" xr:uid="{00000000-0006-0000-0200-0000890D0000}">
      <text>
        <r>
          <rPr>
            <sz val="9"/>
            <color indexed="81"/>
            <rFont val="Tahoma"/>
            <charset val="1"/>
          </rPr>
          <t>Date macro run: 2/15/2018 9:09:12 PM</t>
        </r>
      </text>
    </comment>
    <comment ref="B17" authorId="0" shapeId="0" xr:uid="{00000000-0006-0000-0200-00008A0D0000}">
      <text>
        <r>
          <rPr>
            <sz val="9"/>
            <color indexed="81"/>
            <rFont val="Tahoma"/>
            <charset val="1"/>
          </rPr>
          <t>Stability=34,Expiration=5/9/2019</t>
        </r>
      </text>
    </comment>
    <comment ref="C17" authorId="0" shapeId="0" xr:uid="{00000000-0006-0000-0200-00008B0D0000}">
      <text>
        <r>
          <rPr>
            <sz val="9"/>
            <color indexed="81"/>
            <rFont val="Tahoma"/>
            <charset val="1"/>
          </rPr>
          <t>Stability=3,Expiration=10/22/2018</t>
        </r>
      </text>
    </comment>
    <comment ref="D17" authorId="0" shapeId="0" xr:uid="{00000000-0006-0000-0200-00008C0D0000}">
      <text>
        <r>
          <rPr>
            <sz val="9"/>
            <color indexed="81"/>
            <rFont val="Tahoma"/>
            <charset val="1"/>
          </rPr>
          <t>Stability=9,Expiration=11/23/2018</t>
        </r>
      </text>
    </comment>
    <comment ref="E17" authorId="0" shapeId="0" xr:uid="{00000000-0006-0000-0200-00008D0D0000}">
      <text>
        <r>
          <rPr>
            <sz val="9"/>
            <color indexed="81"/>
            <rFont val="Tahoma"/>
            <charset val="1"/>
          </rPr>
          <t>Stability=10,Expiration=12/31/2018</t>
        </r>
      </text>
    </comment>
    <comment ref="F17" authorId="0" shapeId="0" xr:uid="{00000000-0006-0000-0200-00008E0D0000}">
      <text>
        <r>
          <rPr>
            <sz val="9"/>
            <color indexed="81"/>
            <rFont val="Tahoma"/>
            <charset val="1"/>
          </rPr>
          <t>Stability=18,Expiration=3/13/2018</t>
        </r>
      </text>
    </comment>
    <comment ref="G17" authorId="0" shapeId="0" xr:uid="{00000000-0006-0000-0200-00008F0D0000}">
      <text>
        <r>
          <rPr>
            <sz val="9"/>
            <color indexed="81"/>
            <rFont val="Tahoma"/>
            <charset val="1"/>
          </rPr>
          <t>Stability=24,Expiration=10/31/2018</t>
        </r>
      </text>
    </comment>
    <comment ref="H17" authorId="0" shapeId="0" xr:uid="{00000000-0006-0000-0200-0000900D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I17" authorId="0" shapeId="0" xr:uid="{00000000-0006-0000-0200-0000910D0000}">
      <text>
        <r>
          <rPr>
            <sz val="9"/>
            <color indexed="81"/>
            <rFont val="Tahoma"/>
            <charset val="1"/>
          </rPr>
          <t>Stability=23,Expiration=3/12/2018</t>
        </r>
      </text>
    </comment>
    <comment ref="J17" authorId="0" shapeId="0" xr:uid="{00000000-0006-0000-0200-0000920D0000}">
      <text>
        <r>
          <rPr>
            <sz val="9"/>
            <color indexed="81"/>
            <rFont val="Tahoma"/>
            <charset val="1"/>
          </rPr>
          <t>Stability=15,Expiration=3/26/2018</t>
        </r>
      </text>
    </comment>
    <comment ref="K17" authorId="0" shapeId="0" xr:uid="{00000000-0006-0000-0200-0000930D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17" authorId="0" shapeId="0" xr:uid="{00000000-0006-0000-0200-0000940D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17" authorId="0" shapeId="0" xr:uid="{00000000-0006-0000-0200-0000950D0000}">
      <text>
        <r>
          <rPr>
            <sz val="9"/>
            <color indexed="81"/>
            <rFont val="Tahoma"/>
            <charset val="1"/>
          </rPr>
          <t>Stability=32,Expiration=4/30/2018</t>
        </r>
      </text>
    </comment>
    <comment ref="N17" authorId="0" shapeId="0" xr:uid="{00000000-0006-0000-0200-0000960D0000}">
      <text>
        <r>
          <rPr>
            <sz val="9"/>
            <color indexed="81"/>
            <rFont val="Tahoma"/>
            <charset val="1"/>
          </rPr>
          <t>Stability=27,Expiration=5/31/2018</t>
        </r>
      </text>
    </comment>
    <comment ref="O17" authorId="0" shapeId="0" xr:uid="{00000000-0006-0000-0200-00009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7" authorId="0" shapeId="0" xr:uid="{00000000-0006-0000-0200-0000980D0000}">
      <text>
        <r>
          <rPr>
            <sz val="9"/>
            <color indexed="81"/>
            <rFont val="Tahoma"/>
            <charset val="1"/>
          </rPr>
          <t>Stability=5,Expiration=5/3/2019</t>
        </r>
      </text>
    </comment>
    <comment ref="Q17" authorId="0" shapeId="0" xr:uid="{00000000-0006-0000-0200-0000990D0000}">
      <text>
        <r>
          <rPr>
            <sz val="9"/>
            <color indexed="81"/>
            <rFont val="Tahoma"/>
            <charset val="1"/>
          </rPr>
          <t>Stability=18,Expiration=2/6/2019</t>
        </r>
      </text>
    </comment>
    <comment ref="R17" authorId="0" shapeId="0" xr:uid="{00000000-0006-0000-0200-00009A0D0000}">
      <text>
        <r>
          <rPr>
            <sz val="9"/>
            <color indexed="81"/>
            <rFont val="Tahoma"/>
            <charset val="1"/>
          </rPr>
          <t>Stability=19,Expiration=5/10/2018</t>
        </r>
      </text>
    </comment>
    <comment ref="S17" authorId="0" shapeId="0" xr:uid="{00000000-0006-0000-0200-00009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7" authorId="0" shapeId="0" xr:uid="{00000000-0006-0000-0200-00009C0D0000}">
      <text>
        <r>
          <rPr>
            <sz val="9"/>
            <color indexed="81"/>
            <rFont val="Tahoma"/>
            <charset val="1"/>
          </rPr>
          <t>Stability=8,Expiration=8/14/2018</t>
        </r>
      </text>
    </comment>
    <comment ref="U17" authorId="0" shapeId="0" xr:uid="{00000000-0006-0000-0200-00009D0D0000}">
      <text>
        <r>
          <rPr>
            <sz val="9"/>
            <color indexed="81"/>
            <rFont val="Tahoma"/>
            <charset val="1"/>
          </rPr>
          <t>Stability=8,Expiration=4/20/2018</t>
        </r>
      </text>
    </comment>
    <comment ref="V17" authorId="0" shapeId="0" xr:uid="{00000000-0006-0000-0200-00009E0D0000}">
      <text>
        <r>
          <rPr>
            <sz val="9"/>
            <color indexed="81"/>
            <rFont val="Tahoma"/>
            <charset val="1"/>
          </rPr>
          <t>Stability=7,Expiration=8/17/2018</t>
        </r>
      </text>
    </comment>
    <comment ref="W17" authorId="0" shapeId="0" xr:uid="{00000000-0006-0000-0200-00009F0D0000}">
      <text>
        <r>
          <rPr>
            <sz val="9"/>
            <color indexed="81"/>
            <rFont val="Tahoma"/>
            <charset val="1"/>
          </rPr>
          <t>Stability=28,Expiration=3/31/2019</t>
        </r>
      </text>
    </comment>
    <comment ref="X17" authorId="0" shapeId="0" xr:uid="{00000000-0006-0000-0200-0000A00D0000}">
      <text>
        <r>
          <rPr>
            <sz val="9"/>
            <color indexed="81"/>
            <rFont val="Tahoma"/>
            <charset val="1"/>
          </rPr>
          <t>Stability=18,Expiration=6/28/2018</t>
        </r>
      </text>
    </comment>
    <comment ref="Y17" authorId="0" shapeId="0" xr:uid="{00000000-0006-0000-0200-0000A10D0000}">
      <text>
        <r>
          <rPr>
            <sz val="9"/>
            <color indexed="81"/>
            <rFont val="Tahoma"/>
            <charset val="1"/>
          </rPr>
          <t>Stability=23,Expiration=3/4/2019</t>
        </r>
      </text>
    </comment>
    <comment ref="Z17" authorId="0" shapeId="0" xr:uid="{00000000-0006-0000-0200-0000A20D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AA17" authorId="0" shapeId="0" xr:uid="{00000000-0006-0000-0200-0000A30D0000}">
      <text>
        <r>
          <rPr>
            <sz val="9"/>
            <color indexed="81"/>
            <rFont val="Tahoma"/>
            <charset val="1"/>
          </rPr>
          <t>Stability=22,Expiration=3/14/2019</t>
        </r>
      </text>
    </comment>
    <comment ref="AB17" authorId="0" shapeId="0" xr:uid="{00000000-0006-0000-0200-0000A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7" authorId="0" shapeId="0" xr:uid="{00000000-0006-0000-0200-0000A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7" authorId="0" shapeId="0" xr:uid="{00000000-0006-0000-0200-0000A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7" authorId="0" shapeId="0" xr:uid="{00000000-0006-0000-0200-0000A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7" authorId="0" shapeId="0" xr:uid="{00000000-0006-0000-0200-0000A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7" authorId="0" shapeId="0" xr:uid="{00000000-0006-0000-0200-0000A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7" authorId="0" shapeId="0" xr:uid="{00000000-0006-0000-0200-0000A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7" authorId="0" shapeId="0" xr:uid="{00000000-0006-0000-0200-0000A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7" authorId="0" shapeId="0" xr:uid="{00000000-0006-0000-0200-0000A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7" authorId="0" shapeId="0" xr:uid="{00000000-0006-0000-0200-0000A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7" authorId="0" shapeId="0" xr:uid="{00000000-0006-0000-0200-0000A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7" authorId="0" shapeId="0" xr:uid="{00000000-0006-0000-0200-0000A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7" authorId="0" shapeId="0" xr:uid="{00000000-0006-0000-0200-0000B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7" authorId="0" shapeId="0" xr:uid="{00000000-0006-0000-0200-0000B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7" authorId="0" shapeId="0" xr:uid="{00000000-0006-0000-0200-0000B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7" authorId="0" shapeId="0" xr:uid="{00000000-0006-0000-0200-0000B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7" authorId="0" shapeId="0" xr:uid="{00000000-0006-0000-0200-0000B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7" authorId="0" shapeId="0" xr:uid="{00000000-0006-0000-0200-0000B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7" authorId="0" shapeId="0" xr:uid="{00000000-0006-0000-0200-0000B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7" authorId="0" shapeId="0" xr:uid="{00000000-0006-0000-0200-0000B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7" authorId="0" shapeId="0" xr:uid="{00000000-0006-0000-0200-0000B80D0000}">
      <text>
        <r>
          <rPr>
            <sz val="9"/>
            <color indexed="81"/>
            <rFont val="Tahoma"/>
            <charset val="1"/>
          </rPr>
          <t>Stability=29,Expiration=9/25/2018</t>
        </r>
      </text>
    </comment>
    <comment ref="A18" authorId="0" shapeId="0" xr:uid="{00000000-0006-0000-0200-0000B90D0000}">
      <text>
        <r>
          <rPr>
            <sz val="9"/>
            <color indexed="81"/>
            <rFont val="Tahoma"/>
            <charset val="1"/>
          </rPr>
          <t>Date macro run: 2/19/2018 10:09:25 PM</t>
        </r>
      </text>
    </comment>
    <comment ref="B18" authorId="0" shapeId="0" xr:uid="{00000000-0006-0000-0200-0000BA0D0000}">
      <text>
        <r>
          <rPr>
            <sz val="9"/>
            <color indexed="81"/>
            <rFont val="Tahoma"/>
            <charset val="1"/>
          </rPr>
          <t>Stability=30,Expiration=5/9/2019</t>
        </r>
      </text>
    </comment>
    <comment ref="C18" authorId="0" shapeId="0" xr:uid="{00000000-0006-0000-0200-0000BB0D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18" authorId="0" shapeId="0" xr:uid="{00000000-0006-0000-0200-0000BC0D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18" authorId="0" shapeId="0" xr:uid="{00000000-0006-0000-0200-0000BD0D0000}">
      <text>
        <r>
          <rPr>
            <sz val="9"/>
            <color indexed="81"/>
            <rFont val="Tahoma"/>
            <charset val="1"/>
          </rPr>
          <t>Stability=6,Expiration=12/31/2018</t>
        </r>
      </text>
    </comment>
    <comment ref="F18" authorId="0" shapeId="0" xr:uid="{00000000-0006-0000-0200-0000BE0D0000}">
      <text>
        <r>
          <rPr>
            <sz val="9"/>
            <color indexed="81"/>
            <rFont val="Tahoma"/>
            <charset val="1"/>
          </rPr>
          <t>Stability=13,Expiration=3/13/2018</t>
        </r>
      </text>
    </comment>
    <comment ref="G18" authorId="0" shapeId="0" xr:uid="{00000000-0006-0000-0200-0000BF0D0000}">
      <text>
        <r>
          <rPr>
            <sz val="9"/>
            <color indexed="81"/>
            <rFont val="Tahoma"/>
            <charset val="1"/>
          </rPr>
          <t>Stability=20,Expiration=10/31/2018</t>
        </r>
      </text>
    </comment>
    <comment ref="H18" authorId="0" shapeId="0" xr:uid="{00000000-0006-0000-0200-0000C00D0000}">
      <text>
        <r>
          <rPr>
            <sz val="9"/>
            <color indexed="81"/>
            <rFont val="Tahoma"/>
            <charset val="1"/>
          </rPr>
          <t>Stability=8,Expiration=4/30/2019</t>
        </r>
      </text>
    </comment>
    <comment ref="I18" authorId="0" shapeId="0" xr:uid="{00000000-0006-0000-0200-0000C10D0000}">
      <text>
        <r>
          <rPr>
            <sz val="9"/>
            <color indexed="81"/>
            <rFont val="Tahoma"/>
            <charset val="1"/>
          </rPr>
          <t>Stability=19,Expiration=3/12/2018</t>
        </r>
      </text>
    </comment>
    <comment ref="J18" authorId="0" shapeId="0" xr:uid="{00000000-0006-0000-0200-0000C20D0000}">
      <text>
        <r>
          <rPr>
            <sz val="9"/>
            <color indexed="81"/>
            <rFont val="Tahoma"/>
            <charset val="1"/>
          </rPr>
          <t>Stability=19,Expiration=3/26/2018</t>
        </r>
      </text>
    </comment>
    <comment ref="K18" authorId="0" shapeId="0" xr:uid="{00000000-0006-0000-0200-0000C30D0000}">
      <text>
        <r>
          <rPr>
            <sz val="9"/>
            <color indexed="81"/>
            <rFont val="Tahoma"/>
            <charset val="1"/>
          </rPr>
          <t>Stability=8,Expiration=7/31/2018</t>
        </r>
      </text>
    </comment>
    <comment ref="L18" authorId="0" shapeId="0" xr:uid="{00000000-0006-0000-0200-0000C40D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18" authorId="0" shapeId="0" xr:uid="{00000000-0006-0000-0200-0000C50D0000}">
      <text>
        <r>
          <rPr>
            <sz val="9"/>
            <color indexed="81"/>
            <rFont val="Tahoma"/>
            <charset val="1"/>
          </rPr>
          <t>Stability=28,Expiration=4/30/2018</t>
        </r>
      </text>
    </comment>
    <comment ref="N18" authorId="0" shapeId="0" xr:uid="{00000000-0006-0000-0200-0000C60D0000}">
      <text>
        <r>
          <rPr>
            <sz val="9"/>
            <color indexed="81"/>
            <rFont val="Tahoma"/>
            <charset val="1"/>
          </rPr>
          <t>Stability=23,Expiration=5/31/2018</t>
        </r>
      </text>
    </comment>
    <comment ref="O18" authorId="0" shapeId="0" xr:uid="{00000000-0006-0000-0200-0000C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8" authorId="0" shapeId="0" xr:uid="{00000000-0006-0000-0200-0000C80D0000}">
      <text>
        <r>
          <rPr>
            <sz val="9"/>
            <color indexed="81"/>
            <rFont val="Tahoma"/>
            <charset val="1"/>
          </rPr>
          <t>Stability=17,Expiration=5/3/2019</t>
        </r>
      </text>
    </comment>
    <comment ref="Q18" authorId="0" shapeId="0" xr:uid="{00000000-0006-0000-0200-0000C90D0000}">
      <text>
        <r>
          <rPr>
            <sz val="9"/>
            <color indexed="81"/>
            <rFont val="Tahoma"/>
            <charset val="1"/>
          </rPr>
          <t>Stability=13,Expiration=2/6/2019</t>
        </r>
      </text>
    </comment>
    <comment ref="R18" authorId="0" shapeId="0" xr:uid="{00000000-0006-0000-0200-0000CA0D0000}">
      <text>
        <r>
          <rPr>
            <sz val="9"/>
            <color indexed="81"/>
            <rFont val="Tahoma"/>
            <charset val="1"/>
          </rPr>
          <t>Stability=14,Expiration=5/10/2018</t>
        </r>
      </text>
    </comment>
    <comment ref="S18" authorId="0" shapeId="0" xr:uid="{00000000-0006-0000-0200-0000C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8" authorId="0" shapeId="0" xr:uid="{00000000-0006-0000-0200-0000CC0D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18" authorId="0" shapeId="0" xr:uid="{00000000-0006-0000-0200-0000CD0D0000}">
      <text>
        <r>
          <rPr>
            <sz val="9"/>
            <color indexed="81"/>
            <rFont val="Tahoma"/>
            <charset val="1"/>
          </rPr>
          <t>Stability=4,Expiration=4/20/2018</t>
        </r>
      </text>
    </comment>
    <comment ref="V18" authorId="0" shapeId="0" xr:uid="{00000000-0006-0000-0200-0000CE0D0000}">
      <text>
        <r>
          <rPr>
            <sz val="9"/>
            <color indexed="81"/>
            <rFont val="Tahoma"/>
            <charset val="1"/>
          </rPr>
          <t>Stability=26,Expiration=8/17/2018</t>
        </r>
      </text>
    </comment>
    <comment ref="W18" authorId="0" shapeId="0" xr:uid="{00000000-0006-0000-0200-0000CF0D0000}">
      <text>
        <r>
          <rPr>
            <sz val="9"/>
            <color indexed="81"/>
            <rFont val="Tahoma"/>
            <charset val="1"/>
          </rPr>
          <t>Stability=24,Expiration=3/31/2019</t>
        </r>
      </text>
    </comment>
    <comment ref="X18" authorId="0" shapeId="0" xr:uid="{00000000-0006-0000-0200-0000D00D0000}">
      <text>
        <r>
          <rPr>
            <sz val="9"/>
            <color indexed="81"/>
            <rFont val="Tahoma"/>
            <charset val="1"/>
          </rPr>
          <t>Stability=14,Expiration=6/28/2018</t>
        </r>
      </text>
    </comment>
    <comment ref="Y18" authorId="0" shapeId="0" xr:uid="{00000000-0006-0000-0200-0000D10D0000}">
      <text>
        <r>
          <rPr>
            <sz val="9"/>
            <color indexed="81"/>
            <rFont val="Tahoma"/>
            <charset val="1"/>
          </rPr>
          <t>Stability=19,Expiration=3/4/2019</t>
        </r>
      </text>
    </comment>
    <comment ref="Z18" authorId="0" shapeId="0" xr:uid="{00000000-0006-0000-0200-0000D20D0000}">
      <text>
        <r>
          <rPr>
            <sz val="9"/>
            <color indexed="81"/>
            <rFont val="Tahoma"/>
            <charset val="1"/>
          </rPr>
          <t>Stability=23,Expiration=11/30/2018</t>
        </r>
      </text>
    </comment>
    <comment ref="AA18" authorId="0" shapeId="0" xr:uid="{00000000-0006-0000-0200-0000D30D0000}">
      <text>
        <r>
          <rPr>
            <sz val="9"/>
            <color indexed="81"/>
            <rFont val="Tahoma"/>
            <charset val="1"/>
          </rPr>
          <t>Stability=18,Expiration=3/14/2019</t>
        </r>
      </text>
    </comment>
    <comment ref="AB18" authorId="0" shapeId="0" xr:uid="{00000000-0006-0000-0200-0000D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8" authorId="0" shapeId="0" xr:uid="{00000000-0006-0000-0200-0000D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8" authorId="0" shapeId="0" xr:uid="{00000000-0006-0000-0200-0000D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8" authorId="0" shapeId="0" xr:uid="{00000000-0006-0000-0200-0000D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8" authorId="0" shapeId="0" xr:uid="{00000000-0006-0000-0200-0000D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8" authorId="0" shapeId="0" xr:uid="{00000000-0006-0000-0200-0000D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8" authorId="0" shapeId="0" xr:uid="{00000000-0006-0000-0200-0000D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8" authorId="0" shapeId="0" xr:uid="{00000000-0006-0000-0200-0000D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8" authorId="0" shapeId="0" xr:uid="{00000000-0006-0000-0200-0000D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8" authorId="0" shapeId="0" xr:uid="{00000000-0006-0000-0200-0000D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8" authorId="0" shapeId="0" xr:uid="{00000000-0006-0000-0200-0000D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8" authorId="0" shapeId="0" xr:uid="{00000000-0006-0000-0200-0000D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8" authorId="0" shapeId="0" xr:uid="{00000000-0006-0000-0200-0000E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8" authorId="0" shapeId="0" xr:uid="{00000000-0006-0000-0200-0000E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8" authorId="0" shapeId="0" xr:uid="{00000000-0006-0000-0200-0000E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8" authorId="0" shapeId="0" xr:uid="{00000000-0006-0000-0200-0000E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8" authorId="0" shapeId="0" xr:uid="{00000000-0006-0000-0200-0000E40D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8" authorId="0" shapeId="0" xr:uid="{00000000-0006-0000-0200-0000E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8" authorId="0" shapeId="0" xr:uid="{00000000-0006-0000-0200-0000E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8" authorId="0" shapeId="0" xr:uid="{00000000-0006-0000-0200-0000E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8" authorId="0" shapeId="0" xr:uid="{00000000-0006-0000-0200-0000E80D0000}">
      <text>
        <r>
          <rPr>
            <sz val="9"/>
            <color indexed="81"/>
            <rFont val="Tahoma"/>
            <charset val="1"/>
          </rPr>
          <t>Stability=25,Expiration=9/25/2018</t>
        </r>
      </text>
    </comment>
    <comment ref="A19" authorId="0" shapeId="0" xr:uid="{00000000-0006-0000-0200-0000E90D0000}">
      <text>
        <r>
          <rPr>
            <sz val="9"/>
            <color indexed="81"/>
            <rFont val="Tahoma"/>
            <charset val="1"/>
          </rPr>
          <t>Date macro run: 2/22/2018 8:34:20 PM</t>
        </r>
      </text>
    </comment>
    <comment ref="B19" authorId="0" shapeId="0" xr:uid="{00000000-0006-0000-0200-0000EA0D0000}">
      <text>
        <r>
          <rPr>
            <sz val="9"/>
            <color indexed="81"/>
            <rFont val="Tahoma"/>
            <charset val="1"/>
          </rPr>
          <t>Stability=28,Expiration=5/9/2019</t>
        </r>
      </text>
    </comment>
    <comment ref="C19" authorId="0" shapeId="0" xr:uid="{00000000-0006-0000-0200-0000EB0D0000}">
      <text>
        <r>
          <rPr>
            <sz val="9"/>
            <color indexed="81"/>
            <rFont val="Tahoma"/>
            <charset val="1"/>
          </rPr>
          <t>Stability=3,Expiration=10/22/2018</t>
        </r>
      </text>
    </comment>
    <comment ref="D19" authorId="0" shapeId="0" xr:uid="{00000000-0006-0000-0200-0000EC0D0000}">
      <text>
        <r>
          <rPr>
            <sz val="9"/>
            <color indexed="81"/>
            <rFont val="Tahoma"/>
            <charset val="1"/>
          </rPr>
          <t>Stability=2,Expiration=11/23/2018</t>
        </r>
      </text>
    </comment>
    <comment ref="E19" authorId="0" shapeId="0" xr:uid="{00000000-0006-0000-0200-0000ED0D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19" authorId="0" shapeId="0" xr:uid="{00000000-0006-0000-0200-0000EE0D0000}">
      <text>
        <r>
          <rPr>
            <sz val="9"/>
            <color indexed="81"/>
            <rFont val="Tahoma"/>
            <charset val="1"/>
          </rPr>
          <t>Stability=11,Expiration=3/13/2018</t>
        </r>
      </text>
    </comment>
    <comment ref="G19" authorId="0" shapeId="0" xr:uid="{00000000-0006-0000-0200-0000EF0D0000}">
      <text>
        <r>
          <rPr>
            <sz val="9"/>
            <color indexed="81"/>
            <rFont val="Tahoma"/>
            <charset val="1"/>
          </rPr>
          <t>Stability=17,Expiration=10/31/2018</t>
        </r>
      </text>
    </comment>
    <comment ref="H19" authorId="0" shapeId="0" xr:uid="{00000000-0006-0000-0200-0000F00D0000}">
      <text>
        <r>
          <rPr>
            <sz val="9"/>
            <color indexed="81"/>
            <rFont val="Tahoma"/>
            <charset val="1"/>
          </rPr>
          <t>Stability=5,Expiration=4/30/2019</t>
        </r>
      </text>
    </comment>
    <comment ref="I19" authorId="0" shapeId="0" xr:uid="{00000000-0006-0000-0200-0000F10D0000}">
      <text>
        <r>
          <rPr>
            <sz val="9"/>
            <color indexed="81"/>
            <rFont val="Tahoma"/>
            <charset val="1"/>
          </rPr>
          <t>Stability=17,Expiration=3/12/2018</t>
        </r>
      </text>
    </comment>
    <comment ref="J19" authorId="0" shapeId="0" xr:uid="{00000000-0006-0000-0200-0000F20D0000}">
      <text>
        <r>
          <rPr>
            <sz val="9"/>
            <color indexed="81"/>
            <rFont val="Tahoma"/>
            <charset val="1"/>
          </rPr>
          <t>Stability=8,Expiration=3/26/2018</t>
        </r>
      </text>
    </comment>
    <comment ref="K19" authorId="0" shapeId="0" xr:uid="{00000000-0006-0000-0200-0000F30D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19" authorId="0" shapeId="0" xr:uid="{00000000-0006-0000-0200-0000F40D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19" authorId="0" shapeId="0" xr:uid="{00000000-0006-0000-0200-0000F50D0000}">
      <text>
        <r>
          <rPr>
            <sz val="9"/>
            <color indexed="81"/>
            <rFont val="Tahoma"/>
            <charset val="1"/>
          </rPr>
          <t>Stability=26,Expiration=4/30/2018</t>
        </r>
      </text>
    </comment>
    <comment ref="N19" authorId="0" shapeId="0" xr:uid="{00000000-0006-0000-0200-0000F60D0000}">
      <text>
        <r>
          <rPr>
            <sz val="9"/>
            <color indexed="81"/>
            <rFont val="Tahoma"/>
            <charset val="1"/>
          </rPr>
          <t>Stability=20,Expiration=5/31/2018</t>
        </r>
      </text>
    </comment>
    <comment ref="O19" authorId="0" shapeId="0" xr:uid="{00000000-0006-0000-0200-0000F7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19" authorId="0" shapeId="0" xr:uid="{00000000-0006-0000-0200-0000F80D0000}">
      <text>
        <r>
          <rPr>
            <sz val="9"/>
            <color indexed="81"/>
            <rFont val="Tahoma"/>
            <charset val="1"/>
          </rPr>
          <t>Stability=15,Expiration=5/3/2019</t>
        </r>
      </text>
    </comment>
    <comment ref="Q19" authorId="0" shapeId="0" xr:uid="{00000000-0006-0000-0200-0000F90D0000}">
      <text>
        <r>
          <rPr>
            <sz val="9"/>
            <color indexed="81"/>
            <rFont val="Tahoma"/>
            <charset val="1"/>
          </rPr>
          <t>Stability=11,Expiration=2/6/2019</t>
        </r>
      </text>
    </comment>
    <comment ref="R19" authorId="0" shapeId="0" xr:uid="{00000000-0006-0000-0200-0000FA0D0000}">
      <text>
        <r>
          <rPr>
            <sz val="9"/>
            <color indexed="81"/>
            <rFont val="Tahoma"/>
            <charset val="1"/>
          </rPr>
          <t>Stability=12,Expiration=5/10/2018</t>
        </r>
      </text>
    </comment>
    <comment ref="S19" authorId="0" shapeId="0" xr:uid="{00000000-0006-0000-0200-0000F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9" authorId="0" shapeId="0" xr:uid="{00000000-0006-0000-0200-0000FC0D0000}">
      <text>
        <r>
          <rPr>
            <sz val="9"/>
            <color indexed="81"/>
            <rFont val="Tahoma"/>
            <charset val="1"/>
          </rPr>
          <t>Stability=1,Expiration=8/14/2018</t>
        </r>
      </text>
    </comment>
    <comment ref="U19" authorId="0" shapeId="0" xr:uid="{00000000-0006-0000-0200-0000FD0D0000}">
      <text>
        <r>
          <rPr>
            <sz val="9"/>
            <color indexed="81"/>
            <rFont val="Tahoma"/>
            <charset val="1"/>
          </rPr>
          <t>Stability=1,Expiration=4/20/2018</t>
        </r>
      </text>
    </comment>
    <comment ref="V19" authorId="0" shapeId="0" xr:uid="{00000000-0006-0000-0200-0000FE0D0000}">
      <text>
        <r>
          <rPr>
            <sz val="9"/>
            <color indexed="81"/>
            <rFont val="Tahoma"/>
            <charset val="1"/>
          </rPr>
          <t>Stability=23,Expiration=8/17/2018</t>
        </r>
      </text>
    </comment>
    <comment ref="W19" authorId="0" shapeId="0" xr:uid="{00000000-0006-0000-0200-0000FF0D0000}">
      <text>
        <r>
          <rPr>
            <sz val="9"/>
            <color indexed="81"/>
            <rFont val="Tahoma"/>
            <charset val="1"/>
          </rPr>
          <t>Stability=29,Expiration=3/31/2019</t>
        </r>
      </text>
    </comment>
    <comment ref="X19" authorId="0" shapeId="0" xr:uid="{00000000-0006-0000-0200-0000000E0000}">
      <text>
        <r>
          <rPr>
            <sz val="9"/>
            <color indexed="81"/>
            <rFont val="Tahoma"/>
            <charset val="1"/>
          </rPr>
          <t>Stability=12,Expiration=6/28/2018</t>
        </r>
      </text>
    </comment>
    <comment ref="Y19" authorId="0" shapeId="0" xr:uid="{00000000-0006-0000-0200-0000010E0000}">
      <text>
        <r>
          <rPr>
            <sz val="9"/>
            <color indexed="81"/>
            <rFont val="Tahoma"/>
            <charset val="1"/>
          </rPr>
          <t>Stability=16,Expiration=3/4/2019</t>
        </r>
      </text>
    </comment>
    <comment ref="Z19" authorId="0" shapeId="0" xr:uid="{00000000-0006-0000-0200-0000020E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AA19" authorId="0" shapeId="0" xr:uid="{00000000-0006-0000-0200-0000030E0000}">
      <text>
        <r>
          <rPr>
            <sz val="9"/>
            <color indexed="81"/>
            <rFont val="Tahoma"/>
            <charset val="1"/>
          </rPr>
          <t>Stability=15,Expiration=3/14/2019</t>
        </r>
      </text>
    </comment>
    <comment ref="AB19" authorId="0" shapeId="0" xr:uid="{00000000-0006-0000-0200-00000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9" authorId="0" shapeId="0" xr:uid="{00000000-0006-0000-0200-00000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9" authorId="0" shapeId="0" xr:uid="{00000000-0006-0000-0200-00000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9" authorId="0" shapeId="0" xr:uid="{00000000-0006-0000-0200-00000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9" authorId="0" shapeId="0" xr:uid="{00000000-0006-0000-0200-00000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9" authorId="0" shapeId="0" xr:uid="{00000000-0006-0000-0200-00000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9" authorId="0" shapeId="0" xr:uid="{00000000-0006-0000-0200-00000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9" authorId="0" shapeId="0" xr:uid="{00000000-0006-0000-0200-00000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9" authorId="0" shapeId="0" xr:uid="{00000000-0006-0000-0200-00000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9" authorId="0" shapeId="0" xr:uid="{00000000-0006-0000-0200-00000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9" authorId="0" shapeId="0" xr:uid="{00000000-0006-0000-0200-00000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9" authorId="0" shapeId="0" xr:uid="{00000000-0006-0000-0200-00000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9" authorId="0" shapeId="0" xr:uid="{00000000-0006-0000-0200-00001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9" authorId="0" shapeId="0" xr:uid="{00000000-0006-0000-0200-00001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9" authorId="0" shapeId="0" xr:uid="{00000000-0006-0000-0200-00001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9" authorId="0" shapeId="0" xr:uid="{00000000-0006-0000-0200-00001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9" authorId="0" shapeId="0" xr:uid="{00000000-0006-0000-0200-00001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19" authorId="0" shapeId="0" xr:uid="{00000000-0006-0000-0200-00001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9" authorId="0" shapeId="0" xr:uid="{00000000-0006-0000-0200-00001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9" authorId="0" shapeId="0" xr:uid="{00000000-0006-0000-0200-00001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9" authorId="0" shapeId="0" xr:uid="{00000000-0006-0000-0200-0000180E0000}">
      <text>
        <r>
          <rPr>
            <sz val="9"/>
            <color indexed="81"/>
            <rFont val="Tahoma"/>
            <charset val="1"/>
          </rPr>
          <t>Stability=22,Expiration=9/25/2018</t>
        </r>
      </text>
    </comment>
    <comment ref="A20" authorId="0" shapeId="0" xr:uid="{00000000-0006-0000-0200-0000190E0000}">
      <text>
        <r>
          <rPr>
            <sz val="9"/>
            <color indexed="81"/>
            <rFont val="Tahoma"/>
            <charset val="1"/>
          </rPr>
          <t>Date macro run: 2/26/2018 10:05:39 PM</t>
        </r>
      </text>
    </comment>
    <comment ref="B20" authorId="0" shapeId="0" xr:uid="{00000000-0006-0000-0200-00001A0E0000}">
      <text>
        <r>
          <rPr>
            <sz val="9"/>
            <color indexed="81"/>
            <rFont val="Tahoma"/>
            <charset val="1"/>
          </rPr>
          <t>Stability=23,Expiration=5/9/2019</t>
        </r>
      </text>
    </comment>
    <comment ref="C20" authorId="0" shapeId="0" xr:uid="{00000000-0006-0000-0200-00001B0E0000}">
      <text>
        <r>
          <rPr>
            <sz val="9"/>
            <color indexed="81"/>
            <rFont val="Tahoma"/>
            <charset val="1"/>
          </rPr>
          <t>Stability=5,Expiration=10/22/2018</t>
        </r>
      </text>
    </comment>
    <comment ref="D20" authorId="0" shapeId="0" xr:uid="{00000000-0006-0000-0200-00001C0E0000}">
      <text>
        <r>
          <rPr>
            <sz val="9"/>
            <color indexed="81"/>
            <rFont val="Tahoma"/>
            <charset val="1"/>
          </rPr>
          <t>Stability=25,Expiration=11/23/2018</t>
        </r>
      </text>
    </comment>
    <comment ref="E20" authorId="0" shapeId="0" xr:uid="{00000000-0006-0000-0200-00001D0E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20" authorId="0" shapeId="0" xr:uid="{00000000-0006-0000-0200-00001E0E0000}">
      <text>
        <r>
          <rPr>
            <sz val="9"/>
            <color indexed="81"/>
            <rFont val="Tahoma"/>
            <charset val="1"/>
          </rPr>
          <t>Stability=6,Expiration=3/13/2018</t>
        </r>
      </text>
    </comment>
    <comment ref="G20" authorId="0" shapeId="0" xr:uid="{00000000-0006-0000-0200-00001F0E0000}">
      <text>
        <r>
          <rPr>
            <sz val="9"/>
            <color indexed="81"/>
            <rFont val="Tahoma"/>
            <charset val="1"/>
          </rPr>
          <t>Stability=13,Expiration=10/31/2018</t>
        </r>
      </text>
    </comment>
    <comment ref="H20" authorId="0" shapeId="0" xr:uid="{00000000-0006-0000-0200-0000200E0000}">
      <text>
        <r>
          <rPr>
            <sz val="9"/>
            <color indexed="81"/>
            <rFont val="Tahoma"/>
            <charset val="1"/>
          </rPr>
          <t>Stability=1,Expiration=4/30/2019</t>
        </r>
      </text>
    </comment>
    <comment ref="I20" authorId="0" shapeId="0" xr:uid="{00000000-0006-0000-0200-0000210E0000}">
      <text>
        <r>
          <rPr>
            <sz val="9"/>
            <color indexed="81"/>
            <rFont val="Tahoma"/>
            <charset val="1"/>
          </rPr>
          <t>Stability=22,Expiration=3/12/2018</t>
        </r>
      </text>
    </comment>
    <comment ref="J20" authorId="0" shapeId="0" xr:uid="{00000000-0006-0000-0200-0000220E0000}">
      <text>
        <r>
          <rPr>
            <sz val="9"/>
            <color indexed="81"/>
            <rFont val="Tahoma"/>
            <charset val="1"/>
          </rPr>
          <t>Stability=4,Expiration=3/26/2018</t>
        </r>
      </text>
    </comment>
    <comment ref="K20" authorId="0" shapeId="0" xr:uid="{00000000-0006-0000-0200-0000230E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20" authorId="0" shapeId="0" xr:uid="{00000000-0006-0000-0200-0000240E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20" authorId="0" shapeId="0" xr:uid="{00000000-0006-0000-0200-0000250E0000}">
      <text>
        <r>
          <rPr>
            <sz val="9"/>
            <color indexed="81"/>
            <rFont val="Tahoma"/>
            <charset val="1"/>
          </rPr>
          <t>Stability=21,Expiration=4/30/2018</t>
        </r>
      </text>
    </comment>
    <comment ref="N20" authorId="0" shapeId="0" xr:uid="{00000000-0006-0000-0200-0000260E0000}">
      <text>
        <r>
          <rPr>
            <sz val="9"/>
            <color indexed="81"/>
            <rFont val="Tahoma"/>
            <charset val="1"/>
          </rPr>
          <t>Stability=16,Expiration=5/31/2018</t>
        </r>
      </text>
    </comment>
    <comment ref="O20" authorId="0" shapeId="0" xr:uid="{00000000-0006-0000-0200-00002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0" authorId="0" shapeId="0" xr:uid="{00000000-0006-0000-0200-0000280E0000}">
      <text>
        <r>
          <rPr>
            <sz val="9"/>
            <color indexed="81"/>
            <rFont val="Tahoma"/>
            <charset val="1"/>
          </rPr>
          <t>Stability=10,Expiration=5/3/2019</t>
        </r>
      </text>
    </comment>
    <comment ref="Q20" authorId="0" shapeId="0" xr:uid="{00000000-0006-0000-0200-0000290E0000}">
      <text>
        <r>
          <rPr>
            <sz val="9"/>
            <color indexed="81"/>
            <rFont val="Tahoma"/>
            <charset val="1"/>
          </rPr>
          <t>Stability=6,Expiration=2/6/2019</t>
        </r>
      </text>
    </comment>
    <comment ref="R20" authorId="0" shapeId="0" xr:uid="{00000000-0006-0000-0200-00002A0E0000}">
      <text>
        <r>
          <rPr>
            <sz val="9"/>
            <color indexed="81"/>
            <rFont val="Tahoma"/>
            <charset val="1"/>
          </rPr>
          <t>Stability=7,Expiration=5/10/2018</t>
        </r>
      </text>
    </comment>
    <comment ref="S20" authorId="0" shapeId="0" xr:uid="{00000000-0006-0000-0200-00002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0" authorId="0" shapeId="0" xr:uid="{00000000-0006-0000-0200-00002C0E0000}">
      <text>
        <r>
          <rPr>
            <sz val="9"/>
            <color indexed="81"/>
            <rFont val="Tahoma"/>
            <charset val="1"/>
          </rPr>
          <t>Stability=19,Expiration=8/14/2018</t>
        </r>
      </text>
    </comment>
    <comment ref="U20" authorId="0" shapeId="0" xr:uid="{00000000-0006-0000-0200-00002D0E0000}">
      <text>
        <r>
          <rPr>
            <sz val="9"/>
            <color indexed="81"/>
            <rFont val="Tahoma"/>
            <charset val="1"/>
          </rPr>
          <t>Stability=21,Expiration=4/20/2018</t>
        </r>
      </text>
    </comment>
    <comment ref="V20" authorId="0" shapeId="0" xr:uid="{00000000-0006-0000-0200-00002E0E0000}">
      <text>
        <r>
          <rPr>
            <sz val="9"/>
            <color indexed="81"/>
            <rFont val="Tahoma"/>
            <charset val="1"/>
          </rPr>
          <t>Stability=19,Expiration=8/17/2018</t>
        </r>
      </text>
    </comment>
    <comment ref="W20" authorId="0" shapeId="0" xr:uid="{00000000-0006-0000-0200-00002F0E0000}">
      <text>
        <r>
          <rPr>
            <sz val="9"/>
            <color indexed="81"/>
            <rFont val="Tahoma"/>
            <charset val="1"/>
          </rPr>
          <t>Stability=24,Expiration=3/31/2019</t>
        </r>
      </text>
    </comment>
    <comment ref="X20" authorId="0" shapeId="0" xr:uid="{00000000-0006-0000-0200-0000300E0000}">
      <text>
        <r>
          <rPr>
            <sz val="9"/>
            <color indexed="81"/>
            <rFont val="Tahoma"/>
            <charset val="1"/>
          </rPr>
          <t>Stability=26,Expiration=6/28/2018</t>
        </r>
      </text>
    </comment>
    <comment ref="Y20" authorId="0" shapeId="0" xr:uid="{00000000-0006-0000-0200-0000310E0000}">
      <text>
        <r>
          <rPr>
            <sz val="9"/>
            <color indexed="81"/>
            <rFont val="Tahoma"/>
            <charset val="1"/>
          </rPr>
          <t>Stability=29,Expiration=3/4/2019</t>
        </r>
      </text>
    </comment>
    <comment ref="Z20" authorId="0" shapeId="0" xr:uid="{00000000-0006-0000-0200-0000320E0000}">
      <text>
        <r>
          <rPr>
            <sz val="9"/>
            <color indexed="81"/>
            <rFont val="Tahoma"/>
            <charset val="1"/>
          </rPr>
          <t>Stability=16,Expiration=11/30/2018</t>
        </r>
      </text>
    </comment>
    <comment ref="AA20" authorId="0" shapeId="0" xr:uid="{00000000-0006-0000-0200-0000330E0000}">
      <text>
        <r>
          <rPr>
            <sz val="9"/>
            <color indexed="81"/>
            <rFont val="Tahoma"/>
            <charset val="1"/>
          </rPr>
          <t>Stability=11,Expiration=3/14/2019</t>
        </r>
      </text>
    </comment>
    <comment ref="AB20" authorId="0" shapeId="0" xr:uid="{00000000-0006-0000-0200-00003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0" authorId="0" shapeId="0" xr:uid="{00000000-0006-0000-0200-00003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0" authorId="0" shapeId="0" xr:uid="{00000000-0006-0000-0200-00003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0" authorId="0" shapeId="0" xr:uid="{00000000-0006-0000-0200-00003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0" authorId="0" shapeId="0" xr:uid="{00000000-0006-0000-0200-00003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0" authorId="0" shapeId="0" xr:uid="{00000000-0006-0000-0200-00003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0" authorId="0" shapeId="0" xr:uid="{00000000-0006-0000-0200-00003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0" authorId="0" shapeId="0" xr:uid="{00000000-0006-0000-0200-00003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0" authorId="0" shapeId="0" xr:uid="{00000000-0006-0000-0200-00003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0" authorId="0" shapeId="0" xr:uid="{00000000-0006-0000-0200-00003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0" authorId="0" shapeId="0" xr:uid="{00000000-0006-0000-0200-00003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0" authorId="0" shapeId="0" xr:uid="{00000000-0006-0000-0200-00003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0" authorId="0" shapeId="0" xr:uid="{00000000-0006-0000-0200-00004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0" authorId="0" shapeId="0" xr:uid="{00000000-0006-0000-0200-00004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0" authorId="0" shapeId="0" xr:uid="{00000000-0006-0000-0200-00004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0" authorId="0" shapeId="0" xr:uid="{00000000-0006-0000-0200-00004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0" authorId="0" shapeId="0" xr:uid="{00000000-0006-0000-0200-00004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0" authorId="0" shapeId="0" xr:uid="{00000000-0006-0000-0200-00004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0" authorId="0" shapeId="0" xr:uid="{00000000-0006-0000-0200-00004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0" authorId="0" shapeId="0" xr:uid="{00000000-0006-0000-0200-00004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0" authorId="0" shapeId="0" xr:uid="{00000000-0006-0000-0200-0000480E0000}">
      <text>
        <r>
          <rPr>
            <sz val="9"/>
            <color indexed="81"/>
            <rFont val="Tahoma"/>
            <charset val="1"/>
          </rPr>
          <t>Stability=18,Expiration=9/25/2018</t>
        </r>
      </text>
    </comment>
    <comment ref="A21" authorId="0" shapeId="0" xr:uid="{00000000-0006-0000-0200-0000490E0000}">
      <text>
        <r>
          <rPr>
            <sz val="9"/>
            <color indexed="81"/>
            <rFont val="Tahoma"/>
            <charset val="1"/>
          </rPr>
          <t>Date macro run: 2/28/2018 8:37:05 PM</t>
        </r>
      </text>
    </comment>
    <comment ref="B21" authorId="0" shapeId="0" xr:uid="{00000000-0006-0000-0200-00004A0E0000}">
      <text>
        <r>
          <rPr>
            <sz val="9"/>
            <color indexed="81"/>
            <rFont val="Tahoma"/>
            <charset val="1"/>
          </rPr>
          <t>Stability=22,Expiration=5/9/2019</t>
        </r>
      </text>
    </comment>
    <comment ref="C21" authorId="0" shapeId="0" xr:uid="{00000000-0006-0000-0200-00004B0E0000}">
      <text>
        <r>
          <rPr>
            <sz val="9"/>
            <color indexed="81"/>
            <rFont val="Tahoma"/>
            <charset val="1"/>
          </rPr>
          <t>Stability=3,Expiration=10/22/2018</t>
        </r>
      </text>
    </comment>
    <comment ref="D21" authorId="0" shapeId="0" xr:uid="{00000000-0006-0000-0200-00004C0E0000}">
      <text>
        <r>
          <rPr>
            <sz val="9"/>
            <color indexed="81"/>
            <rFont val="Tahoma"/>
            <charset val="1"/>
          </rPr>
          <t>Stability=23,Expiration=11/23/2018</t>
        </r>
      </text>
    </comment>
    <comment ref="E21" authorId="0" shapeId="0" xr:uid="{00000000-0006-0000-0200-00004D0E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21" authorId="0" shapeId="0" xr:uid="{00000000-0006-0000-0200-00004E0E0000}">
      <text>
        <r>
          <rPr>
            <sz val="9"/>
            <color indexed="81"/>
            <rFont val="Tahoma"/>
            <charset val="1"/>
          </rPr>
          <t>Stability=5,Expiration=3/13/2018</t>
        </r>
      </text>
    </comment>
    <comment ref="G21" authorId="0" shapeId="0" xr:uid="{00000000-0006-0000-0200-00004F0E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H21" authorId="0" shapeId="0" xr:uid="{00000000-0006-0000-0200-0000500E0000}">
      <text>
        <r>
          <rPr>
            <sz val="9"/>
            <color indexed="81"/>
            <rFont val="Tahoma"/>
            <charset val="1"/>
          </rPr>
          <t>Stability=19,Expiration=4/30/2019</t>
        </r>
      </text>
    </comment>
    <comment ref="I21" authorId="0" shapeId="0" xr:uid="{00000000-0006-0000-0200-0000510E0000}">
      <text>
        <r>
          <rPr>
            <sz val="9"/>
            <color indexed="81"/>
            <rFont val="Tahoma"/>
            <charset val="1"/>
          </rPr>
          <t>Stability=20,Expiration=3/12/2018</t>
        </r>
      </text>
    </comment>
    <comment ref="J21" authorId="0" shapeId="0" xr:uid="{00000000-0006-0000-0200-0000520E0000}">
      <text>
        <r>
          <rPr>
            <sz val="9"/>
            <color indexed="81"/>
            <rFont val="Tahoma"/>
            <charset val="1"/>
          </rPr>
          <t>Stability=2,Expiration=3/26/2018</t>
        </r>
      </text>
    </comment>
    <comment ref="K21" authorId="0" shapeId="0" xr:uid="{00000000-0006-0000-0200-0000530E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21" authorId="0" shapeId="0" xr:uid="{00000000-0006-0000-0200-0000540E0000}">
      <text>
        <r>
          <rPr>
            <sz val="9"/>
            <color indexed="81"/>
            <rFont val="Tahoma"/>
            <charset val="1"/>
          </rPr>
          <t>Stability=2,Expiration=4/10/2019</t>
        </r>
      </text>
    </comment>
    <comment ref="M21" authorId="0" shapeId="0" xr:uid="{00000000-0006-0000-0200-0000550E0000}">
      <text>
        <r>
          <rPr>
            <sz val="9"/>
            <color indexed="81"/>
            <rFont val="Tahoma"/>
            <charset val="1"/>
          </rPr>
          <t>Stability=20,Expiration=4/30/2018</t>
        </r>
      </text>
    </comment>
    <comment ref="N21" authorId="0" shapeId="0" xr:uid="{00000000-0006-0000-0200-0000560E0000}">
      <text>
        <r>
          <rPr>
            <sz val="9"/>
            <color indexed="81"/>
            <rFont val="Tahoma"/>
            <charset val="1"/>
          </rPr>
          <t>Stability=20,Expiration=5/31/2018</t>
        </r>
      </text>
    </comment>
    <comment ref="O21" authorId="0" shapeId="0" xr:uid="{00000000-0006-0000-0200-00005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1" authorId="0" shapeId="0" xr:uid="{00000000-0006-0000-0200-0000580E0000}">
      <text>
        <r>
          <rPr>
            <sz val="9"/>
            <color indexed="81"/>
            <rFont val="Tahoma"/>
            <charset val="1"/>
          </rPr>
          <t>Stability=9,Expiration=5/3/2019</t>
        </r>
      </text>
    </comment>
    <comment ref="Q21" authorId="0" shapeId="0" xr:uid="{00000000-0006-0000-0200-0000590E0000}">
      <text>
        <r>
          <rPr>
            <sz val="9"/>
            <color indexed="81"/>
            <rFont val="Tahoma"/>
            <charset val="1"/>
          </rPr>
          <t>Stability=28,Expiration=2/6/2019</t>
        </r>
      </text>
    </comment>
    <comment ref="R21" authorId="0" shapeId="0" xr:uid="{00000000-0006-0000-0200-00005A0E0000}">
      <text>
        <r>
          <rPr>
            <sz val="9"/>
            <color indexed="81"/>
            <rFont val="Tahoma"/>
            <charset val="1"/>
          </rPr>
          <t>Stability=6,Expiration=5/10/2018</t>
        </r>
      </text>
    </comment>
    <comment ref="S21" authorId="0" shapeId="0" xr:uid="{00000000-0006-0000-0200-00005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1" authorId="0" shapeId="0" xr:uid="{00000000-0006-0000-0200-00005C0E0000}">
      <text>
        <r>
          <rPr>
            <sz val="9"/>
            <color indexed="81"/>
            <rFont val="Tahoma"/>
            <charset val="1"/>
          </rPr>
          <t>Stability=18,Expiration=8/14/2018</t>
        </r>
      </text>
    </comment>
    <comment ref="U21" authorId="0" shapeId="0" xr:uid="{00000000-0006-0000-0200-00005D0E0000}">
      <text>
        <r>
          <rPr>
            <sz val="9"/>
            <color indexed="81"/>
            <rFont val="Tahoma"/>
            <charset val="1"/>
          </rPr>
          <t>Stability=20,Expiration=4/20/2018</t>
        </r>
      </text>
    </comment>
    <comment ref="V21" authorId="0" shapeId="0" xr:uid="{00000000-0006-0000-0200-00005E0E0000}">
      <text>
        <r>
          <rPr>
            <sz val="9"/>
            <color indexed="81"/>
            <rFont val="Tahoma"/>
            <charset val="1"/>
          </rPr>
          <t>Stability=17,Expiration=8/17/2018</t>
        </r>
      </text>
    </comment>
    <comment ref="W21" authorId="0" shapeId="0" xr:uid="{00000000-0006-0000-0200-00005F0E0000}">
      <text>
        <r>
          <rPr>
            <sz val="9"/>
            <color indexed="81"/>
            <rFont val="Tahoma"/>
            <charset val="1"/>
          </rPr>
          <t>Stability=23,Expiration=3/31/2019</t>
        </r>
      </text>
    </comment>
    <comment ref="X21" authorId="0" shapeId="0" xr:uid="{00000000-0006-0000-0200-0000600E0000}">
      <text>
        <r>
          <rPr>
            <sz val="9"/>
            <color indexed="81"/>
            <rFont val="Tahoma"/>
            <charset val="1"/>
          </rPr>
          <t>Stability=24,Expiration=6/28/2018</t>
        </r>
      </text>
    </comment>
    <comment ref="Y21" authorId="0" shapeId="0" xr:uid="{00000000-0006-0000-0200-0000610E0000}">
      <text>
        <r>
          <rPr>
            <sz val="9"/>
            <color indexed="81"/>
            <rFont val="Tahoma"/>
            <charset val="1"/>
          </rPr>
          <t>Stability=27,Expiration=3/4/2019</t>
        </r>
      </text>
    </comment>
    <comment ref="Z21" authorId="0" shapeId="0" xr:uid="{00000000-0006-0000-0200-0000620E0000}">
      <text>
        <r>
          <rPr>
            <sz val="9"/>
            <color indexed="81"/>
            <rFont val="Tahoma"/>
            <charset val="1"/>
          </rPr>
          <t>Stability=15,Expiration=11/30/2018</t>
        </r>
      </text>
    </comment>
    <comment ref="AA21" authorId="0" shapeId="0" xr:uid="{00000000-0006-0000-0200-0000630E0000}">
      <text>
        <r>
          <rPr>
            <sz val="9"/>
            <color indexed="81"/>
            <rFont val="Tahoma"/>
            <charset val="1"/>
          </rPr>
          <t>Stability=28,Expiration=3/14/2019</t>
        </r>
      </text>
    </comment>
    <comment ref="AB21" authorId="0" shapeId="0" xr:uid="{00000000-0006-0000-0200-00006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1" authorId="0" shapeId="0" xr:uid="{00000000-0006-0000-0200-00006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1" authorId="0" shapeId="0" xr:uid="{00000000-0006-0000-0200-00006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1" authorId="0" shapeId="0" xr:uid="{00000000-0006-0000-0200-00006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1" authorId="0" shapeId="0" xr:uid="{00000000-0006-0000-0200-00006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1" authorId="0" shapeId="0" xr:uid="{00000000-0006-0000-0200-00006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1" authorId="0" shapeId="0" xr:uid="{00000000-0006-0000-0200-00006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1" authorId="0" shapeId="0" xr:uid="{00000000-0006-0000-0200-00006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1" authorId="0" shapeId="0" xr:uid="{00000000-0006-0000-0200-00006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1" authorId="0" shapeId="0" xr:uid="{00000000-0006-0000-0200-00006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1" authorId="0" shapeId="0" xr:uid="{00000000-0006-0000-0200-00006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1" authorId="0" shapeId="0" xr:uid="{00000000-0006-0000-0200-00006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1" authorId="0" shapeId="0" xr:uid="{00000000-0006-0000-0200-00007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1" authorId="0" shapeId="0" xr:uid="{00000000-0006-0000-0200-00007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1" authorId="0" shapeId="0" xr:uid="{00000000-0006-0000-0200-00007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1" authorId="0" shapeId="0" xr:uid="{00000000-0006-0000-0200-00007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1" authorId="0" shapeId="0" xr:uid="{00000000-0006-0000-0200-00007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1" authorId="0" shapeId="0" xr:uid="{00000000-0006-0000-0200-00007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1" authorId="0" shapeId="0" xr:uid="{00000000-0006-0000-0200-00007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1" authorId="0" shapeId="0" xr:uid="{00000000-0006-0000-0200-00007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1" authorId="0" shapeId="0" xr:uid="{00000000-0006-0000-0200-0000780E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22" authorId="0" shapeId="0" xr:uid="{00000000-0006-0000-0200-0000790E0000}">
      <text>
        <r>
          <rPr>
            <sz val="9"/>
            <color indexed="81"/>
            <rFont val="Tahoma"/>
            <charset val="1"/>
          </rPr>
          <t>Date macro run: 3/2/2018 9:23:39 PM</t>
        </r>
      </text>
    </comment>
    <comment ref="B22" authorId="0" shapeId="0" xr:uid="{00000000-0006-0000-0200-00007A0E0000}">
      <text>
        <r>
          <rPr>
            <sz val="9"/>
            <color indexed="81"/>
            <rFont val="Tahoma"/>
            <charset val="1"/>
          </rPr>
          <t>Stability=19,Expiration=5/9/2019</t>
        </r>
      </text>
    </comment>
    <comment ref="C22" authorId="0" shapeId="0" xr:uid="{00000000-0006-0000-0200-00007B0E0000}">
      <text>
        <r>
          <rPr>
            <sz val="9"/>
            <color indexed="81"/>
            <rFont val="Tahoma"/>
            <charset val="1"/>
          </rPr>
          <t>Stability=7,Expiration=10/22/2018</t>
        </r>
      </text>
    </comment>
    <comment ref="D22" authorId="0" shapeId="0" xr:uid="{00000000-0006-0000-0200-00007C0E0000}">
      <text>
        <r>
          <rPr>
            <sz val="9"/>
            <color indexed="81"/>
            <rFont val="Tahoma"/>
            <charset val="1"/>
          </rPr>
          <t>Stability=21,Expiration=11/23/2018</t>
        </r>
      </text>
    </comment>
    <comment ref="E22" authorId="0" shapeId="0" xr:uid="{00000000-0006-0000-0200-00007D0E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22" authorId="0" shapeId="0" xr:uid="{00000000-0006-0000-0200-00007E0E0000}">
      <text>
        <r>
          <rPr>
            <sz val="9"/>
            <color indexed="81"/>
            <rFont val="Tahoma"/>
            <charset val="1"/>
          </rPr>
          <t>Stability=3,Expiration=3/13/2018</t>
        </r>
      </text>
    </comment>
    <comment ref="G22" authorId="0" shapeId="0" xr:uid="{00000000-0006-0000-0200-00007F0E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H22" authorId="0" shapeId="0" xr:uid="{00000000-0006-0000-0200-0000800E0000}">
      <text>
        <r>
          <rPr>
            <sz val="9"/>
            <color indexed="81"/>
            <rFont val="Tahoma"/>
            <charset val="1"/>
          </rPr>
          <t>Stability=17,Expiration=4/30/2019</t>
        </r>
      </text>
    </comment>
    <comment ref="I22" authorId="0" shapeId="0" xr:uid="{00000000-0006-0000-0200-0000810E0000}">
      <text>
        <r>
          <rPr>
            <sz val="9"/>
            <color indexed="81"/>
            <rFont val="Tahoma"/>
            <charset val="1"/>
          </rPr>
          <t>Stability=18,Expiration=3/12/2018</t>
        </r>
      </text>
    </comment>
    <comment ref="J22" authorId="0" shapeId="0" xr:uid="{00000000-0006-0000-0200-0000820E0000}">
      <text>
        <r>
          <rPr>
            <sz val="9"/>
            <color indexed="81"/>
            <rFont val="Tahoma"/>
            <charset val="1"/>
          </rPr>
          <t>Stability=29,Expiration=3/26/2018</t>
        </r>
      </text>
    </comment>
    <comment ref="K22" authorId="0" shapeId="0" xr:uid="{00000000-0006-0000-0200-0000830E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22" authorId="0" shapeId="0" xr:uid="{00000000-0006-0000-0200-0000840E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22" authorId="0" shapeId="0" xr:uid="{00000000-0006-0000-0200-0000850E0000}">
      <text>
        <r>
          <rPr>
            <sz val="9"/>
            <color indexed="81"/>
            <rFont val="Tahoma"/>
            <charset val="1"/>
          </rPr>
          <t>Stability=17,Expiration=4/30/2018</t>
        </r>
      </text>
    </comment>
    <comment ref="N22" authorId="0" shapeId="0" xr:uid="{00000000-0006-0000-0200-0000860E0000}">
      <text>
        <r>
          <rPr>
            <sz val="9"/>
            <color indexed="81"/>
            <rFont val="Tahoma"/>
            <charset val="1"/>
          </rPr>
          <t>Stability=18,Expiration=5/31/2018</t>
        </r>
      </text>
    </comment>
    <comment ref="O22" authorId="0" shapeId="0" xr:uid="{00000000-0006-0000-0200-00008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2" authorId="0" shapeId="0" xr:uid="{00000000-0006-0000-0200-0000880E0000}">
      <text>
        <r>
          <rPr>
            <sz val="9"/>
            <color indexed="81"/>
            <rFont val="Tahoma"/>
            <charset val="1"/>
          </rPr>
          <t>Stability=7,Expiration=5/3/2019</t>
        </r>
      </text>
    </comment>
    <comment ref="Q22" authorId="0" shapeId="0" xr:uid="{00000000-0006-0000-0200-0000890E0000}">
      <text>
        <r>
          <rPr>
            <sz val="9"/>
            <color indexed="81"/>
            <rFont val="Tahoma"/>
            <charset val="1"/>
          </rPr>
          <t>Stability=26,Expiration=2/6/2019</t>
        </r>
      </text>
    </comment>
    <comment ref="R22" authorId="0" shapeId="0" xr:uid="{00000000-0006-0000-0200-00008A0E0000}">
      <text>
        <r>
          <rPr>
            <sz val="9"/>
            <color indexed="81"/>
            <rFont val="Tahoma"/>
            <charset val="1"/>
          </rPr>
          <t>Stability=4,Expiration=5/10/2018</t>
        </r>
      </text>
    </comment>
    <comment ref="S22" authorId="0" shapeId="0" xr:uid="{00000000-0006-0000-0200-00008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2" authorId="0" shapeId="0" xr:uid="{00000000-0006-0000-0200-00008C0E0000}">
      <text>
        <r>
          <rPr>
            <sz val="9"/>
            <color indexed="81"/>
            <rFont val="Tahoma"/>
            <charset val="1"/>
          </rPr>
          <t>Stability=15,Expiration=8/14/2018</t>
        </r>
      </text>
    </comment>
    <comment ref="U22" authorId="0" shapeId="0" xr:uid="{00000000-0006-0000-0200-00008D0E0000}">
      <text>
        <r>
          <rPr>
            <sz val="9"/>
            <color indexed="81"/>
            <rFont val="Tahoma"/>
            <charset val="1"/>
          </rPr>
          <t>Stability=17,Expiration=4/20/2018</t>
        </r>
      </text>
    </comment>
    <comment ref="V22" authorId="0" shapeId="0" xr:uid="{00000000-0006-0000-0200-00008E0E0000}">
      <text>
        <r>
          <rPr>
            <sz val="9"/>
            <color indexed="81"/>
            <rFont val="Tahoma"/>
            <charset val="1"/>
          </rPr>
          <t>Stability=15,Expiration=8/17/2018</t>
        </r>
      </text>
    </comment>
    <comment ref="W22" authorId="0" shapeId="0" xr:uid="{00000000-0006-0000-0200-00008F0E0000}">
      <text>
        <r>
          <rPr>
            <sz val="9"/>
            <color indexed="81"/>
            <rFont val="Tahoma"/>
            <charset val="1"/>
          </rPr>
          <t>Stability=21,Expiration=3/31/2019</t>
        </r>
      </text>
    </comment>
    <comment ref="X22" authorId="0" shapeId="0" xr:uid="{00000000-0006-0000-0200-0000900E0000}">
      <text>
        <r>
          <rPr>
            <sz val="9"/>
            <color indexed="81"/>
            <rFont val="Tahoma"/>
            <charset val="1"/>
          </rPr>
          <t>Stability=22,Expiration=6/28/2018</t>
        </r>
      </text>
    </comment>
    <comment ref="Y22" authorId="0" shapeId="0" xr:uid="{00000000-0006-0000-0200-0000910E0000}">
      <text>
        <r>
          <rPr>
            <sz val="9"/>
            <color indexed="81"/>
            <rFont val="Tahoma"/>
            <charset val="1"/>
          </rPr>
          <t>Stability=25,Expiration=3/4/2019</t>
        </r>
      </text>
    </comment>
    <comment ref="Z22" authorId="0" shapeId="0" xr:uid="{00000000-0006-0000-0200-0000920E0000}">
      <text>
        <r>
          <rPr>
            <sz val="9"/>
            <color indexed="81"/>
            <rFont val="Tahoma"/>
            <charset val="1"/>
          </rPr>
          <t>Stability=12,Expiration=11/30/2018</t>
        </r>
      </text>
    </comment>
    <comment ref="AA22" authorId="0" shapeId="0" xr:uid="{00000000-0006-0000-0200-0000930E0000}">
      <text>
        <r>
          <rPr>
            <sz val="9"/>
            <color indexed="81"/>
            <rFont val="Tahoma"/>
            <charset val="1"/>
          </rPr>
          <t>Stability=26,Expiration=3/14/2019</t>
        </r>
      </text>
    </comment>
    <comment ref="AB22" authorId="0" shapeId="0" xr:uid="{00000000-0006-0000-0200-00009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2" authorId="0" shapeId="0" xr:uid="{00000000-0006-0000-0200-00009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2" authorId="0" shapeId="0" xr:uid="{00000000-0006-0000-0200-00009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2" authorId="0" shapeId="0" xr:uid="{00000000-0006-0000-0200-00009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2" authorId="0" shapeId="0" xr:uid="{00000000-0006-0000-0200-00009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2" authorId="0" shapeId="0" xr:uid="{00000000-0006-0000-0200-00009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2" authorId="0" shapeId="0" xr:uid="{00000000-0006-0000-0200-00009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2" authorId="0" shapeId="0" xr:uid="{00000000-0006-0000-0200-00009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2" authorId="0" shapeId="0" xr:uid="{00000000-0006-0000-0200-00009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2" authorId="0" shapeId="0" xr:uid="{00000000-0006-0000-0200-00009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2" authorId="0" shapeId="0" xr:uid="{00000000-0006-0000-0200-00009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2" authorId="0" shapeId="0" xr:uid="{00000000-0006-0000-0200-00009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2" authorId="0" shapeId="0" xr:uid="{00000000-0006-0000-0200-0000A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2" authorId="0" shapeId="0" xr:uid="{00000000-0006-0000-0200-0000A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2" authorId="0" shapeId="0" xr:uid="{00000000-0006-0000-0200-0000A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2" authorId="0" shapeId="0" xr:uid="{00000000-0006-0000-0200-0000A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2" authorId="0" shapeId="0" xr:uid="{00000000-0006-0000-0200-0000A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2" authorId="0" shapeId="0" xr:uid="{00000000-0006-0000-0200-0000A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2" authorId="0" shapeId="0" xr:uid="{00000000-0006-0000-0200-0000A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2" authorId="0" shapeId="0" xr:uid="{00000000-0006-0000-0200-0000A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2" authorId="0" shapeId="0" xr:uid="{00000000-0006-0000-0200-0000A80E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23" authorId="0" shapeId="0" xr:uid="{00000000-0006-0000-0200-0000A90E0000}">
      <text>
        <r>
          <rPr>
            <sz val="9"/>
            <color indexed="81"/>
            <rFont val="Tahoma"/>
            <charset val="1"/>
          </rPr>
          <t>Date macro run: 3/5/2018 10:30:20 PM</t>
        </r>
      </text>
    </comment>
    <comment ref="B23" authorId="0" shapeId="0" xr:uid="{00000000-0006-0000-0200-0000AA0E0000}">
      <text>
        <r>
          <rPr>
            <sz val="9"/>
            <color indexed="81"/>
            <rFont val="Tahoma"/>
            <charset val="1"/>
          </rPr>
          <t>Stability=16,Expiration=5/9/2019</t>
        </r>
      </text>
    </comment>
    <comment ref="C23" authorId="0" shapeId="0" xr:uid="{00000000-0006-0000-0200-0000AB0E0000}">
      <text>
        <r>
          <rPr>
            <sz val="9"/>
            <color indexed="81"/>
            <rFont val="Tahoma"/>
            <charset val="1"/>
          </rPr>
          <t>Stability=4,Expiration=10/22/2018</t>
        </r>
      </text>
    </comment>
    <comment ref="D23" authorId="0" shapeId="0" xr:uid="{00000000-0006-0000-0200-0000AC0E0000}">
      <text>
        <r>
          <rPr>
            <sz val="9"/>
            <color indexed="81"/>
            <rFont val="Tahoma"/>
            <charset val="1"/>
          </rPr>
          <t>Stability=18,Expiration=11/23/2018</t>
        </r>
      </text>
    </comment>
    <comment ref="E23" authorId="0" shapeId="0" xr:uid="{00000000-0006-0000-0200-0000AD0E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23" authorId="0" shapeId="0" xr:uid="{00000000-0006-0000-0200-0000AE0E0000}">
      <text>
        <r>
          <rPr>
            <sz val="9"/>
            <color indexed="81"/>
            <rFont val="Tahoma"/>
            <charset val="1"/>
          </rPr>
          <t>Stability=28,Expiration=3/13/2018</t>
        </r>
      </text>
    </comment>
    <comment ref="G23" authorId="0" shapeId="0" xr:uid="{00000000-0006-0000-0200-0000AF0E0000}">
      <text>
        <r>
          <rPr>
            <sz val="9"/>
            <color indexed="81"/>
            <rFont val="Tahoma"/>
            <charset val="1"/>
          </rPr>
          <t>Stability=6,Expiration=10/31/2018</t>
        </r>
      </text>
    </comment>
    <comment ref="H23" authorId="0" shapeId="0" xr:uid="{00000000-0006-0000-0200-0000B00E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I23" authorId="0" shapeId="0" xr:uid="{00000000-0006-0000-0200-0000B10E0000}">
      <text>
        <r>
          <rPr>
            <sz val="9"/>
            <color indexed="81"/>
            <rFont val="Tahoma"/>
            <charset val="1"/>
          </rPr>
          <t>Stability=15,Expiration=3/12/2018</t>
        </r>
      </text>
    </comment>
    <comment ref="J23" authorId="0" shapeId="0" xr:uid="{00000000-0006-0000-0200-0000B20E0000}">
      <text>
        <r>
          <rPr>
            <sz val="9"/>
            <color indexed="81"/>
            <rFont val="Tahoma"/>
            <charset val="1"/>
          </rPr>
          <t>Stability=26,Expiration=3/26/2018</t>
        </r>
      </text>
    </comment>
    <comment ref="K23" authorId="0" shapeId="0" xr:uid="{00000000-0006-0000-0200-0000B30E0000}">
      <text>
        <r>
          <rPr>
            <sz val="9"/>
            <color indexed="81"/>
            <rFont val="Tahoma"/>
            <charset val="1"/>
          </rPr>
          <t>Stability=7,Expiration=7/31/2018</t>
        </r>
      </text>
    </comment>
    <comment ref="L23" authorId="0" shapeId="0" xr:uid="{00000000-0006-0000-0200-0000B40E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23" authorId="0" shapeId="0" xr:uid="{00000000-0006-0000-0200-0000B50E0000}">
      <text>
        <r>
          <rPr>
            <sz val="9"/>
            <color indexed="81"/>
            <rFont val="Tahoma"/>
            <charset val="1"/>
          </rPr>
          <t>Stability=14,Expiration=4/30/2018</t>
        </r>
      </text>
    </comment>
    <comment ref="N23" authorId="0" shapeId="0" xr:uid="{00000000-0006-0000-0200-0000B60E0000}">
      <text>
        <r>
          <rPr>
            <sz val="9"/>
            <color indexed="81"/>
            <rFont val="Tahoma"/>
            <charset val="1"/>
          </rPr>
          <t>Stability=15,Expiration=5/31/2018</t>
        </r>
      </text>
    </comment>
    <comment ref="O23" authorId="0" shapeId="0" xr:uid="{00000000-0006-0000-0200-0000B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3" authorId="0" shapeId="0" xr:uid="{00000000-0006-0000-0200-0000B80E0000}">
      <text>
        <r>
          <rPr>
            <sz val="9"/>
            <color indexed="81"/>
            <rFont val="Tahoma"/>
            <charset val="1"/>
          </rPr>
          <t>Stability=20,Expiration=5/3/2019</t>
        </r>
      </text>
    </comment>
    <comment ref="Q23" authorId="0" shapeId="0" xr:uid="{00000000-0006-0000-0200-0000B90E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23" authorId="0" shapeId="0" xr:uid="{00000000-0006-0000-0200-0000BA0E0000}">
      <text>
        <r>
          <rPr>
            <sz val="9"/>
            <color indexed="81"/>
            <rFont val="Tahoma"/>
            <charset val="1"/>
          </rPr>
          <t>Stability=63,Expiration=5/10/2018</t>
        </r>
      </text>
    </comment>
    <comment ref="S23" authorId="0" shapeId="0" xr:uid="{00000000-0006-0000-0200-0000B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3" authorId="0" shapeId="0" xr:uid="{00000000-0006-0000-0200-0000BC0E0000}">
      <text>
        <r>
          <rPr>
            <sz val="9"/>
            <color indexed="81"/>
            <rFont val="Tahoma"/>
            <charset val="1"/>
          </rPr>
          <t>Stability=12,Expiration=8/14/2018</t>
        </r>
      </text>
    </comment>
    <comment ref="U23" authorId="0" shapeId="0" xr:uid="{00000000-0006-0000-0200-0000BD0E0000}">
      <text>
        <r>
          <rPr>
            <sz val="9"/>
            <color indexed="81"/>
            <rFont val="Tahoma"/>
            <charset val="1"/>
          </rPr>
          <t>Stability=14,Expiration=4/20/2018</t>
        </r>
      </text>
    </comment>
    <comment ref="V23" authorId="0" shapeId="0" xr:uid="{00000000-0006-0000-0200-0000BE0E0000}">
      <text>
        <r>
          <rPr>
            <sz val="9"/>
            <color indexed="81"/>
            <rFont val="Tahoma"/>
            <charset val="1"/>
          </rPr>
          <t>Stability=12,Expiration=8/17/2018</t>
        </r>
      </text>
    </comment>
    <comment ref="W23" authorId="0" shapeId="0" xr:uid="{00000000-0006-0000-0200-0000BF0E0000}">
      <text>
        <r>
          <rPr>
            <sz val="9"/>
            <color indexed="81"/>
            <rFont val="Tahoma"/>
            <charset val="1"/>
          </rPr>
          <t>Stability=17,Expiration=3/31/2019</t>
        </r>
      </text>
    </comment>
    <comment ref="X23" authorId="0" shapeId="0" xr:uid="{00000000-0006-0000-0200-0000C00E0000}">
      <text>
        <r>
          <rPr>
            <sz val="9"/>
            <color indexed="81"/>
            <rFont val="Tahoma"/>
            <charset val="1"/>
          </rPr>
          <t>Stability=19,Expiration=6/28/2018</t>
        </r>
      </text>
    </comment>
    <comment ref="Y23" authorId="0" shapeId="0" xr:uid="{00000000-0006-0000-0200-0000C10E0000}">
      <text>
        <r>
          <rPr>
            <sz val="9"/>
            <color indexed="81"/>
            <rFont val="Tahoma"/>
            <charset val="1"/>
          </rPr>
          <t>Stability=22,Expiration=3/4/2019</t>
        </r>
      </text>
    </comment>
    <comment ref="Z23" authorId="0" shapeId="0" xr:uid="{00000000-0006-0000-0200-0000C20E0000}">
      <text>
        <r>
          <rPr>
            <sz val="9"/>
            <color indexed="81"/>
            <rFont val="Tahoma"/>
            <charset val="1"/>
          </rPr>
          <t>Stability=9,Expiration=11/30/2018</t>
        </r>
      </text>
    </comment>
    <comment ref="AA23" authorId="0" shapeId="0" xr:uid="{00000000-0006-0000-0200-0000C30E0000}">
      <text>
        <r>
          <rPr>
            <sz val="9"/>
            <color indexed="81"/>
            <rFont val="Tahoma"/>
            <charset val="1"/>
          </rPr>
          <t>Stability=23,Expiration=3/14/2019</t>
        </r>
      </text>
    </comment>
    <comment ref="AB23" authorId="0" shapeId="0" xr:uid="{00000000-0006-0000-0200-0000C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3" authorId="0" shapeId="0" xr:uid="{00000000-0006-0000-0200-0000C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3" authorId="0" shapeId="0" xr:uid="{00000000-0006-0000-0200-0000C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3" authorId="0" shapeId="0" xr:uid="{00000000-0006-0000-0200-0000C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3" authorId="0" shapeId="0" xr:uid="{00000000-0006-0000-0200-0000C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3" authorId="0" shapeId="0" xr:uid="{00000000-0006-0000-0200-0000C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3" authorId="0" shapeId="0" xr:uid="{00000000-0006-0000-0200-0000C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3" authorId="0" shapeId="0" xr:uid="{00000000-0006-0000-0200-0000C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3" authorId="0" shapeId="0" xr:uid="{00000000-0006-0000-0200-0000C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3" authorId="0" shapeId="0" xr:uid="{00000000-0006-0000-0200-0000C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3" authorId="0" shapeId="0" xr:uid="{00000000-0006-0000-0200-0000C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3" authorId="0" shapeId="0" xr:uid="{00000000-0006-0000-0200-0000C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3" authorId="0" shapeId="0" xr:uid="{00000000-0006-0000-0200-0000D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3" authorId="0" shapeId="0" xr:uid="{00000000-0006-0000-0200-0000D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3" authorId="0" shapeId="0" xr:uid="{00000000-0006-0000-0200-0000D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3" authorId="0" shapeId="0" xr:uid="{00000000-0006-0000-0200-0000D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3" authorId="0" shapeId="0" xr:uid="{00000000-0006-0000-0200-0000D40E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3" authorId="0" shapeId="0" xr:uid="{00000000-0006-0000-0200-0000D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3" authorId="0" shapeId="0" xr:uid="{00000000-0006-0000-0200-0000D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3" authorId="0" shapeId="0" xr:uid="{00000000-0006-0000-0200-0000D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3" authorId="0" shapeId="0" xr:uid="{00000000-0006-0000-0200-0000D80E0000}">
      <text>
        <r>
          <rPr>
            <sz val="9"/>
            <color indexed="81"/>
            <rFont val="Tahoma"/>
            <charset val="1"/>
          </rPr>
          <t>Stability=11,Expiration=9/25/2018</t>
        </r>
      </text>
    </comment>
    <comment ref="A24" authorId="0" shapeId="0" xr:uid="{00000000-0006-0000-0200-0000D90E0000}">
      <text>
        <r>
          <rPr>
            <sz val="9"/>
            <color indexed="81"/>
            <rFont val="Tahoma"/>
            <charset val="1"/>
          </rPr>
          <t>Date macro run: 3/7/2018 10:07:15 PM</t>
        </r>
      </text>
    </comment>
    <comment ref="B24" authorId="0" shapeId="0" xr:uid="{00000000-0006-0000-0200-0000DA0E0000}">
      <text>
        <r>
          <rPr>
            <sz val="9"/>
            <color indexed="81"/>
            <rFont val="Tahoma"/>
            <charset val="1"/>
          </rPr>
          <t>Stability=14,Expiration=5/9/2019</t>
        </r>
      </text>
    </comment>
    <comment ref="C24" authorId="0" shapeId="0" xr:uid="{00000000-0006-0000-0200-0000DB0E0000}">
      <text>
        <r>
          <rPr>
            <sz val="9"/>
            <color indexed="81"/>
            <rFont val="Tahoma"/>
            <charset val="1"/>
          </rPr>
          <t>Stability=2,Expiration=10/22/2018</t>
        </r>
      </text>
    </comment>
    <comment ref="D24" authorId="0" shapeId="0" xr:uid="{00000000-0006-0000-0200-0000DC0E0000}">
      <text>
        <r>
          <rPr>
            <sz val="9"/>
            <color indexed="81"/>
            <rFont val="Tahoma"/>
            <charset val="1"/>
          </rPr>
          <t>Stability=16,Expiration=11/23/2018</t>
        </r>
      </text>
    </comment>
    <comment ref="E24" authorId="0" shapeId="0" xr:uid="{00000000-0006-0000-0200-0000DD0E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24" authorId="0" shapeId="0" xr:uid="{00000000-0006-0000-0200-0000DE0E0000}">
      <text>
        <r>
          <rPr>
            <sz val="9"/>
            <color indexed="81"/>
            <rFont val="Tahoma"/>
            <charset val="1"/>
          </rPr>
          <t>Stability=27,Expiration=3/13/2018</t>
        </r>
      </text>
    </comment>
    <comment ref="G24" authorId="0" shapeId="0" xr:uid="{00000000-0006-0000-0200-0000DF0E0000}">
      <text>
        <r>
          <rPr>
            <sz val="9"/>
            <color indexed="81"/>
            <rFont val="Tahoma"/>
            <charset val="1"/>
          </rPr>
          <t>Stability=4,Expiration=10/31/2018</t>
        </r>
      </text>
    </comment>
    <comment ref="H24" authorId="0" shapeId="0" xr:uid="{00000000-0006-0000-0200-0000E00E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I24" authorId="0" shapeId="0" xr:uid="{00000000-0006-0000-0200-0000E10E0000}">
      <text>
        <r>
          <rPr>
            <sz val="9"/>
            <color indexed="81"/>
            <rFont val="Tahoma"/>
            <charset val="1"/>
          </rPr>
          <t>Stability=13,Expiration=7/18/2018</t>
        </r>
      </text>
    </comment>
    <comment ref="J24" authorId="0" shapeId="0" xr:uid="{00000000-0006-0000-0200-0000E20E0000}">
      <text>
        <r>
          <rPr>
            <sz val="9"/>
            <color indexed="81"/>
            <rFont val="Tahoma"/>
            <charset val="1"/>
          </rPr>
          <t>Stability=24,Expiration=3/26/2018</t>
        </r>
      </text>
    </comment>
    <comment ref="K24" authorId="0" shapeId="0" xr:uid="{00000000-0006-0000-0200-0000E30E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24" authorId="0" shapeId="0" xr:uid="{00000000-0006-0000-0200-0000E40E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24" authorId="0" shapeId="0" xr:uid="{00000000-0006-0000-0200-0000E50E0000}">
      <text>
        <r>
          <rPr>
            <sz val="9"/>
            <color indexed="81"/>
            <rFont val="Tahoma"/>
            <charset val="1"/>
          </rPr>
          <t>Stability=12,Expiration=4/30/2018</t>
        </r>
      </text>
    </comment>
    <comment ref="N24" authorId="0" shapeId="0" xr:uid="{00000000-0006-0000-0200-0000E60E0000}">
      <text>
        <r>
          <rPr>
            <sz val="9"/>
            <color indexed="81"/>
            <rFont val="Tahoma"/>
            <charset val="1"/>
          </rPr>
          <t>Stability=13,Expiration=5/31/2018</t>
        </r>
      </text>
    </comment>
    <comment ref="O24" authorId="0" shapeId="0" xr:uid="{00000000-0006-0000-0200-0000E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4" authorId="0" shapeId="0" xr:uid="{00000000-0006-0000-0200-0000E80E0000}">
      <text>
        <r>
          <rPr>
            <sz val="9"/>
            <color indexed="81"/>
            <rFont val="Tahoma"/>
            <charset val="1"/>
          </rPr>
          <t>Stability=18,Expiration=5/3/2019</t>
        </r>
      </text>
    </comment>
    <comment ref="Q24" authorId="0" shapeId="0" xr:uid="{00000000-0006-0000-0200-0000E90E0000}">
      <text>
        <r>
          <rPr>
            <sz val="9"/>
            <color indexed="81"/>
            <rFont val="Tahoma"/>
            <charset val="1"/>
          </rPr>
          <t>Stability=21,Expiration=2/6/2019</t>
        </r>
      </text>
    </comment>
    <comment ref="R24" authorId="0" shapeId="0" xr:uid="{00000000-0006-0000-0200-0000EA0E0000}">
      <text>
        <r>
          <rPr>
            <sz val="9"/>
            <color indexed="81"/>
            <rFont val="Tahoma"/>
            <charset val="1"/>
          </rPr>
          <t>Stability=61,Expiration=5/10/2018</t>
        </r>
      </text>
    </comment>
    <comment ref="S24" authorId="0" shapeId="0" xr:uid="{00000000-0006-0000-0200-0000E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4" authorId="0" shapeId="0" xr:uid="{00000000-0006-0000-0200-0000EC0E0000}">
      <text>
        <r>
          <rPr>
            <sz val="9"/>
            <color indexed="81"/>
            <rFont val="Tahoma"/>
            <charset val="1"/>
          </rPr>
          <t>Stability=10,Expiration=8/14/2018</t>
        </r>
      </text>
    </comment>
    <comment ref="U24" authorId="0" shapeId="0" xr:uid="{00000000-0006-0000-0200-0000ED0E0000}">
      <text>
        <r>
          <rPr>
            <sz val="9"/>
            <color indexed="81"/>
            <rFont val="Tahoma"/>
            <charset val="1"/>
          </rPr>
          <t>Stability=12,Expiration=4/20/2018</t>
        </r>
      </text>
    </comment>
    <comment ref="V24" authorId="0" shapeId="0" xr:uid="{00000000-0006-0000-0200-0000EE0E0000}">
      <text>
        <r>
          <rPr>
            <sz val="9"/>
            <color indexed="81"/>
            <rFont val="Tahoma"/>
            <charset val="1"/>
          </rPr>
          <t>Stability=10,Expiration=8/17/2018</t>
        </r>
      </text>
    </comment>
    <comment ref="W24" authorId="0" shapeId="0" xr:uid="{00000000-0006-0000-0200-0000EF0E0000}">
      <text>
        <r>
          <rPr>
            <sz val="9"/>
            <color indexed="81"/>
            <rFont val="Tahoma"/>
            <charset val="1"/>
          </rPr>
          <t>Stability=16,Expiration=3/31/2019</t>
        </r>
      </text>
    </comment>
    <comment ref="X24" authorId="0" shapeId="0" xr:uid="{00000000-0006-0000-0200-0000F00E0000}">
      <text>
        <r>
          <rPr>
            <sz val="9"/>
            <color indexed="81"/>
            <rFont val="Tahoma"/>
            <charset val="1"/>
          </rPr>
          <t>Stability=17,Expiration=6/28/2018</t>
        </r>
      </text>
    </comment>
    <comment ref="Y24" authorId="0" shapeId="0" xr:uid="{00000000-0006-0000-0200-0000F10E0000}">
      <text>
        <r>
          <rPr>
            <sz val="9"/>
            <color indexed="81"/>
            <rFont val="Tahoma"/>
            <charset val="1"/>
          </rPr>
          <t>Stability=20,Expiration=3/4/2019</t>
        </r>
      </text>
    </comment>
    <comment ref="Z24" authorId="0" shapeId="0" xr:uid="{00000000-0006-0000-0200-0000F20E0000}">
      <text>
        <r>
          <rPr>
            <sz val="9"/>
            <color indexed="81"/>
            <rFont val="Tahoma"/>
            <charset val="1"/>
          </rPr>
          <t>Stability=8,Expiration=11/30/2018</t>
        </r>
      </text>
    </comment>
    <comment ref="AA24" authorId="0" shapeId="0" xr:uid="{00000000-0006-0000-0200-0000F30E0000}">
      <text>
        <r>
          <rPr>
            <sz val="9"/>
            <color indexed="81"/>
            <rFont val="Tahoma"/>
            <charset val="1"/>
          </rPr>
          <t>Stability=21,Expiration=3/14/2019</t>
        </r>
      </text>
    </comment>
    <comment ref="AB24" authorId="0" shapeId="0" xr:uid="{00000000-0006-0000-0200-0000F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4" authorId="0" shapeId="0" xr:uid="{00000000-0006-0000-0200-0000F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4" authorId="0" shapeId="0" xr:uid="{00000000-0006-0000-0200-0000F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4" authorId="0" shapeId="0" xr:uid="{00000000-0006-0000-0200-0000F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4" authorId="0" shapeId="0" xr:uid="{00000000-0006-0000-0200-0000F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4" authorId="0" shapeId="0" xr:uid="{00000000-0006-0000-0200-0000F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4" authorId="0" shapeId="0" xr:uid="{00000000-0006-0000-0200-0000F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4" authorId="0" shapeId="0" xr:uid="{00000000-0006-0000-0200-0000F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4" authorId="0" shapeId="0" xr:uid="{00000000-0006-0000-0200-0000F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4" authorId="0" shapeId="0" xr:uid="{00000000-0006-0000-0200-0000F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4" authorId="0" shapeId="0" xr:uid="{00000000-0006-0000-0200-0000F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4" authorId="0" shapeId="0" xr:uid="{00000000-0006-0000-0200-0000F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4" authorId="0" shapeId="0" xr:uid="{00000000-0006-0000-0200-00000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4" authorId="0" shapeId="0" xr:uid="{00000000-0006-0000-0200-00000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4" authorId="0" shapeId="0" xr:uid="{00000000-0006-0000-0200-00000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4" authorId="0" shapeId="0" xr:uid="{00000000-0006-0000-0200-00000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4" authorId="0" shapeId="0" xr:uid="{00000000-0006-0000-0200-00000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4" authorId="0" shapeId="0" xr:uid="{00000000-0006-0000-0200-00000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4" authorId="0" shapeId="0" xr:uid="{00000000-0006-0000-0200-00000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4" authorId="0" shapeId="0" xr:uid="{00000000-0006-0000-0200-00000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4" authorId="0" shapeId="0" xr:uid="{00000000-0006-0000-0200-0000080F0000}">
      <text>
        <r>
          <rPr>
            <sz val="9"/>
            <color indexed="81"/>
            <rFont val="Tahoma"/>
            <charset val="1"/>
          </rPr>
          <t>Stability=9,Expiration=9/25/2018</t>
        </r>
      </text>
    </comment>
    <comment ref="A25" authorId="0" shapeId="0" xr:uid="{00000000-0006-0000-0200-0000090F0000}">
      <text>
        <r>
          <rPr>
            <sz val="9"/>
            <color indexed="81"/>
            <rFont val="Tahoma"/>
            <charset val="1"/>
          </rPr>
          <t>Date macro run: 3/9/2018 8:13:10 PM</t>
        </r>
      </text>
    </comment>
    <comment ref="B25" authorId="0" shapeId="0" xr:uid="{00000000-0006-0000-0200-00000A0F0000}">
      <text>
        <r>
          <rPr>
            <sz val="9"/>
            <color indexed="81"/>
            <rFont val="Tahoma"/>
            <charset val="1"/>
          </rPr>
          <t>Stability=13,Expiration=5/9/2019</t>
        </r>
      </text>
    </comment>
    <comment ref="C25" authorId="0" shapeId="0" xr:uid="{00000000-0006-0000-0200-00000B0F0000}">
      <text>
        <r>
          <rPr>
            <sz val="9"/>
            <color indexed="81"/>
            <rFont val="Tahoma"/>
            <charset val="1"/>
          </rPr>
          <t>Stability=1,Expiration=10/22/2018</t>
        </r>
      </text>
    </comment>
    <comment ref="D25" authorId="0" shapeId="0" xr:uid="{00000000-0006-0000-0200-00000C0F0000}">
      <text>
        <r>
          <rPr>
            <sz val="9"/>
            <color indexed="81"/>
            <rFont val="Tahoma"/>
            <charset val="1"/>
          </rPr>
          <t>Stability=14,Expiration=11/23/2018</t>
        </r>
      </text>
    </comment>
    <comment ref="E25" authorId="0" shapeId="0" xr:uid="{00000000-0006-0000-0200-00000D0F0000}">
      <text>
        <r>
          <rPr>
            <sz val="9"/>
            <color indexed="81"/>
            <rFont val="Tahoma"/>
            <charset val="1"/>
          </rPr>
          <t>Stability=8,Expiration=12/31/2018</t>
        </r>
      </text>
    </comment>
    <comment ref="F25" authorId="0" shapeId="0" xr:uid="{00000000-0006-0000-0200-00000E0F0000}">
      <text>
        <r>
          <rPr>
            <sz val="9"/>
            <color indexed="81"/>
            <rFont val="Tahoma"/>
            <charset val="1"/>
          </rPr>
          <t>Stability=25,Expiration=3/13/2018</t>
        </r>
      </text>
    </comment>
    <comment ref="G25" authorId="0" shapeId="0" xr:uid="{00000000-0006-0000-0200-00000F0F0000}">
      <text>
        <r>
          <rPr>
            <sz val="9"/>
            <color indexed="81"/>
            <rFont val="Tahoma"/>
            <charset val="1"/>
          </rPr>
          <t>Stability=2,Expiration=10/31/2018</t>
        </r>
      </text>
    </comment>
    <comment ref="H25" authorId="0" shapeId="0" xr:uid="{00000000-0006-0000-0200-0000100F0000}">
      <text>
        <r>
          <rPr>
            <sz val="9"/>
            <color indexed="81"/>
            <rFont val="Tahoma"/>
            <charset val="1"/>
          </rPr>
          <t>Stability=10,Expiration=4/30/2019</t>
        </r>
      </text>
    </comment>
    <comment ref="I25" authorId="0" shapeId="0" xr:uid="{00000000-0006-0000-0200-0000110F0000}">
      <text>
        <r>
          <rPr>
            <sz val="9"/>
            <color indexed="81"/>
            <rFont val="Tahoma"/>
            <charset val="1"/>
          </rPr>
          <t>Stability=11,Expiration=7/18/2018</t>
        </r>
      </text>
    </comment>
    <comment ref="J25" authorId="0" shapeId="0" xr:uid="{00000000-0006-0000-0200-0000120F0000}">
      <text>
        <r>
          <rPr>
            <sz val="9"/>
            <color indexed="81"/>
            <rFont val="Tahoma"/>
            <charset val="1"/>
          </rPr>
          <t>Stability=23,Expiration=3/26/2018</t>
        </r>
      </text>
    </comment>
    <comment ref="K25" authorId="0" shapeId="0" xr:uid="{00000000-0006-0000-0200-0000130F0000}">
      <text>
        <r>
          <rPr>
            <sz val="9"/>
            <color indexed="81"/>
            <rFont val="Tahoma"/>
            <charset val="1"/>
          </rPr>
          <t>Stability=3,Expiration=7/31/2018</t>
        </r>
      </text>
    </comment>
    <comment ref="L25" authorId="0" shapeId="0" xr:uid="{00000000-0006-0000-0200-0000140F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25" authorId="0" shapeId="0" xr:uid="{00000000-0006-0000-0200-0000150F0000}">
      <text>
        <r>
          <rPr>
            <sz val="9"/>
            <color indexed="81"/>
            <rFont val="Tahoma"/>
            <charset val="1"/>
          </rPr>
          <t>Stability=11,Expiration=4/30/2018</t>
        </r>
      </text>
    </comment>
    <comment ref="N25" authorId="0" shapeId="0" xr:uid="{00000000-0006-0000-0200-0000160F0000}">
      <text>
        <r>
          <rPr>
            <sz val="9"/>
            <color indexed="81"/>
            <rFont val="Tahoma"/>
            <charset val="1"/>
          </rPr>
          <t>Stability=11,Expiration=5/31/2018</t>
        </r>
      </text>
    </comment>
    <comment ref="O25" authorId="0" shapeId="0" xr:uid="{00000000-0006-0000-0200-000017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P25" authorId="0" shapeId="0" xr:uid="{00000000-0006-0000-0200-0000180F0000}">
      <text>
        <r>
          <rPr>
            <sz val="9"/>
            <color indexed="81"/>
            <rFont val="Tahoma"/>
            <charset val="1"/>
          </rPr>
          <t>Stability=16,Expiration=5/3/2019</t>
        </r>
      </text>
    </comment>
    <comment ref="Q25" authorId="0" shapeId="0" xr:uid="{00000000-0006-0000-0200-0000190F0000}">
      <text>
        <r>
          <rPr>
            <sz val="9"/>
            <color indexed="81"/>
            <rFont val="Tahoma"/>
            <charset val="1"/>
          </rPr>
          <t>Stability=19,Expiration=2/6/2019</t>
        </r>
      </text>
    </comment>
    <comment ref="R25" authorId="0" shapeId="0" xr:uid="{00000000-0006-0000-0200-00001A0F0000}">
      <text>
        <r>
          <rPr>
            <sz val="9"/>
            <color indexed="81"/>
            <rFont val="Tahoma"/>
            <charset val="1"/>
          </rPr>
          <t>Stability=59,Expiration=5/10/2018</t>
        </r>
      </text>
    </comment>
    <comment ref="S25" authorId="0" shapeId="0" xr:uid="{00000000-0006-0000-0200-00001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5" authorId="0" shapeId="0" xr:uid="{00000000-0006-0000-0200-00001C0F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25" authorId="0" shapeId="0" xr:uid="{00000000-0006-0000-0200-00001D0F0000}">
      <text>
        <r>
          <rPr>
            <sz val="9"/>
            <color indexed="81"/>
            <rFont val="Tahoma"/>
            <charset val="1"/>
          </rPr>
          <t>Stability=11,Expiration=4/20/2018</t>
        </r>
      </text>
    </comment>
    <comment ref="V25" authorId="0" shapeId="0" xr:uid="{00000000-0006-0000-0200-00001E0F0000}">
      <text>
        <r>
          <rPr>
            <sz val="9"/>
            <color indexed="81"/>
            <rFont val="Tahoma"/>
            <charset val="1"/>
          </rPr>
          <t>Stability=8,Expiration=8/17/2018</t>
        </r>
      </text>
    </comment>
    <comment ref="W25" authorId="0" shapeId="0" xr:uid="{00000000-0006-0000-0200-00001F0F0000}">
      <text>
        <r>
          <rPr>
            <sz val="9"/>
            <color indexed="81"/>
            <rFont val="Tahoma"/>
            <charset val="1"/>
          </rPr>
          <t>Stability=14,Expiration=3/31/2019</t>
        </r>
      </text>
    </comment>
    <comment ref="X25" authorId="0" shapeId="0" xr:uid="{00000000-0006-0000-0200-0000200F0000}">
      <text>
        <r>
          <rPr>
            <sz val="9"/>
            <color indexed="81"/>
            <rFont val="Tahoma"/>
            <charset val="1"/>
          </rPr>
          <t>Stability=15,Expiration=6/28/2018</t>
        </r>
      </text>
    </comment>
    <comment ref="Y25" authorId="0" shapeId="0" xr:uid="{00000000-0006-0000-0200-0000210F0000}">
      <text>
        <r>
          <rPr>
            <sz val="9"/>
            <color indexed="81"/>
            <rFont val="Tahoma"/>
            <charset val="1"/>
          </rPr>
          <t>Stability=18,Expiration=3/4/2019</t>
        </r>
      </text>
    </comment>
    <comment ref="Z25" authorId="0" shapeId="0" xr:uid="{00000000-0006-0000-0200-0000220F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AA25" authorId="0" shapeId="0" xr:uid="{00000000-0006-0000-0200-0000230F0000}">
      <text>
        <r>
          <rPr>
            <sz val="9"/>
            <color indexed="81"/>
            <rFont val="Tahoma"/>
            <charset val="1"/>
          </rPr>
          <t>Stability=19,Expiration=3/14/2019</t>
        </r>
      </text>
    </comment>
    <comment ref="AB25" authorId="0" shapeId="0" xr:uid="{00000000-0006-0000-0200-00002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5" authorId="0" shapeId="0" xr:uid="{00000000-0006-0000-0200-00002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5" authorId="0" shapeId="0" xr:uid="{00000000-0006-0000-0200-00002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5" authorId="0" shapeId="0" xr:uid="{00000000-0006-0000-0200-00002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5" authorId="0" shapeId="0" xr:uid="{00000000-0006-0000-0200-00002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5" authorId="0" shapeId="0" xr:uid="{00000000-0006-0000-0200-00002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5" authorId="0" shapeId="0" xr:uid="{00000000-0006-0000-0200-00002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5" authorId="0" shapeId="0" xr:uid="{00000000-0006-0000-0200-00002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5" authorId="0" shapeId="0" xr:uid="{00000000-0006-0000-0200-00002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5" authorId="0" shapeId="0" xr:uid="{00000000-0006-0000-0200-00002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5" authorId="0" shapeId="0" xr:uid="{00000000-0006-0000-0200-00002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5" authorId="0" shapeId="0" xr:uid="{00000000-0006-0000-0200-00002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5" authorId="0" shapeId="0" xr:uid="{00000000-0006-0000-0200-00003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5" authorId="0" shapeId="0" xr:uid="{00000000-0006-0000-0200-00003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5" authorId="0" shapeId="0" xr:uid="{00000000-0006-0000-0200-00003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5" authorId="0" shapeId="0" xr:uid="{00000000-0006-0000-0200-00003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5" authorId="0" shapeId="0" xr:uid="{00000000-0006-0000-0200-00003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5" authorId="0" shapeId="0" xr:uid="{00000000-0006-0000-0200-00003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5" authorId="0" shapeId="0" xr:uid="{00000000-0006-0000-0200-00003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5" authorId="0" shapeId="0" xr:uid="{00000000-0006-0000-0200-00003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5" authorId="0" shapeId="0" xr:uid="{00000000-0006-0000-0200-0000380F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26" authorId="0" shapeId="0" xr:uid="{00000000-0006-0000-0200-0000390F0000}">
      <text>
        <r>
          <rPr>
            <sz val="9"/>
            <color indexed="81"/>
            <rFont val="Tahoma"/>
            <charset val="1"/>
          </rPr>
          <t>Date macro run: 3/12/2018 9:52:59 PM</t>
        </r>
      </text>
    </comment>
    <comment ref="B26" authorId="0" shapeId="0" xr:uid="{00000000-0006-0000-0200-00003A0F0000}">
      <text>
        <r>
          <rPr>
            <sz val="9"/>
            <color indexed="81"/>
            <rFont val="Tahoma"/>
            <charset val="1"/>
          </rPr>
          <t>Stability=9,Expiration=5/9/2019</t>
        </r>
      </text>
    </comment>
    <comment ref="C26" authorId="0" shapeId="0" xr:uid="{00000000-0006-0000-0200-00003B0F0000}">
      <text>
        <r>
          <rPr>
            <sz val="9"/>
            <color indexed="81"/>
            <rFont val="Tahoma"/>
            <charset val="1"/>
          </rPr>
          <t>Stability=6,Expiration=12/9/2018</t>
        </r>
      </text>
    </comment>
    <comment ref="D26" authorId="0" shapeId="0" xr:uid="{00000000-0006-0000-0200-00003C0F0000}">
      <text>
        <r>
          <rPr>
            <sz val="9"/>
            <color indexed="81"/>
            <rFont val="Tahoma"/>
            <charset val="1"/>
          </rPr>
          <t>Stability=11,Expiration=11/23/2018</t>
        </r>
      </text>
    </comment>
    <comment ref="E26" authorId="0" shapeId="0" xr:uid="{00000000-0006-0000-0200-00003D0F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26" authorId="0" shapeId="0" xr:uid="{00000000-0006-0000-0200-00003E0F0000}">
      <text>
        <r>
          <rPr>
            <sz val="9"/>
            <color indexed="81"/>
            <rFont val="Tahoma"/>
            <charset val="1"/>
          </rPr>
          <t>Stability=29,Expiration=12/27/2018</t>
        </r>
      </text>
    </comment>
    <comment ref="G26" authorId="0" shapeId="0" xr:uid="{00000000-0006-0000-0200-00003F0F0000}">
      <text>
        <r>
          <rPr>
            <sz val="9"/>
            <color indexed="81"/>
            <rFont val="Tahoma"/>
            <charset val="1"/>
          </rPr>
          <t>Stability=26,Expiration=10/31/2018</t>
        </r>
      </text>
    </comment>
    <comment ref="H26" authorId="0" shapeId="0" xr:uid="{00000000-0006-0000-0200-0000400F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I26" authorId="0" shapeId="0" xr:uid="{00000000-0006-0000-0200-0000410F0000}">
      <text>
        <r>
          <rPr>
            <sz val="9"/>
            <color indexed="81"/>
            <rFont val="Tahoma"/>
            <charset val="1"/>
          </rPr>
          <t>Stability=26,Expiration=7/18/2018</t>
        </r>
      </text>
    </comment>
    <comment ref="J26" authorId="0" shapeId="0" xr:uid="{00000000-0006-0000-0200-0000420F0000}">
      <text>
        <r>
          <rPr>
            <sz val="9"/>
            <color indexed="81"/>
            <rFont val="Tahoma"/>
            <charset val="1"/>
          </rPr>
          <t>Stability=19,Expiration=3/26/2018</t>
        </r>
      </text>
    </comment>
    <comment ref="K26" authorId="0" shapeId="0" xr:uid="{00000000-0006-0000-0200-0000430F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26" authorId="0" shapeId="0" xr:uid="{00000000-0006-0000-0200-0000440F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26" authorId="0" shapeId="0" xr:uid="{00000000-0006-0000-0200-0000450F0000}">
      <text>
        <r>
          <rPr>
            <sz val="9"/>
            <color indexed="81"/>
            <rFont val="Tahoma"/>
            <charset val="1"/>
          </rPr>
          <t>Stability=7,Expiration=4/30/2018</t>
        </r>
      </text>
    </comment>
    <comment ref="N26" authorId="0" shapeId="0" xr:uid="{00000000-0006-0000-0200-0000460F0000}">
      <text>
        <r>
          <rPr>
            <sz val="9"/>
            <color indexed="81"/>
            <rFont val="Tahoma"/>
            <charset val="1"/>
          </rPr>
          <t>Stability=8,Expiration=11/30/2018</t>
        </r>
      </text>
    </comment>
    <comment ref="O26" authorId="0" shapeId="0" xr:uid="{00000000-0006-0000-0200-000047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26" authorId="0" shapeId="0" xr:uid="{00000000-0006-0000-0200-0000480F0000}">
      <text>
        <r>
          <rPr>
            <sz val="9"/>
            <color indexed="81"/>
            <rFont val="Tahoma"/>
            <charset val="1"/>
          </rPr>
          <t>Stability=13,Expiration=5/3/2019</t>
        </r>
      </text>
    </comment>
    <comment ref="Q26" authorId="0" shapeId="0" xr:uid="{00000000-0006-0000-0200-0000490F0000}">
      <text>
        <r>
          <rPr>
            <sz val="9"/>
            <color indexed="81"/>
            <rFont val="Tahoma"/>
            <charset val="1"/>
          </rPr>
          <t>Stability=16,Expiration=5/31/2019</t>
        </r>
      </text>
    </comment>
    <comment ref="R26" authorId="0" shapeId="0" xr:uid="{00000000-0006-0000-0200-00004A0F0000}">
      <text>
        <r>
          <rPr>
            <sz val="9"/>
            <color indexed="81"/>
            <rFont val="Tahoma"/>
            <charset val="1"/>
          </rPr>
          <t>Stability=56,Expiration=7/14/2018</t>
        </r>
      </text>
    </comment>
    <comment ref="S26" authorId="0" shapeId="0" xr:uid="{00000000-0006-0000-0200-00004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6" authorId="0" shapeId="0" xr:uid="{00000000-0006-0000-0200-00004C0F0000}">
      <text>
        <r>
          <rPr>
            <sz val="9"/>
            <color indexed="81"/>
            <rFont val="Tahoma"/>
            <charset val="1"/>
          </rPr>
          <t>Stability=5,Expiration=8/14/2018</t>
        </r>
      </text>
    </comment>
    <comment ref="U26" authorId="0" shapeId="0" xr:uid="{00000000-0006-0000-0200-00004D0F0000}">
      <text>
        <r>
          <rPr>
            <sz val="9"/>
            <color indexed="81"/>
            <rFont val="Tahoma"/>
            <charset val="1"/>
          </rPr>
          <t>Stability=7,Expiration=4/20/2018</t>
        </r>
      </text>
    </comment>
    <comment ref="V26" authorId="0" shapeId="0" xr:uid="{00000000-0006-0000-0200-00004E0F0000}">
      <text>
        <r>
          <rPr>
            <sz val="9"/>
            <color indexed="81"/>
            <rFont val="Tahoma"/>
            <charset val="1"/>
          </rPr>
          <t>Stability=5,Expiration=8/17/2018</t>
        </r>
      </text>
    </comment>
    <comment ref="W26" authorId="0" shapeId="0" xr:uid="{00000000-0006-0000-0200-00004F0F0000}">
      <text>
        <r>
          <rPr>
            <sz val="9"/>
            <color indexed="81"/>
            <rFont val="Tahoma"/>
            <charset val="1"/>
          </rPr>
          <t>Stability=11,Expiration=3/31/2019</t>
        </r>
      </text>
    </comment>
    <comment ref="X26" authorId="0" shapeId="0" xr:uid="{00000000-0006-0000-0200-0000500F0000}">
      <text>
        <r>
          <rPr>
            <sz val="9"/>
            <color indexed="81"/>
            <rFont val="Tahoma"/>
            <charset val="1"/>
          </rPr>
          <t>Stability=29,Expiration=8/19/2018</t>
        </r>
      </text>
    </comment>
    <comment ref="Y26" authorId="0" shapeId="0" xr:uid="{00000000-0006-0000-0200-0000510F0000}">
      <text>
        <r>
          <rPr>
            <sz val="9"/>
            <color indexed="81"/>
            <rFont val="Tahoma"/>
            <charset val="1"/>
          </rPr>
          <t>Stability=15,Expiration=3/4/2019</t>
        </r>
      </text>
    </comment>
    <comment ref="Z26" authorId="0" shapeId="0" xr:uid="{00000000-0006-0000-0200-0000520F0000}">
      <text>
        <r>
          <rPr>
            <sz val="9"/>
            <color indexed="81"/>
            <rFont val="Tahoma"/>
            <charset val="1"/>
          </rPr>
          <t>Stability=25,Expiration=12/31/2018</t>
        </r>
      </text>
    </comment>
    <comment ref="AA26" authorId="0" shapeId="0" xr:uid="{00000000-0006-0000-0200-0000530F0000}">
      <text>
        <r>
          <rPr>
            <sz val="9"/>
            <color indexed="81"/>
            <rFont val="Tahoma"/>
            <charset val="1"/>
          </rPr>
          <t>Stability=16,Expiration=3/14/2019</t>
        </r>
      </text>
    </comment>
    <comment ref="AB26" authorId="0" shapeId="0" xr:uid="{00000000-0006-0000-0200-00005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6" authorId="0" shapeId="0" xr:uid="{00000000-0006-0000-0200-00005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6" authorId="0" shapeId="0" xr:uid="{00000000-0006-0000-0200-00005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6" authorId="0" shapeId="0" xr:uid="{00000000-0006-0000-0200-00005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6" authorId="0" shapeId="0" xr:uid="{00000000-0006-0000-0200-00005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6" authorId="0" shapeId="0" xr:uid="{00000000-0006-0000-0200-00005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6" authorId="0" shapeId="0" xr:uid="{00000000-0006-0000-0200-00005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6" authorId="0" shapeId="0" xr:uid="{00000000-0006-0000-0200-00005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6" authorId="0" shapeId="0" xr:uid="{00000000-0006-0000-0200-00005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6" authorId="0" shapeId="0" xr:uid="{00000000-0006-0000-0200-00005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6" authorId="0" shapeId="0" xr:uid="{00000000-0006-0000-0200-00005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6" authorId="0" shapeId="0" xr:uid="{00000000-0006-0000-0200-00005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6" authorId="0" shapeId="0" xr:uid="{00000000-0006-0000-0200-00006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6" authorId="0" shapeId="0" xr:uid="{00000000-0006-0000-0200-00006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6" authorId="0" shapeId="0" xr:uid="{00000000-0006-0000-0200-00006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6" authorId="0" shapeId="0" xr:uid="{00000000-0006-0000-0200-00006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6" authorId="0" shapeId="0" xr:uid="{00000000-0006-0000-0200-00006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6" authorId="0" shapeId="0" xr:uid="{00000000-0006-0000-0200-00006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6" authorId="0" shapeId="0" xr:uid="{00000000-0006-0000-0200-00006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6" authorId="0" shapeId="0" xr:uid="{00000000-0006-0000-0200-00006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6" authorId="0" shapeId="0" xr:uid="{00000000-0006-0000-0200-0000680F0000}">
      <text>
        <r>
          <rPr>
            <sz val="9"/>
            <color indexed="81"/>
            <rFont val="Tahoma"/>
            <charset val="1"/>
          </rPr>
          <t>Stability=28,Expiration=9/25/2018</t>
        </r>
      </text>
    </comment>
    <comment ref="A27" authorId="0" shapeId="0" xr:uid="{00000000-0006-0000-0200-0000690F0000}">
      <text>
        <r>
          <rPr>
            <sz val="9"/>
            <color indexed="81"/>
            <rFont val="Tahoma"/>
            <charset val="1"/>
          </rPr>
          <t>Date macro run: 3/14/2018 8:32:27 PM</t>
        </r>
      </text>
    </comment>
    <comment ref="B27" authorId="0" shapeId="0" xr:uid="{00000000-0006-0000-0200-00006A0F0000}">
      <text>
        <r>
          <rPr>
            <sz val="9"/>
            <color indexed="81"/>
            <rFont val="Tahoma"/>
            <charset val="1"/>
          </rPr>
          <t>Stability=8,Expiration=5/9/2019</t>
        </r>
      </text>
    </comment>
    <comment ref="C27" authorId="0" shapeId="0" xr:uid="{00000000-0006-0000-0200-00006B0F0000}">
      <text>
        <r>
          <rPr>
            <sz val="9"/>
            <color indexed="81"/>
            <rFont val="Tahoma"/>
            <charset val="1"/>
          </rPr>
          <t>Stability=4,Expiration=12/9/2018</t>
        </r>
      </text>
    </comment>
    <comment ref="D27" authorId="0" shapeId="0" xr:uid="{00000000-0006-0000-0200-00006C0F0000}">
      <text>
        <r>
          <rPr>
            <sz val="9"/>
            <color indexed="81"/>
            <rFont val="Tahoma"/>
            <charset val="1"/>
          </rPr>
          <t>Stability=9,Expiration=11/23/2018</t>
        </r>
      </text>
    </comment>
    <comment ref="E27" authorId="0" shapeId="0" xr:uid="{00000000-0006-0000-0200-00006D0F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27" authorId="0" shapeId="0" xr:uid="{00000000-0006-0000-0200-00006E0F0000}">
      <text>
        <r>
          <rPr>
            <sz val="9"/>
            <color indexed="81"/>
            <rFont val="Tahoma"/>
            <charset val="1"/>
          </rPr>
          <t>Stability=27,Expiration=12/27/2018</t>
        </r>
      </text>
    </comment>
    <comment ref="G27" authorId="0" shapeId="0" xr:uid="{00000000-0006-0000-0200-00006F0F0000}">
      <text>
        <r>
          <rPr>
            <sz val="9"/>
            <color indexed="81"/>
            <rFont val="Tahoma"/>
            <charset val="1"/>
          </rPr>
          <t>Stability=24,Expiration=10/31/2018</t>
        </r>
      </text>
    </comment>
    <comment ref="H27" authorId="0" shapeId="0" xr:uid="{00000000-0006-0000-0200-0000700F0000}">
      <text>
        <r>
          <rPr>
            <sz val="9"/>
            <color indexed="81"/>
            <rFont val="Tahoma"/>
            <charset val="1"/>
          </rPr>
          <t>Stability=5,Expiration=4/30/2019</t>
        </r>
      </text>
    </comment>
    <comment ref="I27" authorId="0" shapeId="0" xr:uid="{00000000-0006-0000-0200-0000710F0000}">
      <text>
        <r>
          <rPr>
            <sz val="9"/>
            <color indexed="81"/>
            <rFont val="Tahoma"/>
            <charset val="1"/>
          </rPr>
          <t>Stability=24,Expiration=7/18/2018</t>
        </r>
      </text>
    </comment>
    <comment ref="J27" authorId="0" shapeId="0" xr:uid="{00000000-0006-0000-0200-0000720F0000}">
      <text>
        <r>
          <rPr>
            <sz val="9"/>
            <color indexed="81"/>
            <rFont val="Tahoma"/>
            <charset val="1"/>
          </rPr>
          <t>Stability=18,Expiration=3/26/2018</t>
        </r>
      </text>
    </comment>
    <comment ref="K27" authorId="0" shapeId="0" xr:uid="{00000000-0006-0000-0200-0000730F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27" authorId="0" shapeId="0" xr:uid="{00000000-0006-0000-0200-0000740F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27" authorId="0" shapeId="0" xr:uid="{00000000-0006-0000-0200-0000750F0000}">
      <text>
        <r>
          <rPr>
            <sz val="9"/>
            <color indexed="81"/>
            <rFont val="Tahoma"/>
            <charset val="1"/>
          </rPr>
          <t>Stability=6,Expiration=4/30/2018</t>
        </r>
      </text>
    </comment>
    <comment ref="N27" authorId="0" shapeId="0" xr:uid="{00000000-0006-0000-0200-0000760F0000}">
      <text>
        <r>
          <rPr>
            <sz val="9"/>
            <color indexed="81"/>
            <rFont val="Tahoma"/>
            <charset val="1"/>
          </rPr>
          <t>Stability=29,Expiration=11/30/2018</t>
        </r>
      </text>
    </comment>
    <comment ref="O27" authorId="0" shapeId="0" xr:uid="{00000000-0006-0000-0200-000077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27" authorId="0" shapeId="0" xr:uid="{00000000-0006-0000-0200-0000780F0000}">
      <text>
        <r>
          <rPr>
            <sz val="9"/>
            <color indexed="81"/>
            <rFont val="Tahoma"/>
            <charset val="1"/>
          </rPr>
          <t>Stability=11,Expiration=5/3/2019</t>
        </r>
      </text>
    </comment>
    <comment ref="Q27" authorId="0" shapeId="0" xr:uid="{00000000-0006-0000-0200-0000790F0000}">
      <text>
        <r>
          <rPr>
            <sz val="9"/>
            <color indexed="81"/>
            <rFont val="Tahoma"/>
            <charset val="1"/>
          </rPr>
          <t>Stability=14,Expiration=5/31/2019</t>
        </r>
      </text>
    </comment>
    <comment ref="R27" authorId="0" shapeId="0" xr:uid="{00000000-0006-0000-0200-00007A0F0000}">
      <text>
        <r>
          <rPr>
            <sz val="9"/>
            <color indexed="81"/>
            <rFont val="Tahoma"/>
            <charset val="1"/>
          </rPr>
          <t>Stability=54,Expiration=7/14/2018</t>
        </r>
      </text>
    </comment>
    <comment ref="S27" authorId="0" shapeId="0" xr:uid="{00000000-0006-0000-0200-00007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7" authorId="0" shapeId="0" xr:uid="{00000000-0006-0000-0200-00007C0F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27" authorId="0" shapeId="0" xr:uid="{00000000-0006-0000-0200-00007D0F0000}">
      <text>
        <r>
          <rPr>
            <sz val="9"/>
            <color indexed="81"/>
            <rFont val="Tahoma"/>
            <charset val="1"/>
          </rPr>
          <t>Stability=6,Expiration=4/20/2018</t>
        </r>
      </text>
    </comment>
    <comment ref="V27" authorId="0" shapeId="0" xr:uid="{00000000-0006-0000-0200-00007E0F0000}">
      <text>
        <r>
          <rPr>
            <sz val="9"/>
            <color indexed="81"/>
            <rFont val="Tahoma"/>
            <charset val="1"/>
          </rPr>
          <t>Stability=3,Expiration=8/17/2018</t>
        </r>
      </text>
    </comment>
    <comment ref="W27" authorId="0" shapeId="0" xr:uid="{00000000-0006-0000-0200-00007F0F0000}">
      <text>
        <r>
          <rPr>
            <sz val="9"/>
            <color indexed="81"/>
            <rFont val="Tahoma"/>
            <charset val="1"/>
          </rPr>
          <t>Stability=9,Expiration=3/31/2019</t>
        </r>
      </text>
    </comment>
    <comment ref="X27" authorId="0" shapeId="0" xr:uid="{00000000-0006-0000-0200-0000800F0000}">
      <text>
        <r>
          <rPr>
            <sz val="9"/>
            <color indexed="81"/>
            <rFont val="Tahoma"/>
            <charset val="1"/>
          </rPr>
          <t>Stability=27,Expiration=8/19/2018</t>
        </r>
      </text>
    </comment>
    <comment ref="Y27" authorId="0" shapeId="0" xr:uid="{00000000-0006-0000-0200-0000810F0000}">
      <text>
        <r>
          <rPr>
            <sz val="9"/>
            <color indexed="81"/>
            <rFont val="Tahoma"/>
            <charset val="1"/>
          </rPr>
          <t>Stability=13,Expiration=3/4/2019</t>
        </r>
      </text>
    </comment>
    <comment ref="Z27" authorId="0" shapeId="0" xr:uid="{00000000-0006-0000-0200-0000820F0000}">
      <text>
        <r>
          <rPr>
            <sz val="9"/>
            <color indexed="81"/>
            <rFont val="Tahoma"/>
            <charset val="1"/>
          </rPr>
          <t>Stability=23,Expiration=12/31/2018</t>
        </r>
      </text>
    </comment>
    <comment ref="AA27" authorId="0" shapeId="0" xr:uid="{00000000-0006-0000-0200-0000830F0000}">
      <text>
        <r>
          <rPr>
            <sz val="9"/>
            <color indexed="81"/>
            <rFont val="Tahoma"/>
            <charset val="1"/>
          </rPr>
          <t>Stability=14,Expiration=3/14/2019</t>
        </r>
      </text>
    </comment>
    <comment ref="AB27" authorId="0" shapeId="0" xr:uid="{00000000-0006-0000-0200-00008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7" authorId="0" shapeId="0" xr:uid="{00000000-0006-0000-0200-00008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7" authorId="0" shapeId="0" xr:uid="{00000000-0006-0000-0200-00008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7" authorId="0" shapeId="0" xr:uid="{00000000-0006-0000-0200-00008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7" authorId="0" shapeId="0" xr:uid="{00000000-0006-0000-0200-00008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7" authorId="0" shapeId="0" xr:uid="{00000000-0006-0000-0200-00008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7" authorId="0" shapeId="0" xr:uid="{00000000-0006-0000-0200-00008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7" authorId="0" shapeId="0" xr:uid="{00000000-0006-0000-0200-00008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7" authorId="0" shapeId="0" xr:uid="{00000000-0006-0000-0200-00008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7" authorId="0" shapeId="0" xr:uid="{00000000-0006-0000-0200-00008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7" authorId="0" shapeId="0" xr:uid="{00000000-0006-0000-0200-00008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7" authorId="0" shapeId="0" xr:uid="{00000000-0006-0000-0200-00008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7" authorId="0" shapeId="0" xr:uid="{00000000-0006-0000-0200-00009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7" authorId="0" shapeId="0" xr:uid="{00000000-0006-0000-0200-00009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7" authorId="0" shapeId="0" xr:uid="{00000000-0006-0000-0200-00009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7" authorId="0" shapeId="0" xr:uid="{00000000-0006-0000-0200-00009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7" authorId="0" shapeId="0" xr:uid="{00000000-0006-0000-0200-00009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7" authorId="0" shapeId="0" xr:uid="{00000000-0006-0000-0200-00009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7" authorId="0" shapeId="0" xr:uid="{00000000-0006-0000-0200-00009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7" authorId="0" shapeId="0" xr:uid="{00000000-0006-0000-0200-00009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7" authorId="0" shapeId="0" xr:uid="{00000000-0006-0000-0200-0000980F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28" authorId="0" shapeId="0" xr:uid="{00000000-0006-0000-0200-0000990F0000}">
      <text>
        <r>
          <rPr>
            <sz val="9"/>
            <color indexed="81"/>
            <rFont val="Tahoma"/>
            <charset val="1"/>
          </rPr>
          <t>Date macro run: 3/16/2018 5:58:47 PM</t>
        </r>
      </text>
    </comment>
    <comment ref="B28" authorId="0" shapeId="0" xr:uid="{00000000-0006-0000-0200-00009A0F0000}">
      <text>
        <r>
          <rPr>
            <sz val="9"/>
            <color indexed="81"/>
            <rFont val="Tahoma"/>
            <charset val="1"/>
          </rPr>
          <t>Stability=6,Expiration=5/9/2019</t>
        </r>
      </text>
    </comment>
    <comment ref="C28" authorId="0" shapeId="0" xr:uid="{00000000-0006-0000-0200-00009B0F0000}">
      <text>
        <r>
          <rPr>
            <sz val="9"/>
            <color indexed="81"/>
            <rFont val="Tahoma"/>
            <charset val="1"/>
          </rPr>
          <t>Stability=2,Expiration=12/9/2018</t>
        </r>
      </text>
    </comment>
    <comment ref="D28" authorId="0" shapeId="0" xr:uid="{00000000-0006-0000-0200-00009C0F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28" authorId="0" shapeId="0" xr:uid="{00000000-0006-0000-0200-00009D0F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28" authorId="0" shapeId="0" xr:uid="{00000000-0006-0000-0200-00009E0F0000}">
      <text>
        <r>
          <rPr>
            <sz val="9"/>
            <color indexed="81"/>
            <rFont val="Tahoma"/>
            <charset val="1"/>
          </rPr>
          <t>Stability=25,Expiration=12/27/2018</t>
        </r>
      </text>
    </comment>
    <comment ref="G28" authorId="0" shapeId="0" xr:uid="{00000000-0006-0000-0200-00009F0F0000}">
      <text>
        <r>
          <rPr>
            <sz val="9"/>
            <color indexed="81"/>
            <rFont val="Tahoma"/>
            <charset val="1"/>
          </rPr>
          <t>Stability=22,Expiration=10/31/2018</t>
        </r>
      </text>
    </comment>
    <comment ref="H28" authorId="0" shapeId="0" xr:uid="{00000000-0006-0000-0200-0000A00F0000}">
      <text>
        <r>
          <rPr>
            <sz val="9"/>
            <color indexed="81"/>
            <rFont val="Tahoma"/>
            <charset val="1"/>
          </rPr>
          <t>Stability=4,Expiration=4/30/2019</t>
        </r>
      </text>
    </comment>
    <comment ref="I28" authorId="0" shapeId="0" xr:uid="{00000000-0006-0000-0200-0000A10F0000}">
      <text>
        <r>
          <rPr>
            <sz val="9"/>
            <color indexed="81"/>
            <rFont val="Tahoma"/>
            <charset val="1"/>
          </rPr>
          <t>Stability=23,Expiration=7/18/2018</t>
        </r>
      </text>
    </comment>
    <comment ref="J28" authorId="0" shapeId="0" xr:uid="{00000000-0006-0000-0200-0000A20F0000}">
      <text>
        <r>
          <rPr>
            <sz val="9"/>
            <color indexed="81"/>
            <rFont val="Tahoma"/>
            <charset val="1"/>
          </rPr>
          <t>Stability=16,Expiration=3/26/2018</t>
        </r>
      </text>
    </comment>
    <comment ref="K28" authorId="0" shapeId="0" xr:uid="{00000000-0006-0000-0200-0000A30F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28" authorId="0" shapeId="0" xr:uid="{00000000-0006-0000-0200-0000A40F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28" authorId="0" shapeId="0" xr:uid="{00000000-0006-0000-0200-0000A50F0000}">
      <text>
        <r>
          <rPr>
            <sz val="9"/>
            <color indexed="81"/>
            <rFont val="Tahoma"/>
            <charset val="1"/>
          </rPr>
          <t>Stability=60,Expiration=4/30/2018</t>
        </r>
      </text>
    </comment>
    <comment ref="N28" authorId="0" shapeId="0" xr:uid="{00000000-0006-0000-0200-0000A60F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O28" authorId="0" shapeId="0" xr:uid="{00000000-0006-0000-0200-0000A7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28" authorId="0" shapeId="0" xr:uid="{00000000-0006-0000-0200-0000A80F0000}">
      <text>
        <r>
          <rPr>
            <sz val="9"/>
            <color indexed="81"/>
            <rFont val="Tahoma"/>
            <charset val="1"/>
          </rPr>
          <t>Stability=10,Expiration=5/3/2019</t>
        </r>
      </text>
    </comment>
    <comment ref="Q28" authorId="0" shapeId="0" xr:uid="{00000000-0006-0000-0200-0000A90F0000}">
      <text>
        <r>
          <rPr>
            <sz val="9"/>
            <color indexed="81"/>
            <rFont val="Tahoma"/>
            <charset val="1"/>
          </rPr>
          <t>Stability=13,Expiration=5/31/2019</t>
        </r>
      </text>
    </comment>
    <comment ref="R28" authorId="0" shapeId="0" xr:uid="{00000000-0006-0000-0200-0000AA0F0000}">
      <text>
        <r>
          <rPr>
            <sz val="9"/>
            <color indexed="81"/>
            <rFont val="Tahoma"/>
            <charset val="1"/>
          </rPr>
          <t>Stability=52,Expiration=7/14/2018</t>
        </r>
      </text>
    </comment>
    <comment ref="S28" authorId="0" shapeId="0" xr:uid="{00000000-0006-0000-0200-0000A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8" authorId="0" shapeId="0" xr:uid="{00000000-0006-0000-0200-0000AC0F0000}">
      <text>
        <r>
          <rPr>
            <sz val="9"/>
            <color indexed="81"/>
            <rFont val="Tahoma"/>
            <charset val="1"/>
          </rPr>
          <t>Stability=2,Expiration=8/14/2018</t>
        </r>
      </text>
    </comment>
    <comment ref="U28" authorId="0" shapeId="0" xr:uid="{00000000-0006-0000-0200-0000AD0F0000}">
      <text>
        <r>
          <rPr>
            <sz val="9"/>
            <color indexed="81"/>
            <rFont val="Tahoma"/>
            <charset val="1"/>
          </rPr>
          <t>Stability=4,Expiration=4/20/2018</t>
        </r>
      </text>
    </comment>
    <comment ref="V28" authorId="0" shapeId="0" xr:uid="{00000000-0006-0000-0200-0000AE0F0000}">
      <text>
        <r>
          <rPr>
            <sz val="9"/>
            <color indexed="81"/>
            <rFont val="Tahoma"/>
            <charset val="1"/>
          </rPr>
          <t>Stability=2,Expiration=8/17/2018</t>
        </r>
      </text>
    </comment>
    <comment ref="W28" authorId="0" shapeId="0" xr:uid="{00000000-0006-0000-0200-0000AF0F0000}">
      <text>
        <r>
          <rPr>
            <sz val="9"/>
            <color indexed="81"/>
            <rFont val="Tahoma"/>
            <charset val="1"/>
          </rPr>
          <t>Stability=9,Expiration=3/31/2019</t>
        </r>
      </text>
    </comment>
    <comment ref="X28" authorId="0" shapeId="0" xr:uid="{00000000-0006-0000-0200-0000B00F0000}">
      <text>
        <r>
          <rPr>
            <sz val="9"/>
            <color indexed="81"/>
            <rFont val="Tahoma"/>
            <charset val="1"/>
          </rPr>
          <t>Stability=26,Expiration=8/19/2018</t>
        </r>
      </text>
    </comment>
    <comment ref="Y28" authorId="0" shapeId="0" xr:uid="{00000000-0006-0000-0200-0000B10F0000}">
      <text>
        <r>
          <rPr>
            <sz val="9"/>
            <color indexed="81"/>
            <rFont val="Tahoma"/>
            <charset val="1"/>
          </rPr>
          <t>Stability=11,Expiration=3/4/2019</t>
        </r>
      </text>
    </comment>
    <comment ref="Z28" authorId="0" shapeId="0" xr:uid="{00000000-0006-0000-0200-0000B20F0000}">
      <text>
        <r>
          <rPr>
            <sz val="9"/>
            <color indexed="81"/>
            <rFont val="Tahoma"/>
            <charset val="1"/>
          </rPr>
          <t>Stability=21,Expiration=12/31/2018</t>
        </r>
      </text>
    </comment>
    <comment ref="AA28" authorId="0" shapeId="0" xr:uid="{00000000-0006-0000-0200-0000B30F0000}">
      <text>
        <r>
          <rPr>
            <sz val="9"/>
            <color indexed="81"/>
            <rFont val="Tahoma"/>
            <charset val="1"/>
          </rPr>
          <t>Stability=12,Expiration=3/14/2019</t>
        </r>
      </text>
    </comment>
    <comment ref="AB28" authorId="0" shapeId="0" xr:uid="{00000000-0006-0000-0200-0000B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8" authorId="0" shapeId="0" xr:uid="{00000000-0006-0000-0200-0000B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8" authorId="0" shapeId="0" xr:uid="{00000000-0006-0000-0200-0000B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8" authorId="0" shapeId="0" xr:uid="{00000000-0006-0000-0200-0000B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8" authorId="0" shapeId="0" xr:uid="{00000000-0006-0000-0200-0000B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8" authorId="0" shapeId="0" xr:uid="{00000000-0006-0000-0200-0000B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8" authorId="0" shapeId="0" xr:uid="{00000000-0006-0000-0200-0000B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8" authorId="0" shapeId="0" xr:uid="{00000000-0006-0000-0200-0000B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8" authorId="0" shapeId="0" xr:uid="{00000000-0006-0000-0200-0000B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8" authorId="0" shapeId="0" xr:uid="{00000000-0006-0000-0200-0000B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8" authorId="0" shapeId="0" xr:uid="{00000000-0006-0000-0200-0000B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8" authorId="0" shapeId="0" xr:uid="{00000000-0006-0000-0200-0000B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8" authorId="0" shapeId="0" xr:uid="{00000000-0006-0000-0200-0000C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8" authorId="0" shapeId="0" xr:uid="{00000000-0006-0000-0200-0000C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8" authorId="0" shapeId="0" xr:uid="{00000000-0006-0000-0200-0000C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8" authorId="0" shapeId="0" xr:uid="{00000000-0006-0000-0200-0000C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8" authorId="0" shapeId="0" xr:uid="{00000000-0006-0000-0200-0000C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8" authorId="0" shapeId="0" xr:uid="{00000000-0006-0000-0200-0000C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8" authorId="0" shapeId="0" xr:uid="{00000000-0006-0000-0200-0000C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8" authorId="0" shapeId="0" xr:uid="{00000000-0006-0000-0200-0000C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8" authorId="0" shapeId="0" xr:uid="{00000000-0006-0000-0200-0000C80F0000}">
      <text>
        <r>
          <rPr>
            <sz val="9"/>
            <color indexed="81"/>
            <rFont val="Tahoma"/>
            <charset val="1"/>
          </rPr>
          <t>Stability=25,Expiration=9/25/2018</t>
        </r>
      </text>
    </comment>
    <comment ref="A29" authorId="0" shapeId="0" xr:uid="{00000000-0006-0000-0200-0000C90F0000}">
      <text>
        <r>
          <rPr>
            <sz val="9"/>
            <color indexed="81"/>
            <rFont val="Tahoma"/>
            <charset val="1"/>
          </rPr>
          <t>Date macro run: 3/19/2018 8:47:59 PM</t>
        </r>
      </text>
    </comment>
    <comment ref="B29" authorId="0" shapeId="0" xr:uid="{00000000-0006-0000-0200-0000CA0F0000}">
      <text>
        <r>
          <rPr>
            <sz val="9"/>
            <color indexed="81"/>
            <rFont val="Tahoma"/>
            <charset val="1"/>
          </rPr>
          <t>Stability=3,Expiration=5/9/2019</t>
        </r>
      </text>
    </comment>
    <comment ref="C29" authorId="0" shapeId="0" xr:uid="{00000000-0006-0000-0200-0000CB0F0000}">
      <text>
        <r>
          <rPr>
            <sz val="9"/>
            <color indexed="81"/>
            <rFont val="Tahoma"/>
            <charset val="1"/>
          </rPr>
          <t>Stability=6,Expiration=12/9/2018</t>
        </r>
      </text>
    </comment>
    <comment ref="D29" authorId="0" shapeId="0" xr:uid="{00000000-0006-0000-0200-0000CC0F0000}">
      <text>
        <r>
          <rPr>
            <sz val="9"/>
            <color indexed="81"/>
            <rFont val="Tahoma"/>
            <charset val="1"/>
          </rPr>
          <t>Stability=4,Expiration=11/23/2018</t>
        </r>
      </text>
    </comment>
    <comment ref="E29" authorId="0" shapeId="0" xr:uid="{00000000-0006-0000-0200-0000CD0F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29" authorId="0" shapeId="0" xr:uid="{00000000-0006-0000-0200-0000CE0F0000}">
      <text>
        <r>
          <rPr>
            <sz val="9"/>
            <color indexed="81"/>
            <rFont val="Tahoma"/>
            <charset val="1"/>
          </rPr>
          <t>Stability=22,Expiration=12/27/2018</t>
        </r>
      </text>
    </comment>
    <comment ref="G29" authorId="0" shapeId="0" xr:uid="{00000000-0006-0000-0200-0000CF0F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H29" authorId="0" shapeId="0" xr:uid="{00000000-0006-0000-0200-0000D00F0000}">
      <text>
        <r>
          <rPr>
            <sz val="9"/>
            <color indexed="81"/>
            <rFont val="Tahoma"/>
            <charset val="1"/>
          </rPr>
          <t>Stability=1,Expiration=4/30/2019</t>
        </r>
      </text>
    </comment>
    <comment ref="I29" authorId="0" shapeId="0" xr:uid="{00000000-0006-0000-0200-0000D10F0000}">
      <text>
        <r>
          <rPr>
            <sz val="9"/>
            <color indexed="81"/>
            <rFont val="Tahoma"/>
            <charset val="1"/>
          </rPr>
          <t>Stability=19,Expiration=7/18/2018</t>
        </r>
      </text>
    </comment>
    <comment ref="J29" authorId="0" shapeId="0" xr:uid="{00000000-0006-0000-0200-0000D20F0000}">
      <text>
        <r>
          <rPr>
            <sz val="9"/>
            <color indexed="81"/>
            <rFont val="Tahoma"/>
            <charset val="1"/>
          </rPr>
          <t>Stability=13,Expiration=3/26/2018</t>
        </r>
      </text>
    </comment>
    <comment ref="K29" authorId="0" shapeId="0" xr:uid="{00000000-0006-0000-0200-0000D30F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29" authorId="0" shapeId="0" xr:uid="{00000000-0006-0000-0200-0000D40F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29" authorId="0" shapeId="0" xr:uid="{00000000-0006-0000-0200-0000D50F0000}">
      <text>
        <r>
          <rPr>
            <sz val="9"/>
            <color indexed="81"/>
            <rFont val="Tahoma"/>
            <charset val="1"/>
          </rPr>
          <t>Stability=57,Expiration=4/30/2018</t>
        </r>
      </text>
    </comment>
    <comment ref="N29" authorId="0" shapeId="0" xr:uid="{00000000-0006-0000-0200-0000D60F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29" authorId="0" shapeId="0" xr:uid="{00000000-0006-0000-0200-0000D7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29" authorId="0" shapeId="0" xr:uid="{00000000-0006-0000-0200-0000D80F0000}">
      <text>
        <r>
          <rPr>
            <sz val="9"/>
            <color indexed="81"/>
            <rFont val="Tahoma"/>
            <charset val="1"/>
          </rPr>
          <t>Stability=6,Expiration=5/3/2019</t>
        </r>
      </text>
    </comment>
    <comment ref="Q29" authorId="0" shapeId="0" xr:uid="{00000000-0006-0000-0200-0000D90F0000}">
      <text>
        <r>
          <rPr>
            <sz val="9"/>
            <color indexed="81"/>
            <rFont val="Tahoma"/>
            <charset val="1"/>
          </rPr>
          <t>Stability=9,Expiration=5/31/2019</t>
        </r>
      </text>
    </comment>
    <comment ref="R29" authorId="0" shapeId="0" xr:uid="{00000000-0006-0000-0200-0000DA0F0000}">
      <text>
        <r>
          <rPr>
            <sz val="9"/>
            <color indexed="81"/>
            <rFont val="Tahoma"/>
            <charset val="1"/>
          </rPr>
          <t>Stability=49,Expiration=7/14/2018</t>
        </r>
      </text>
    </comment>
    <comment ref="S29" authorId="0" shapeId="0" xr:uid="{00000000-0006-0000-0200-0000D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9" authorId="0" shapeId="0" xr:uid="{00000000-0006-0000-0200-0000DC0F0000}">
      <text>
        <r>
          <rPr>
            <sz val="9"/>
            <color indexed="81"/>
            <rFont val="Tahoma"/>
            <charset val="1"/>
          </rPr>
          <t>Stability=21,Expiration=8/14/2018</t>
        </r>
      </text>
    </comment>
    <comment ref="U29" authorId="0" shapeId="0" xr:uid="{00000000-0006-0000-0200-0000DD0F0000}">
      <text>
        <r>
          <rPr>
            <sz val="9"/>
            <color indexed="81"/>
            <rFont val="Tahoma"/>
            <charset val="1"/>
          </rPr>
          <t>Stability=24,Expiration=4/20/2018</t>
        </r>
      </text>
    </comment>
    <comment ref="V29" authorId="0" shapeId="0" xr:uid="{00000000-0006-0000-0200-0000DE0F0000}">
      <text>
        <r>
          <rPr>
            <sz val="9"/>
            <color indexed="81"/>
            <rFont val="Tahoma"/>
            <charset val="1"/>
          </rPr>
          <t>Stability=28,Expiration=8/17/2018</t>
        </r>
      </text>
    </comment>
    <comment ref="W29" authorId="0" shapeId="0" xr:uid="{00000000-0006-0000-0200-0000DF0F0000}">
      <text>
        <r>
          <rPr>
            <sz val="9"/>
            <color indexed="81"/>
            <rFont val="Tahoma"/>
            <charset val="1"/>
          </rPr>
          <t>Stability=9,Expiration=3/31/2019</t>
        </r>
      </text>
    </comment>
    <comment ref="X29" authorId="0" shapeId="0" xr:uid="{00000000-0006-0000-0200-0000E00F0000}">
      <text>
        <r>
          <rPr>
            <sz val="9"/>
            <color indexed="81"/>
            <rFont val="Tahoma"/>
            <charset val="1"/>
          </rPr>
          <t>Stability=22,Expiration=8/19/2018</t>
        </r>
      </text>
    </comment>
    <comment ref="Y29" authorId="0" shapeId="0" xr:uid="{00000000-0006-0000-0200-0000E10F0000}">
      <text>
        <r>
          <rPr>
            <sz val="9"/>
            <color indexed="81"/>
            <rFont val="Tahoma"/>
            <charset val="1"/>
          </rPr>
          <t>Stability=8,Expiration=3/4/2019</t>
        </r>
      </text>
    </comment>
    <comment ref="Z29" authorId="0" shapeId="0" xr:uid="{00000000-0006-0000-0200-0000E20F0000}">
      <text>
        <r>
          <rPr>
            <sz val="9"/>
            <color indexed="81"/>
            <rFont val="Tahoma"/>
            <charset val="1"/>
          </rPr>
          <t>Stability=18,Expiration=12/31/2018</t>
        </r>
      </text>
    </comment>
    <comment ref="AA29" authorId="0" shapeId="0" xr:uid="{00000000-0006-0000-0200-0000E30F0000}">
      <text>
        <r>
          <rPr>
            <sz val="9"/>
            <color indexed="81"/>
            <rFont val="Tahoma"/>
            <charset val="1"/>
          </rPr>
          <t>Stability=9,Expiration=3/14/2019</t>
        </r>
      </text>
    </comment>
    <comment ref="AB29" authorId="0" shapeId="0" xr:uid="{00000000-0006-0000-0200-0000E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9" authorId="0" shapeId="0" xr:uid="{00000000-0006-0000-0200-0000E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9" authorId="0" shapeId="0" xr:uid="{00000000-0006-0000-0200-0000E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9" authorId="0" shapeId="0" xr:uid="{00000000-0006-0000-0200-0000E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9" authorId="0" shapeId="0" xr:uid="{00000000-0006-0000-0200-0000E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9" authorId="0" shapeId="0" xr:uid="{00000000-0006-0000-0200-0000E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9" authorId="0" shapeId="0" xr:uid="{00000000-0006-0000-0200-0000E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9" authorId="0" shapeId="0" xr:uid="{00000000-0006-0000-0200-0000E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9" authorId="0" shapeId="0" xr:uid="{00000000-0006-0000-0200-0000E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9" authorId="0" shapeId="0" xr:uid="{00000000-0006-0000-0200-0000E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9" authorId="0" shapeId="0" xr:uid="{00000000-0006-0000-0200-0000E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9" authorId="0" shapeId="0" xr:uid="{00000000-0006-0000-0200-0000E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9" authorId="0" shapeId="0" xr:uid="{00000000-0006-0000-0200-0000F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9" authorId="0" shapeId="0" xr:uid="{00000000-0006-0000-0200-0000F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9" authorId="0" shapeId="0" xr:uid="{00000000-0006-0000-0200-0000F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9" authorId="0" shapeId="0" xr:uid="{00000000-0006-0000-0200-0000F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9" authorId="0" shapeId="0" xr:uid="{00000000-0006-0000-0200-0000F40F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9" authorId="0" shapeId="0" xr:uid="{00000000-0006-0000-0200-0000F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9" authorId="0" shapeId="0" xr:uid="{00000000-0006-0000-0200-0000F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9" authorId="0" shapeId="0" xr:uid="{00000000-0006-0000-0200-0000F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9" authorId="0" shapeId="0" xr:uid="{00000000-0006-0000-0200-0000F80F0000}">
      <text>
        <r>
          <rPr>
            <sz val="9"/>
            <color indexed="81"/>
            <rFont val="Tahoma"/>
            <charset val="1"/>
          </rPr>
          <t>Stability=21,Expiration=9/25/2018</t>
        </r>
      </text>
    </comment>
    <comment ref="A30" authorId="0" shapeId="0" xr:uid="{00000000-0006-0000-0200-0000F90F0000}">
      <text>
        <r>
          <rPr>
            <sz val="9"/>
            <color indexed="81"/>
            <rFont val="Tahoma"/>
            <charset val="1"/>
          </rPr>
          <t>Date macro run: 3/21/2018 9:17:46 PM</t>
        </r>
      </text>
    </comment>
    <comment ref="B30" authorId="0" shapeId="0" xr:uid="{00000000-0006-0000-0200-0000FA0F0000}">
      <text>
        <r>
          <rPr>
            <sz val="9"/>
            <color indexed="81"/>
            <rFont val="Tahoma"/>
            <charset val="1"/>
          </rPr>
          <t>Stability=41,Expiration=5/9/2019</t>
        </r>
      </text>
    </comment>
    <comment ref="C30" authorId="0" shapeId="0" xr:uid="{00000000-0006-0000-0200-0000FB0F0000}">
      <text>
        <r>
          <rPr>
            <sz val="9"/>
            <color indexed="81"/>
            <rFont val="Tahoma"/>
            <charset val="1"/>
          </rPr>
          <t>Stability=3,Expiration=12/9/2018</t>
        </r>
      </text>
    </comment>
    <comment ref="D30" authorId="0" shapeId="0" xr:uid="{00000000-0006-0000-0200-0000FC0F0000}">
      <text>
        <r>
          <rPr>
            <sz val="9"/>
            <color indexed="81"/>
            <rFont val="Tahoma"/>
            <charset val="1"/>
          </rPr>
          <t>Stability=2,Expiration=11/23/2018</t>
        </r>
      </text>
    </comment>
    <comment ref="E30" authorId="0" shapeId="0" xr:uid="{00000000-0006-0000-0200-0000FD0F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30" authorId="0" shapeId="0" xr:uid="{00000000-0006-0000-0200-0000FE0F0000}">
      <text>
        <r>
          <rPr>
            <sz val="9"/>
            <color indexed="81"/>
            <rFont val="Tahoma"/>
            <charset val="1"/>
          </rPr>
          <t>Stability=20,Expiration=12/27/2018</t>
        </r>
      </text>
    </comment>
    <comment ref="G30" authorId="0" shapeId="0" xr:uid="{00000000-0006-0000-0200-0000FF0F0000}">
      <text>
        <r>
          <rPr>
            <sz val="9"/>
            <color indexed="81"/>
            <rFont val="Tahoma"/>
            <charset val="1"/>
          </rPr>
          <t>Stability=17,Expiration=10/31/2018</t>
        </r>
      </text>
    </comment>
    <comment ref="H30" authorId="0" shapeId="0" xr:uid="{00000000-0006-0000-0200-000000100000}">
      <text>
        <r>
          <rPr>
            <sz val="9"/>
            <color indexed="81"/>
            <rFont val="Tahoma"/>
            <charset val="1"/>
          </rPr>
          <t>Stability=19,Expiration=4/30/2019</t>
        </r>
      </text>
    </comment>
    <comment ref="I30" authorId="0" shapeId="0" xr:uid="{00000000-0006-0000-0200-000001100000}">
      <text>
        <r>
          <rPr>
            <sz val="9"/>
            <color indexed="81"/>
            <rFont val="Tahoma"/>
            <charset val="1"/>
          </rPr>
          <t>Stability=17,Expiration=7/18/2018</t>
        </r>
      </text>
    </comment>
    <comment ref="J30" authorId="0" shapeId="0" xr:uid="{00000000-0006-0000-0200-000002100000}">
      <text>
        <r>
          <rPr>
            <sz val="9"/>
            <color indexed="81"/>
            <rFont val="Tahoma"/>
            <charset val="1"/>
          </rPr>
          <t>Stability=10,Expiration=3/26/2018</t>
        </r>
      </text>
    </comment>
    <comment ref="K30" authorId="0" shapeId="0" xr:uid="{00000000-0006-0000-0200-000003100000}">
      <text>
        <r>
          <rPr>
            <sz val="9"/>
            <color indexed="81"/>
            <rFont val="Tahoma"/>
            <charset val="1"/>
          </rPr>
          <t>Stability=4,Expiration=7/31/2018</t>
        </r>
      </text>
    </comment>
    <comment ref="L30" authorId="0" shapeId="0" xr:uid="{00000000-0006-0000-0200-000004100000}">
      <text>
        <r>
          <rPr>
            <sz val="9"/>
            <color indexed="81"/>
            <rFont val="Tahoma"/>
            <charset val="1"/>
          </rPr>
          <t>Stability=2,Expiration=4/10/2019</t>
        </r>
      </text>
    </comment>
    <comment ref="M30" authorId="0" shapeId="0" xr:uid="{00000000-0006-0000-0200-000005100000}">
      <text>
        <r>
          <rPr>
            <sz val="9"/>
            <color indexed="81"/>
            <rFont val="Tahoma"/>
            <charset val="1"/>
          </rPr>
          <t>Stability=54,Expiration=4/30/2018</t>
        </r>
      </text>
    </comment>
    <comment ref="N30" authorId="0" shapeId="0" xr:uid="{00000000-0006-0000-0200-00000610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30" authorId="0" shapeId="0" xr:uid="{00000000-0006-0000-0200-00000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0" authorId="0" shapeId="0" xr:uid="{00000000-0006-0000-0200-000008100000}">
      <text>
        <r>
          <rPr>
            <sz val="9"/>
            <color indexed="81"/>
            <rFont val="Tahoma"/>
            <charset val="1"/>
          </rPr>
          <t>Stability=4,Expiration=5/3/2019</t>
        </r>
      </text>
    </comment>
    <comment ref="Q30" authorId="0" shapeId="0" xr:uid="{00000000-0006-0000-0200-000009100000}">
      <text>
        <r>
          <rPr>
            <sz val="9"/>
            <color indexed="81"/>
            <rFont val="Tahoma"/>
            <charset val="1"/>
          </rPr>
          <t>Stability=7,Expiration=5/31/2019</t>
        </r>
      </text>
    </comment>
    <comment ref="R30" authorId="0" shapeId="0" xr:uid="{00000000-0006-0000-0200-00000A100000}">
      <text>
        <r>
          <rPr>
            <sz val="9"/>
            <color indexed="81"/>
            <rFont val="Tahoma"/>
            <charset val="1"/>
          </rPr>
          <t>Stability=47,Expiration=7/14/2018</t>
        </r>
      </text>
    </comment>
    <comment ref="S30" authorId="0" shapeId="0" xr:uid="{00000000-0006-0000-0200-00000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0" authorId="0" shapeId="0" xr:uid="{00000000-0006-0000-0200-00000C100000}">
      <text>
        <r>
          <rPr>
            <sz val="9"/>
            <color indexed="81"/>
            <rFont val="Tahoma"/>
            <charset val="1"/>
          </rPr>
          <t>Stability=18,Expiration=8/14/2018</t>
        </r>
      </text>
    </comment>
    <comment ref="U30" authorId="0" shapeId="0" xr:uid="{00000000-0006-0000-0200-00000D100000}">
      <text>
        <r>
          <rPr>
            <sz val="9"/>
            <color indexed="81"/>
            <rFont val="Tahoma"/>
            <charset val="1"/>
          </rPr>
          <t>Stability=22,Expiration=4/20/2018</t>
        </r>
      </text>
    </comment>
    <comment ref="V30" authorId="0" shapeId="0" xr:uid="{00000000-0006-0000-0200-00000E100000}">
      <text>
        <r>
          <rPr>
            <sz val="9"/>
            <color indexed="81"/>
            <rFont val="Tahoma"/>
            <charset val="1"/>
          </rPr>
          <t>Stability=25,Expiration=8/17/2018</t>
        </r>
      </text>
    </comment>
    <comment ref="W30" authorId="0" shapeId="0" xr:uid="{00000000-0006-0000-0200-00000F100000}">
      <text>
        <r>
          <rPr>
            <sz val="9"/>
            <color indexed="81"/>
            <rFont val="Tahoma"/>
            <charset val="1"/>
          </rPr>
          <t>Stability=0,Expiration=3/31/2019</t>
        </r>
      </text>
    </comment>
    <comment ref="X30" authorId="0" shapeId="0" xr:uid="{00000000-0006-0000-0200-000010100000}">
      <text>
        <r>
          <rPr>
            <sz val="9"/>
            <color indexed="81"/>
            <rFont val="Tahoma"/>
            <charset val="1"/>
          </rPr>
          <t>Stability=20,Expiration=8/19/2018</t>
        </r>
      </text>
    </comment>
    <comment ref="Y30" authorId="0" shapeId="0" xr:uid="{00000000-0006-0000-0200-000011100000}">
      <text>
        <r>
          <rPr>
            <sz val="9"/>
            <color indexed="81"/>
            <rFont val="Tahoma"/>
            <charset val="1"/>
          </rPr>
          <t>Stability=29,Expiration=4/30/2019</t>
        </r>
      </text>
    </comment>
    <comment ref="Z30" authorId="0" shapeId="0" xr:uid="{00000000-0006-0000-0200-000012100000}">
      <text>
        <r>
          <rPr>
            <sz val="9"/>
            <color indexed="81"/>
            <rFont val="Tahoma"/>
            <charset val="1"/>
          </rPr>
          <t>Stability=16,Expiration=12/31/2018</t>
        </r>
      </text>
    </comment>
    <comment ref="AA30" authorId="0" shapeId="0" xr:uid="{00000000-0006-0000-0200-000013100000}">
      <text>
        <r>
          <rPr>
            <sz val="9"/>
            <color indexed="81"/>
            <rFont val="Tahoma"/>
            <charset val="1"/>
          </rPr>
          <t>Stability=29,Expiration=3/14/2019</t>
        </r>
      </text>
    </comment>
    <comment ref="AB30" authorId="0" shapeId="0" xr:uid="{00000000-0006-0000-0200-00001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0" authorId="0" shapeId="0" xr:uid="{00000000-0006-0000-0200-00001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0" authorId="0" shapeId="0" xr:uid="{00000000-0006-0000-0200-00001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0" authorId="0" shapeId="0" xr:uid="{00000000-0006-0000-0200-00001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0" authorId="0" shapeId="0" xr:uid="{00000000-0006-0000-0200-00001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0" authorId="0" shapeId="0" xr:uid="{00000000-0006-0000-0200-00001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0" authorId="0" shapeId="0" xr:uid="{00000000-0006-0000-0200-00001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0" authorId="0" shapeId="0" xr:uid="{00000000-0006-0000-0200-00001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0" authorId="0" shapeId="0" xr:uid="{00000000-0006-0000-0200-00001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0" authorId="0" shapeId="0" xr:uid="{00000000-0006-0000-0200-00001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0" authorId="0" shapeId="0" xr:uid="{00000000-0006-0000-0200-00001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0" authorId="0" shapeId="0" xr:uid="{00000000-0006-0000-0200-00001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0" authorId="0" shapeId="0" xr:uid="{00000000-0006-0000-0200-00002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0" authorId="0" shapeId="0" xr:uid="{00000000-0006-0000-0200-00002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0" authorId="0" shapeId="0" xr:uid="{00000000-0006-0000-0200-00002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0" authorId="0" shapeId="0" xr:uid="{00000000-0006-0000-0200-00002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0" authorId="0" shapeId="0" xr:uid="{00000000-0006-0000-0200-00002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0" authorId="0" shapeId="0" xr:uid="{00000000-0006-0000-0200-00002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0" authorId="0" shapeId="0" xr:uid="{00000000-0006-0000-0200-00002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0" authorId="0" shapeId="0" xr:uid="{00000000-0006-0000-0200-00002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0" authorId="0" shapeId="0" xr:uid="{00000000-0006-0000-0200-000028100000}">
      <text>
        <r>
          <rPr>
            <sz val="9"/>
            <color indexed="81"/>
            <rFont val="Tahoma"/>
            <charset val="1"/>
          </rPr>
          <t>Stability=19,Expiration=9/25/2018</t>
        </r>
      </text>
    </comment>
    <comment ref="A31" authorId="0" shapeId="0" xr:uid="{00000000-0006-0000-0200-000029100000}">
      <text>
        <r>
          <rPr>
            <sz val="9"/>
            <color indexed="81"/>
            <rFont val="Tahoma"/>
            <charset val="1"/>
          </rPr>
          <t>Date macro run: 3/23/2018 8:56:32 PM</t>
        </r>
      </text>
    </comment>
    <comment ref="B31" authorId="0" shapeId="0" xr:uid="{00000000-0006-0000-0200-00002A10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31" authorId="0" shapeId="0" xr:uid="{00000000-0006-0000-0200-00002B100000}">
      <text>
        <r>
          <rPr>
            <sz val="9"/>
            <color indexed="81"/>
            <rFont val="Tahoma"/>
            <charset val="1"/>
          </rPr>
          <t>Stability=2,Expiration=12/9/2018</t>
        </r>
      </text>
    </comment>
    <comment ref="D31" authorId="0" shapeId="0" xr:uid="{00000000-0006-0000-0200-00002C100000}">
      <text>
        <r>
          <rPr>
            <sz val="9"/>
            <color indexed="81"/>
            <rFont val="Tahoma"/>
            <charset val="1"/>
          </rPr>
          <t>Stability=26,Expiration=11/23/2018</t>
        </r>
      </text>
    </comment>
    <comment ref="E31" authorId="0" shapeId="0" xr:uid="{00000000-0006-0000-0200-00002D10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31" authorId="0" shapeId="0" xr:uid="{00000000-0006-0000-0200-00002E100000}">
      <text>
        <r>
          <rPr>
            <sz val="9"/>
            <color indexed="81"/>
            <rFont val="Tahoma"/>
            <charset val="1"/>
          </rPr>
          <t>Stability=18,Expiration=12/27/2018</t>
        </r>
      </text>
    </comment>
    <comment ref="G31" authorId="0" shapeId="0" xr:uid="{00000000-0006-0000-0200-00002F10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H31" authorId="0" shapeId="0" xr:uid="{00000000-0006-0000-0200-000030100000}">
      <text>
        <r>
          <rPr>
            <sz val="9"/>
            <color indexed="81"/>
            <rFont val="Tahoma"/>
            <charset val="1"/>
          </rPr>
          <t>Stability=17,Expiration=4/30/2019</t>
        </r>
      </text>
    </comment>
    <comment ref="I31" authorId="0" shapeId="0" xr:uid="{00000000-0006-0000-0200-000031100000}">
      <text>
        <r>
          <rPr>
            <sz val="9"/>
            <color indexed="81"/>
            <rFont val="Tahoma"/>
            <charset val="1"/>
          </rPr>
          <t>Stability=15,Expiration=7/18/2018</t>
        </r>
      </text>
    </comment>
    <comment ref="J31" authorId="0" shapeId="0" xr:uid="{00000000-0006-0000-0200-000032100000}">
      <text>
        <r>
          <rPr>
            <sz val="9"/>
            <color indexed="81"/>
            <rFont val="Tahoma"/>
            <charset val="1"/>
          </rPr>
          <t>Stability=30,Expiration=3/26/2018</t>
        </r>
      </text>
    </comment>
    <comment ref="K31" authorId="0" shapeId="0" xr:uid="{00000000-0006-0000-0200-000033100000}">
      <text>
        <r>
          <rPr>
            <sz val="9"/>
            <color indexed="81"/>
            <rFont val="Tahoma"/>
            <charset val="1"/>
          </rPr>
          <t>Stability=2,Expiration=7/31/2018</t>
        </r>
      </text>
    </comment>
    <comment ref="L31" authorId="0" shapeId="0" xr:uid="{00000000-0006-0000-0200-00003410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31" authorId="0" shapeId="0" xr:uid="{00000000-0006-0000-0200-000035100000}">
      <text>
        <r>
          <rPr>
            <sz val="9"/>
            <color indexed="81"/>
            <rFont val="Tahoma"/>
            <charset val="1"/>
          </rPr>
          <t>Stability=53,Expiration=4/30/2018</t>
        </r>
      </text>
    </comment>
    <comment ref="N31" authorId="0" shapeId="0" xr:uid="{00000000-0006-0000-0200-000036100000}">
      <text>
        <r>
          <rPr>
            <sz val="9"/>
            <color indexed="81"/>
            <rFont val="Tahoma"/>
            <charset val="1"/>
          </rPr>
          <t>Stability=20,Expiration=11/30/2018</t>
        </r>
      </text>
    </comment>
    <comment ref="O31" authorId="0" shapeId="0" xr:uid="{00000000-0006-0000-0200-00003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1" authorId="0" shapeId="0" xr:uid="{00000000-0006-0000-0200-000038100000}">
      <text>
        <r>
          <rPr>
            <sz val="9"/>
            <color indexed="81"/>
            <rFont val="Tahoma"/>
            <charset val="1"/>
          </rPr>
          <t>Stability=20,Expiration=5/3/2019</t>
        </r>
      </text>
    </comment>
    <comment ref="Q31" authorId="0" shapeId="0" xr:uid="{00000000-0006-0000-0200-000039100000}">
      <text>
        <r>
          <rPr>
            <sz val="9"/>
            <color indexed="81"/>
            <rFont val="Tahoma"/>
            <charset val="1"/>
          </rPr>
          <t>Stability=30,Expiration=5/31/2019</t>
        </r>
      </text>
    </comment>
    <comment ref="R31" authorId="0" shapeId="0" xr:uid="{00000000-0006-0000-0200-00003A100000}">
      <text>
        <r>
          <rPr>
            <sz val="9"/>
            <color indexed="81"/>
            <rFont val="Tahoma"/>
            <charset val="1"/>
          </rPr>
          <t>Stability=45,Expiration=7/14/2018</t>
        </r>
      </text>
    </comment>
    <comment ref="S31" authorId="0" shapeId="0" xr:uid="{00000000-0006-0000-0200-00003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1" authorId="0" shapeId="0" xr:uid="{00000000-0006-0000-0200-00003C100000}">
      <text>
        <r>
          <rPr>
            <sz val="9"/>
            <color indexed="81"/>
            <rFont val="Tahoma"/>
            <charset val="1"/>
          </rPr>
          <t>Stability=17,Expiration=8/14/2018</t>
        </r>
      </text>
    </comment>
    <comment ref="U31" authorId="0" shapeId="0" xr:uid="{00000000-0006-0000-0200-00003D100000}">
      <text>
        <r>
          <rPr>
            <sz val="9"/>
            <color indexed="81"/>
            <rFont val="Tahoma"/>
            <charset val="1"/>
          </rPr>
          <t>Stability=20,Expiration=4/20/2018</t>
        </r>
      </text>
    </comment>
    <comment ref="V31" authorId="0" shapeId="0" xr:uid="{00000000-0006-0000-0200-00003E100000}">
      <text>
        <r>
          <rPr>
            <sz val="9"/>
            <color indexed="81"/>
            <rFont val="Tahoma"/>
            <charset val="1"/>
          </rPr>
          <t>Stability=24,Expiration=8/17/2018</t>
        </r>
      </text>
    </comment>
    <comment ref="W31" authorId="0" shapeId="0" xr:uid="{00000000-0006-0000-0200-00003F100000}">
      <text>
        <r>
          <rPr>
            <sz val="9"/>
            <color indexed="81"/>
            <rFont val="Tahoma"/>
            <charset val="1"/>
          </rPr>
          <t>Stability=30,Expiration=6/30/2019</t>
        </r>
      </text>
    </comment>
    <comment ref="X31" authorId="0" shapeId="0" xr:uid="{00000000-0006-0000-0200-000040100000}">
      <text>
        <r>
          <rPr>
            <sz val="9"/>
            <color indexed="81"/>
            <rFont val="Tahoma"/>
            <charset val="1"/>
          </rPr>
          <t>Stability=18,Expiration=8/19/2018</t>
        </r>
      </text>
    </comment>
    <comment ref="Y31" authorId="0" shapeId="0" xr:uid="{00000000-0006-0000-0200-000041100000}">
      <text>
        <r>
          <rPr>
            <sz val="9"/>
            <color indexed="81"/>
            <rFont val="Tahoma"/>
            <charset val="1"/>
          </rPr>
          <t>Stability=27,Expiration=4/30/2019</t>
        </r>
      </text>
    </comment>
    <comment ref="Z31" authorId="0" shapeId="0" xr:uid="{00000000-0006-0000-0200-00004210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AA31" authorId="0" shapeId="0" xr:uid="{00000000-0006-0000-0200-000043100000}">
      <text>
        <r>
          <rPr>
            <sz val="9"/>
            <color indexed="81"/>
            <rFont val="Tahoma"/>
            <charset val="1"/>
          </rPr>
          <t>Stability=27,Expiration=3/14/2019</t>
        </r>
      </text>
    </comment>
    <comment ref="AB31" authorId="0" shapeId="0" xr:uid="{00000000-0006-0000-0200-00004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1" authorId="0" shapeId="0" xr:uid="{00000000-0006-0000-0200-00004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1" authorId="0" shapeId="0" xr:uid="{00000000-0006-0000-0200-00004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1" authorId="0" shapeId="0" xr:uid="{00000000-0006-0000-0200-00004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1" authorId="0" shapeId="0" xr:uid="{00000000-0006-0000-0200-00004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1" authorId="0" shapeId="0" xr:uid="{00000000-0006-0000-0200-00004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1" authorId="0" shapeId="0" xr:uid="{00000000-0006-0000-0200-00004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1" authorId="0" shapeId="0" xr:uid="{00000000-0006-0000-0200-00004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1" authorId="0" shapeId="0" xr:uid="{00000000-0006-0000-0200-00004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1" authorId="0" shapeId="0" xr:uid="{00000000-0006-0000-0200-00004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1" authorId="0" shapeId="0" xr:uid="{00000000-0006-0000-0200-00004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1" authorId="0" shapeId="0" xr:uid="{00000000-0006-0000-0200-00004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1" authorId="0" shapeId="0" xr:uid="{00000000-0006-0000-0200-00005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1" authorId="0" shapeId="0" xr:uid="{00000000-0006-0000-0200-00005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1" authorId="0" shapeId="0" xr:uid="{00000000-0006-0000-0200-00005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1" authorId="0" shapeId="0" xr:uid="{00000000-0006-0000-0200-00005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1" authorId="0" shapeId="0" xr:uid="{00000000-0006-0000-0200-00005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1" authorId="0" shapeId="0" xr:uid="{00000000-0006-0000-0200-00005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1" authorId="0" shapeId="0" xr:uid="{00000000-0006-0000-0200-00005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1" authorId="0" shapeId="0" xr:uid="{00000000-0006-0000-0200-00005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1" authorId="0" shapeId="0" xr:uid="{00000000-0006-0000-0200-000058100000}">
      <text>
        <r>
          <rPr>
            <sz val="9"/>
            <color indexed="81"/>
            <rFont val="Tahoma"/>
            <charset val="1"/>
          </rPr>
          <t>Stability=17,Expiration=9/25/2018</t>
        </r>
      </text>
    </comment>
    <comment ref="A32" authorId="0" shapeId="0" xr:uid="{00000000-0006-0000-0200-000059100000}">
      <text>
        <r>
          <rPr>
            <sz val="9"/>
            <color indexed="81"/>
            <rFont val="Tahoma"/>
            <charset val="1"/>
          </rPr>
          <t>Date macro run: 3/26/2018 9:10:00 PM</t>
        </r>
      </text>
    </comment>
    <comment ref="B32" authorId="0" shapeId="0" xr:uid="{00000000-0006-0000-0200-00005A100000}">
      <text>
        <r>
          <rPr>
            <sz val="9"/>
            <color indexed="81"/>
            <rFont val="Tahoma"/>
            <charset val="1"/>
          </rPr>
          <t>Stability=36,Expiration=5/9/2019</t>
        </r>
      </text>
    </comment>
    <comment ref="C32" authorId="0" shapeId="0" xr:uid="{00000000-0006-0000-0200-00005B100000}">
      <text>
        <r>
          <rPr>
            <sz val="9"/>
            <color indexed="81"/>
            <rFont val="Tahoma"/>
            <charset val="1"/>
          </rPr>
          <t>Stability=6,Expiration=12/9/2018</t>
        </r>
      </text>
    </comment>
    <comment ref="D32" authorId="0" shapeId="0" xr:uid="{00000000-0006-0000-0200-00005C100000}">
      <text>
        <r>
          <rPr>
            <sz val="9"/>
            <color indexed="81"/>
            <rFont val="Tahoma"/>
            <charset val="1"/>
          </rPr>
          <t>Stability=22,Expiration=11/23/2018</t>
        </r>
      </text>
    </comment>
    <comment ref="E32" authorId="0" shapeId="0" xr:uid="{00000000-0006-0000-0200-00005D10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32" authorId="0" shapeId="0" xr:uid="{00000000-0006-0000-0200-00005E100000}">
      <text>
        <r>
          <rPr>
            <sz val="9"/>
            <color indexed="81"/>
            <rFont val="Tahoma"/>
            <charset val="1"/>
          </rPr>
          <t>Stability=15,Expiration=12/27/2018</t>
        </r>
      </text>
    </comment>
    <comment ref="G32" authorId="0" shapeId="0" xr:uid="{00000000-0006-0000-0200-00005F10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32" authorId="0" shapeId="0" xr:uid="{00000000-0006-0000-0200-00006010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I32" authorId="0" shapeId="0" xr:uid="{00000000-0006-0000-0200-000061100000}">
      <text>
        <r>
          <rPr>
            <sz val="9"/>
            <color indexed="81"/>
            <rFont val="Tahoma"/>
            <charset val="1"/>
          </rPr>
          <t>Stability=14,Expiration=7/18/2018</t>
        </r>
      </text>
    </comment>
    <comment ref="J32" authorId="0" shapeId="0" xr:uid="{00000000-0006-0000-0200-000062100000}">
      <text>
        <r>
          <rPr>
            <sz val="9"/>
            <color indexed="81"/>
            <rFont val="Tahoma"/>
            <charset val="1"/>
          </rPr>
          <t>Stability=27,Expiration=3/26/2018</t>
        </r>
      </text>
    </comment>
    <comment ref="K32" authorId="0" shapeId="0" xr:uid="{00000000-0006-0000-0200-00006310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32" authorId="0" shapeId="0" xr:uid="{00000000-0006-0000-0200-000064100000}">
      <text>
        <r>
          <rPr>
            <sz val="9"/>
            <color indexed="81"/>
            <rFont val="Tahoma"/>
            <charset val="1"/>
          </rPr>
          <t>Stability=2,Expiration=4/10/2019</t>
        </r>
      </text>
    </comment>
    <comment ref="M32" authorId="0" shapeId="0" xr:uid="{00000000-0006-0000-0200-000065100000}">
      <text>
        <r>
          <rPr>
            <sz val="9"/>
            <color indexed="81"/>
            <rFont val="Tahoma"/>
            <charset val="1"/>
          </rPr>
          <t>Stability=49,Expiration=4/30/2018</t>
        </r>
      </text>
    </comment>
    <comment ref="N32" authorId="0" shapeId="0" xr:uid="{00000000-0006-0000-0200-00006610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32" authorId="0" shapeId="0" xr:uid="{00000000-0006-0000-0200-00006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2" authorId="0" shapeId="0" xr:uid="{00000000-0006-0000-0200-000068100000}">
      <text>
        <r>
          <rPr>
            <sz val="9"/>
            <color indexed="81"/>
            <rFont val="Tahoma"/>
            <charset val="1"/>
          </rPr>
          <t>Stability=16,Expiration=5/3/2019</t>
        </r>
      </text>
    </comment>
    <comment ref="Q32" authorId="0" shapeId="0" xr:uid="{00000000-0006-0000-0200-000069100000}">
      <text>
        <r>
          <rPr>
            <sz val="9"/>
            <color indexed="81"/>
            <rFont val="Tahoma"/>
            <charset val="1"/>
          </rPr>
          <t>Stability=27,Expiration=5/31/2019</t>
        </r>
      </text>
    </comment>
    <comment ref="R32" authorId="0" shapeId="0" xr:uid="{00000000-0006-0000-0200-00006A100000}">
      <text>
        <r>
          <rPr>
            <sz val="9"/>
            <color indexed="81"/>
            <rFont val="Tahoma"/>
            <charset val="1"/>
          </rPr>
          <t>Stability=42,Expiration=7/14/2018</t>
        </r>
      </text>
    </comment>
    <comment ref="S32" authorId="0" shapeId="0" xr:uid="{00000000-0006-0000-0200-00006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2" authorId="0" shapeId="0" xr:uid="{00000000-0006-0000-0200-00006C100000}">
      <text>
        <r>
          <rPr>
            <sz val="9"/>
            <color indexed="81"/>
            <rFont val="Tahoma"/>
            <charset val="1"/>
          </rPr>
          <t>Stability=13,Expiration=8/14/2018</t>
        </r>
      </text>
    </comment>
    <comment ref="U32" authorId="0" shapeId="0" xr:uid="{00000000-0006-0000-0200-00006D100000}">
      <text>
        <r>
          <rPr>
            <sz val="9"/>
            <color indexed="81"/>
            <rFont val="Tahoma"/>
            <charset val="1"/>
          </rPr>
          <t>Stability=17,Expiration=4/20/2018</t>
        </r>
      </text>
    </comment>
    <comment ref="V32" authorId="0" shapeId="0" xr:uid="{00000000-0006-0000-0200-00006E100000}">
      <text>
        <r>
          <rPr>
            <sz val="9"/>
            <color indexed="81"/>
            <rFont val="Tahoma"/>
            <charset val="1"/>
          </rPr>
          <t>Stability=30,Expiration=8/17/2018</t>
        </r>
      </text>
    </comment>
    <comment ref="W32" authorId="0" shapeId="0" xr:uid="{00000000-0006-0000-0200-00006F100000}">
      <text>
        <r>
          <rPr>
            <sz val="9"/>
            <color indexed="81"/>
            <rFont val="Tahoma"/>
            <charset val="1"/>
          </rPr>
          <t>Stability=27,Expiration=6/30/2019</t>
        </r>
      </text>
    </comment>
    <comment ref="X32" authorId="0" shapeId="0" xr:uid="{00000000-0006-0000-0200-000070100000}">
      <text>
        <r>
          <rPr>
            <sz val="9"/>
            <color indexed="81"/>
            <rFont val="Tahoma"/>
            <charset val="1"/>
          </rPr>
          <t>Stability=15,Expiration=8/19/2018</t>
        </r>
      </text>
    </comment>
    <comment ref="Y32" authorId="0" shapeId="0" xr:uid="{00000000-0006-0000-0200-000071100000}">
      <text>
        <r>
          <rPr>
            <sz val="9"/>
            <color indexed="81"/>
            <rFont val="Tahoma"/>
            <charset val="1"/>
          </rPr>
          <t>Stability=24,Expiration=4/30/2019</t>
        </r>
      </text>
    </comment>
    <comment ref="Z32" authorId="0" shapeId="0" xr:uid="{00000000-0006-0000-0200-000072100000}">
      <text>
        <r>
          <rPr>
            <sz val="9"/>
            <color indexed="81"/>
            <rFont val="Tahoma"/>
            <charset val="1"/>
          </rPr>
          <t>Stability=30,Expiration=12/31/2018</t>
        </r>
      </text>
    </comment>
    <comment ref="AA32" authorId="0" shapeId="0" xr:uid="{00000000-0006-0000-0200-000073100000}">
      <text>
        <r>
          <rPr>
            <sz val="9"/>
            <color indexed="81"/>
            <rFont val="Tahoma"/>
            <charset val="1"/>
          </rPr>
          <t>Stability=24,Expiration=3/14/2019</t>
        </r>
      </text>
    </comment>
    <comment ref="AB32" authorId="0" shapeId="0" xr:uid="{00000000-0006-0000-0200-00007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2" authorId="0" shapeId="0" xr:uid="{00000000-0006-0000-0200-00007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2" authorId="0" shapeId="0" xr:uid="{00000000-0006-0000-0200-00007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2" authorId="0" shapeId="0" xr:uid="{00000000-0006-0000-0200-00007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2" authorId="0" shapeId="0" xr:uid="{00000000-0006-0000-0200-00007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2" authorId="0" shapeId="0" xr:uid="{00000000-0006-0000-0200-00007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2" authorId="0" shapeId="0" xr:uid="{00000000-0006-0000-0200-00007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2" authorId="0" shapeId="0" xr:uid="{00000000-0006-0000-0200-00007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2" authorId="0" shapeId="0" xr:uid="{00000000-0006-0000-0200-00007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2" authorId="0" shapeId="0" xr:uid="{00000000-0006-0000-0200-00007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2" authorId="0" shapeId="0" xr:uid="{00000000-0006-0000-0200-00007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2" authorId="0" shapeId="0" xr:uid="{00000000-0006-0000-0200-00007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2" authorId="0" shapeId="0" xr:uid="{00000000-0006-0000-0200-00008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2" authorId="0" shapeId="0" xr:uid="{00000000-0006-0000-0200-00008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2" authorId="0" shapeId="0" xr:uid="{00000000-0006-0000-0200-00008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2" authorId="0" shapeId="0" xr:uid="{00000000-0006-0000-0200-00008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2" authorId="0" shapeId="0" xr:uid="{00000000-0006-0000-0200-00008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2" authorId="0" shapeId="0" xr:uid="{00000000-0006-0000-0200-00008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2" authorId="0" shapeId="0" xr:uid="{00000000-0006-0000-0200-00008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2" authorId="0" shapeId="0" xr:uid="{00000000-0006-0000-0200-00008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2" authorId="0" shapeId="0" xr:uid="{00000000-0006-0000-0200-00008810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33" authorId="0" shapeId="0" xr:uid="{00000000-0006-0000-0200-000089100000}">
      <text>
        <r>
          <rPr>
            <sz val="9"/>
            <color indexed="81"/>
            <rFont val="Tahoma"/>
            <charset val="1"/>
          </rPr>
          <t>Date macro run: 3/28/2018 9:19:05 PM</t>
        </r>
      </text>
    </comment>
    <comment ref="B33" authorId="0" shapeId="0" xr:uid="{00000000-0006-0000-0200-00008A100000}">
      <text>
        <r>
          <rPr>
            <sz val="9"/>
            <color indexed="81"/>
            <rFont val="Tahoma"/>
            <charset val="1"/>
          </rPr>
          <t>Stability=34,Expiration=5/9/2019</t>
        </r>
      </text>
    </comment>
    <comment ref="C33" authorId="0" shapeId="0" xr:uid="{00000000-0006-0000-0200-00008B100000}">
      <text>
        <r>
          <rPr>
            <sz val="9"/>
            <color indexed="81"/>
            <rFont val="Tahoma"/>
            <charset val="1"/>
          </rPr>
          <t>Stability=4,Expiration=12/9/2018</t>
        </r>
      </text>
    </comment>
    <comment ref="D33" authorId="0" shapeId="0" xr:uid="{00000000-0006-0000-0200-00008C10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33" authorId="0" shapeId="0" xr:uid="{00000000-0006-0000-0200-00008D10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33" authorId="0" shapeId="0" xr:uid="{00000000-0006-0000-0200-00008E100000}">
      <text>
        <r>
          <rPr>
            <sz val="9"/>
            <color indexed="81"/>
            <rFont val="Tahoma"/>
            <charset val="1"/>
          </rPr>
          <t>Stability=13,Expiration=12/27/2018</t>
        </r>
      </text>
    </comment>
    <comment ref="G33" authorId="0" shapeId="0" xr:uid="{00000000-0006-0000-0200-00008F100000}">
      <text>
        <r>
          <rPr>
            <sz val="9"/>
            <color indexed="81"/>
            <rFont val="Tahoma"/>
            <charset val="1"/>
          </rPr>
          <t>Stability=10,Expiration=10/31/2018</t>
        </r>
      </text>
    </comment>
    <comment ref="H33" authorId="0" shapeId="0" xr:uid="{00000000-0006-0000-0200-00009010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I33" authorId="0" shapeId="0" xr:uid="{00000000-0006-0000-0200-000091100000}">
      <text>
        <r>
          <rPr>
            <sz val="9"/>
            <color indexed="81"/>
            <rFont val="Tahoma"/>
            <charset val="1"/>
          </rPr>
          <t>Stability=12,Expiration=7/18/2018</t>
        </r>
      </text>
    </comment>
    <comment ref="J33" authorId="0" shapeId="0" xr:uid="{00000000-0006-0000-0200-000092100000}">
      <text>
        <r>
          <rPr>
            <sz val="9"/>
            <color indexed="81"/>
            <rFont val="Tahoma"/>
            <charset val="1"/>
          </rPr>
          <t>Stability=25,Expiration=7/3/2018</t>
        </r>
      </text>
    </comment>
    <comment ref="K33" authorId="0" shapeId="0" xr:uid="{00000000-0006-0000-0200-00009310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33" authorId="0" shapeId="0" xr:uid="{00000000-0006-0000-0200-00009410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33" authorId="0" shapeId="0" xr:uid="{00000000-0006-0000-0200-000095100000}">
      <text>
        <r>
          <rPr>
            <sz val="9"/>
            <color indexed="81"/>
            <rFont val="Tahoma"/>
            <charset val="1"/>
          </rPr>
          <t>Stability=47,Expiration=4/30/2018</t>
        </r>
      </text>
    </comment>
    <comment ref="N33" authorId="0" shapeId="0" xr:uid="{00000000-0006-0000-0200-000096100000}">
      <text>
        <r>
          <rPr>
            <sz val="9"/>
            <color indexed="81"/>
            <rFont val="Tahoma"/>
            <charset val="1"/>
          </rPr>
          <t>Stability=15,Expiration=11/30/2018</t>
        </r>
      </text>
    </comment>
    <comment ref="O33" authorId="0" shapeId="0" xr:uid="{00000000-0006-0000-0200-00009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3" authorId="0" shapeId="0" xr:uid="{00000000-0006-0000-0200-000098100000}">
      <text>
        <r>
          <rPr>
            <sz val="9"/>
            <color indexed="81"/>
            <rFont val="Tahoma"/>
            <charset val="1"/>
          </rPr>
          <t>Stability=14,Expiration=5/3/2019</t>
        </r>
      </text>
    </comment>
    <comment ref="Q33" authorId="0" shapeId="0" xr:uid="{00000000-0006-0000-0200-000099100000}">
      <text>
        <r>
          <rPr>
            <sz val="9"/>
            <color indexed="81"/>
            <rFont val="Tahoma"/>
            <charset val="1"/>
          </rPr>
          <t>Stability=25,Expiration=5/31/2019</t>
        </r>
      </text>
    </comment>
    <comment ref="R33" authorId="0" shapeId="0" xr:uid="{00000000-0006-0000-0200-00009A100000}">
      <text>
        <r>
          <rPr>
            <sz val="9"/>
            <color indexed="81"/>
            <rFont val="Tahoma"/>
            <charset val="1"/>
          </rPr>
          <t>Stability=40,Expiration=7/14/2018</t>
        </r>
      </text>
    </comment>
    <comment ref="S33" authorId="0" shapeId="0" xr:uid="{00000000-0006-0000-0200-00009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3" authorId="0" shapeId="0" xr:uid="{00000000-0006-0000-0200-00009C10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33" authorId="0" shapeId="0" xr:uid="{00000000-0006-0000-0200-00009D100000}">
      <text>
        <r>
          <rPr>
            <sz val="9"/>
            <color indexed="81"/>
            <rFont val="Tahoma"/>
            <charset val="1"/>
          </rPr>
          <t>Stability=15,Expiration=4/20/2018</t>
        </r>
      </text>
    </comment>
    <comment ref="V33" authorId="0" shapeId="0" xr:uid="{00000000-0006-0000-0200-00009E100000}">
      <text>
        <r>
          <rPr>
            <sz val="9"/>
            <color indexed="81"/>
            <rFont val="Tahoma"/>
            <charset val="1"/>
          </rPr>
          <t>Stability=28,Expiration=10/30/2018</t>
        </r>
      </text>
    </comment>
    <comment ref="W33" authorId="0" shapeId="0" xr:uid="{00000000-0006-0000-0200-00009F100000}">
      <text>
        <r>
          <rPr>
            <sz val="9"/>
            <color indexed="81"/>
            <rFont val="Tahoma"/>
            <charset val="1"/>
          </rPr>
          <t>Stability=25,Expiration=6/30/2019</t>
        </r>
      </text>
    </comment>
    <comment ref="X33" authorId="0" shapeId="0" xr:uid="{00000000-0006-0000-0200-0000A0100000}">
      <text>
        <r>
          <rPr>
            <sz val="9"/>
            <color indexed="81"/>
            <rFont val="Tahoma"/>
            <charset val="1"/>
          </rPr>
          <t>Stability=13,Expiration=8/19/2018</t>
        </r>
      </text>
    </comment>
    <comment ref="Y33" authorId="0" shapeId="0" xr:uid="{00000000-0006-0000-0200-0000A1100000}">
      <text>
        <r>
          <rPr>
            <sz val="9"/>
            <color indexed="81"/>
            <rFont val="Tahoma"/>
            <charset val="1"/>
          </rPr>
          <t>Stability=22,Expiration=4/30/2019</t>
        </r>
      </text>
    </comment>
    <comment ref="Z33" authorId="0" shapeId="0" xr:uid="{00000000-0006-0000-0200-0000A2100000}">
      <text>
        <r>
          <rPr>
            <sz val="9"/>
            <color indexed="81"/>
            <rFont val="Tahoma"/>
            <charset val="1"/>
          </rPr>
          <t>Stability=28,Expiration=12/31/2018</t>
        </r>
      </text>
    </comment>
    <comment ref="AA33" authorId="0" shapeId="0" xr:uid="{00000000-0006-0000-0200-0000A3100000}">
      <text>
        <r>
          <rPr>
            <sz val="9"/>
            <color indexed="81"/>
            <rFont val="Tahoma"/>
            <charset val="1"/>
          </rPr>
          <t>Stability=22,Expiration=3/14/2019</t>
        </r>
      </text>
    </comment>
    <comment ref="AB33" authorId="0" shapeId="0" xr:uid="{00000000-0006-0000-0200-0000A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3" authorId="0" shapeId="0" xr:uid="{00000000-0006-0000-0200-0000A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3" authorId="0" shapeId="0" xr:uid="{00000000-0006-0000-0200-0000A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3" authorId="0" shapeId="0" xr:uid="{00000000-0006-0000-0200-0000A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3" authorId="0" shapeId="0" xr:uid="{00000000-0006-0000-0200-0000A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3" authorId="0" shapeId="0" xr:uid="{00000000-0006-0000-0200-0000A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3" authorId="0" shapeId="0" xr:uid="{00000000-0006-0000-0200-0000A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3" authorId="0" shapeId="0" xr:uid="{00000000-0006-0000-0200-0000A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3" authorId="0" shapeId="0" xr:uid="{00000000-0006-0000-0200-0000A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3" authorId="0" shapeId="0" xr:uid="{00000000-0006-0000-0200-0000A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3" authorId="0" shapeId="0" xr:uid="{00000000-0006-0000-0200-0000A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3" authorId="0" shapeId="0" xr:uid="{00000000-0006-0000-0200-0000A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3" authorId="0" shapeId="0" xr:uid="{00000000-0006-0000-0200-0000B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3" authorId="0" shapeId="0" xr:uid="{00000000-0006-0000-0200-0000B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3" authorId="0" shapeId="0" xr:uid="{00000000-0006-0000-0200-0000B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3" authorId="0" shapeId="0" xr:uid="{00000000-0006-0000-0200-0000B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3" authorId="0" shapeId="0" xr:uid="{00000000-0006-0000-0200-0000B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3" authorId="0" shapeId="0" xr:uid="{00000000-0006-0000-0200-0000B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3" authorId="0" shapeId="0" xr:uid="{00000000-0006-0000-0200-0000B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3" authorId="0" shapeId="0" xr:uid="{00000000-0006-0000-0200-0000B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3" authorId="0" shapeId="0" xr:uid="{00000000-0006-0000-0200-0000B8100000}">
      <text>
        <r>
          <rPr>
            <sz val="9"/>
            <color indexed="81"/>
            <rFont val="Tahoma"/>
            <charset val="1"/>
          </rPr>
          <t>Stability=12,Expiration=9/25/2018</t>
        </r>
      </text>
    </comment>
    <comment ref="A34" authorId="0" shapeId="0" xr:uid="{00000000-0006-0000-0200-0000B9100000}">
      <text>
        <r>
          <rPr>
            <sz val="9"/>
            <color indexed="81"/>
            <rFont val="Tahoma"/>
            <charset val="1"/>
          </rPr>
          <t>Date macro run: 3/29/2018 8:32:36 PM</t>
        </r>
      </text>
    </comment>
    <comment ref="B34" authorId="0" shapeId="0" xr:uid="{00000000-0006-0000-0200-0000BA100000}">
      <text>
        <r>
          <rPr>
            <sz val="9"/>
            <color indexed="81"/>
            <rFont val="Tahoma"/>
            <charset val="1"/>
          </rPr>
          <t>Stability=33,Expiration=5/9/2019</t>
        </r>
      </text>
    </comment>
    <comment ref="C34" authorId="0" shapeId="0" xr:uid="{00000000-0006-0000-0200-0000BB100000}">
      <text>
        <r>
          <rPr>
            <sz val="9"/>
            <color indexed="81"/>
            <rFont val="Tahoma"/>
            <charset val="1"/>
          </rPr>
          <t>Stability=3,Expiration=12/9/2018</t>
        </r>
      </text>
    </comment>
    <comment ref="D34" authorId="0" shapeId="0" xr:uid="{00000000-0006-0000-0200-0000BC10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34" authorId="0" shapeId="0" xr:uid="{00000000-0006-0000-0200-0000BD10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34" authorId="0" shapeId="0" xr:uid="{00000000-0006-0000-0200-0000BE100000}">
      <text>
        <r>
          <rPr>
            <sz val="9"/>
            <color indexed="81"/>
            <rFont val="Tahoma"/>
            <charset val="1"/>
          </rPr>
          <t>Stability=12,Expiration=12/27/2018</t>
        </r>
      </text>
    </comment>
    <comment ref="G34" authorId="0" shapeId="0" xr:uid="{00000000-0006-0000-0200-0000BF10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H34" authorId="0" shapeId="0" xr:uid="{00000000-0006-0000-0200-0000C0100000}">
      <text>
        <r>
          <rPr>
            <sz val="9"/>
            <color indexed="81"/>
            <rFont val="Tahoma"/>
            <charset val="1"/>
          </rPr>
          <t>Stability=11,Expiration=4/30/2019</t>
        </r>
      </text>
    </comment>
    <comment ref="I34" authorId="0" shapeId="0" xr:uid="{00000000-0006-0000-0200-0000C1100000}">
      <text>
        <r>
          <rPr>
            <sz val="9"/>
            <color indexed="81"/>
            <rFont val="Tahoma"/>
            <charset val="1"/>
          </rPr>
          <t>Stability=11,Expiration=7/18/2018</t>
        </r>
      </text>
    </comment>
    <comment ref="J34" authorId="0" shapeId="0" xr:uid="{00000000-0006-0000-0200-0000C2100000}">
      <text>
        <r>
          <rPr>
            <sz val="9"/>
            <color indexed="81"/>
            <rFont val="Tahoma"/>
            <charset val="1"/>
          </rPr>
          <t>Stability=24,Expiration=7/3/2018</t>
        </r>
      </text>
    </comment>
    <comment ref="K34" authorId="0" shapeId="0" xr:uid="{00000000-0006-0000-0200-0000C310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34" authorId="0" shapeId="0" xr:uid="{00000000-0006-0000-0200-0000C4100000}">
      <text>
        <r>
          <rPr>
            <sz val="9"/>
            <color indexed="81"/>
            <rFont val="Tahoma"/>
            <charset val="1"/>
          </rPr>
          <t>Stability=3,Expiration=4/10/2019</t>
        </r>
      </text>
    </comment>
    <comment ref="M34" authorId="0" shapeId="0" xr:uid="{00000000-0006-0000-0200-0000C5100000}">
      <text>
        <r>
          <rPr>
            <sz val="9"/>
            <color indexed="81"/>
            <rFont val="Tahoma"/>
            <charset val="1"/>
          </rPr>
          <t>Stability=47,Expiration=4/30/2018</t>
        </r>
      </text>
    </comment>
    <comment ref="N34" authorId="0" shapeId="0" xr:uid="{00000000-0006-0000-0200-0000C6100000}">
      <text>
        <r>
          <rPr>
            <sz val="9"/>
            <color indexed="81"/>
            <rFont val="Tahoma"/>
            <charset val="1"/>
          </rPr>
          <t>Stability=14,Expiration=11/30/2018</t>
        </r>
      </text>
    </comment>
    <comment ref="O34" authorId="0" shapeId="0" xr:uid="{00000000-0006-0000-0200-0000C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4" authorId="0" shapeId="0" xr:uid="{00000000-0006-0000-0200-0000C8100000}">
      <text>
        <r>
          <rPr>
            <sz val="9"/>
            <color indexed="81"/>
            <rFont val="Tahoma"/>
            <charset val="1"/>
          </rPr>
          <t>Stability=14,Expiration=5/3/2019</t>
        </r>
      </text>
    </comment>
    <comment ref="Q34" authorId="0" shapeId="0" xr:uid="{00000000-0006-0000-0200-0000C9100000}">
      <text>
        <r>
          <rPr>
            <sz val="9"/>
            <color indexed="81"/>
            <rFont val="Tahoma"/>
            <charset val="1"/>
          </rPr>
          <t>Stability=24,Expiration=5/31/2019</t>
        </r>
      </text>
    </comment>
    <comment ref="R34" authorId="0" shapeId="0" xr:uid="{00000000-0006-0000-0200-0000CA100000}">
      <text>
        <r>
          <rPr>
            <sz val="9"/>
            <color indexed="81"/>
            <rFont val="Tahoma"/>
            <charset val="1"/>
          </rPr>
          <t>Stability=39,Expiration=7/14/2018</t>
        </r>
      </text>
    </comment>
    <comment ref="S34" authorId="0" shapeId="0" xr:uid="{00000000-0006-0000-0200-0000C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4" authorId="0" shapeId="0" xr:uid="{00000000-0006-0000-0200-0000CC10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34" authorId="0" shapeId="0" xr:uid="{00000000-0006-0000-0200-0000CD100000}">
      <text>
        <r>
          <rPr>
            <sz val="9"/>
            <color indexed="81"/>
            <rFont val="Tahoma"/>
            <charset val="1"/>
          </rPr>
          <t>Stability=14,Expiration=4/20/2018</t>
        </r>
      </text>
    </comment>
    <comment ref="V34" authorId="0" shapeId="0" xr:uid="{00000000-0006-0000-0200-0000CE100000}">
      <text>
        <r>
          <rPr>
            <sz val="9"/>
            <color indexed="81"/>
            <rFont val="Tahoma"/>
            <charset val="1"/>
          </rPr>
          <t>Stability=27,Expiration=10/30/2018</t>
        </r>
      </text>
    </comment>
    <comment ref="W34" authorId="0" shapeId="0" xr:uid="{00000000-0006-0000-0200-0000CF100000}">
      <text>
        <r>
          <rPr>
            <sz val="9"/>
            <color indexed="81"/>
            <rFont val="Tahoma"/>
            <charset val="1"/>
          </rPr>
          <t>Stability=24,Expiration=6/30/2019</t>
        </r>
      </text>
    </comment>
    <comment ref="X34" authorId="0" shapeId="0" xr:uid="{00000000-0006-0000-0200-0000D0100000}">
      <text>
        <r>
          <rPr>
            <sz val="9"/>
            <color indexed="81"/>
            <rFont val="Tahoma"/>
            <charset val="1"/>
          </rPr>
          <t>Stability=12,Expiration=8/19/2018</t>
        </r>
      </text>
    </comment>
    <comment ref="Y34" authorId="0" shapeId="0" xr:uid="{00000000-0006-0000-0200-0000D1100000}">
      <text>
        <r>
          <rPr>
            <sz val="9"/>
            <color indexed="81"/>
            <rFont val="Tahoma"/>
            <charset val="1"/>
          </rPr>
          <t>Stability=21,Expiration=4/30/2019</t>
        </r>
      </text>
    </comment>
    <comment ref="Z34" authorId="0" shapeId="0" xr:uid="{00000000-0006-0000-0200-0000D2100000}">
      <text>
        <r>
          <rPr>
            <sz val="9"/>
            <color indexed="81"/>
            <rFont val="Tahoma"/>
            <charset val="1"/>
          </rPr>
          <t>Stability=27,Expiration=12/31/2018</t>
        </r>
      </text>
    </comment>
    <comment ref="AA34" authorId="0" shapeId="0" xr:uid="{00000000-0006-0000-0200-0000D3100000}">
      <text>
        <r>
          <rPr>
            <sz val="9"/>
            <color indexed="81"/>
            <rFont val="Tahoma"/>
            <charset val="1"/>
          </rPr>
          <t>Stability=21,Expiration=3/14/2019</t>
        </r>
      </text>
    </comment>
    <comment ref="AB34" authorId="0" shapeId="0" xr:uid="{00000000-0006-0000-0200-0000D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4" authorId="0" shapeId="0" xr:uid="{00000000-0006-0000-0200-0000D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4" authorId="0" shapeId="0" xr:uid="{00000000-0006-0000-0200-0000D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4" authorId="0" shapeId="0" xr:uid="{00000000-0006-0000-0200-0000D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4" authorId="0" shapeId="0" xr:uid="{00000000-0006-0000-0200-0000D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4" authorId="0" shapeId="0" xr:uid="{00000000-0006-0000-0200-0000D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4" authorId="0" shapeId="0" xr:uid="{00000000-0006-0000-0200-0000D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4" authorId="0" shapeId="0" xr:uid="{00000000-0006-0000-0200-0000D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4" authorId="0" shapeId="0" xr:uid="{00000000-0006-0000-0200-0000D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4" authorId="0" shapeId="0" xr:uid="{00000000-0006-0000-0200-0000D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4" authorId="0" shapeId="0" xr:uid="{00000000-0006-0000-0200-0000D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4" authorId="0" shapeId="0" xr:uid="{00000000-0006-0000-0200-0000D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4" authorId="0" shapeId="0" xr:uid="{00000000-0006-0000-0200-0000E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4" authorId="0" shapeId="0" xr:uid="{00000000-0006-0000-0200-0000E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4" authorId="0" shapeId="0" xr:uid="{00000000-0006-0000-0200-0000E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4" authorId="0" shapeId="0" xr:uid="{00000000-0006-0000-0200-0000E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4" authorId="0" shapeId="0" xr:uid="{00000000-0006-0000-0200-0000E410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4" authorId="0" shapeId="0" xr:uid="{00000000-0006-0000-0200-0000E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4" authorId="0" shapeId="0" xr:uid="{00000000-0006-0000-0200-0000E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4" authorId="0" shapeId="0" xr:uid="{00000000-0006-0000-0200-0000E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4" authorId="0" shapeId="0" xr:uid="{00000000-0006-0000-0200-0000E8100000}">
      <text>
        <r>
          <rPr>
            <sz val="9"/>
            <color indexed="81"/>
            <rFont val="Tahoma"/>
            <charset val="1"/>
          </rPr>
          <t>Stability=11,Expiration=9/25/2018</t>
        </r>
      </text>
    </comment>
    <comment ref="A35" authorId="0" shapeId="0" xr:uid="{00000000-0006-0000-0200-0000E9100000}">
      <text>
        <r>
          <rPr>
            <sz val="9"/>
            <color indexed="81"/>
            <rFont val="Tahoma"/>
            <charset val="1"/>
          </rPr>
          <t>Date macro run: 4/2/2018 9:27:27 PM</t>
        </r>
      </text>
    </comment>
    <comment ref="B35" authorId="0" shapeId="0" xr:uid="{00000000-0006-0000-0200-0000EA100000}">
      <text>
        <r>
          <rPr>
            <sz val="9"/>
            <color indexed="81"/>
            <rFont val="Tahoma"/>
            <charset val="1"/>
          </rPr>
          <t>Stability=29,Expiration=5/9/2019</t>
        </r>
      </text>
    </comment>
    <comment ref="C35" authorId="0" shapeId="0" xr:uid="{00000000-0006-0000-0200-0000EB10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35" authorId="0" shapeId="0" xr:uid="{00000000-0006-0000-0200-0000EC100000}">
      <text>
        <r>
          <rPr>
            <sz val="9"/>
            <color indexed="81"/>
            <rFont val="Tahoma"/>
            <charset val="1"/>
          </rPr>
          <t>Stability=15,Expiration=11/23/2018</t>
        </r>
      </text>
    </comment>
    <comment ref="E35" authorId="0" shapeId="0" xr:uid="{00000000-0006-0000-0200-0000ED10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35" authorId="0" shapeId="0" xr:uid="{00000000-0006-0000-0200-0000EE100000}">
      <text>
        <r>
          <rPr>
            <sz val="9"/>
            <color indexed="81"/>
            <rFont val="Tahoma"/>
            <charset val="1"/>
          </rPr>
          <t>Stability=8,Expiration=12/27/2018</t>
        </r>
      </text>
    </comment>
    <comment ref="G35" authorId="0" shapeId="0" xr:uid="{00000000-0006-0000-0200-0000EF100000}">
      <text>
        <r>
          <rPr>
            <sz val="9"/>
            <color indexed="81"/>
            <rFont val="Tahoma"/>
            <charset val="1"/>
          </rPr>
          <t>Stability=5,Expiration=10/31/2018</t>
        </r>
      </text>
    </comment>
    <comment ref="H35" authorId="0" shapeId="0" xr:uid="{00000000-0006-0000-0200-0000F010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I35" authorId="0" shapeId="0" xr:uid="{00000000-0006-0000-0200-0000F1100000}">
      <text>
        <r>
          <rPr>
            <sz val="9"/>
            <color indexed="81"/>
            <rFont val="Tahoma"/>
            <charset val="1"/>
          </rPr>
          <t>Stability=7,Expiration=7/18/2018</t>
        </r>
      </text>
    </comment>
    <comment ref="J35" authorId="0" shapeId="0" xr:uid="{00000000-0006-0000-0200-0000F2100000}">
      <text>
        <r>
          <rPr>
            <sz val="9"/>
            <color indexed="81"/>
            <rFont val="Tahoma"/>
            <charset val="1"/>
          </rPr>
          <t>Stability=20,Expiration=7/3/2018</t>
        </r>
      </text>
    </comment>
    <comment ref="K35" authorId="0" shapeId="0" xr:uid="{00000000-0006-0000-0200-0000F310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35" authorId="0" shapeId="0" xr:uid="{00000000-0006-0000-0200-0000F410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35" authorId="0" shapeId="0" xr:uid="{00000000-0006-0000-0200-0000F5100000}">
      <text>
        <r>
          <rPr>
            <sz val="9"/>
            <color indexed="81"/>
            <rFont val="Tahoma"/>
            <charset val="1"/>
          </rPr>
          <t>Stability=42,Expiration=4/30/2018</t>
        </r>
      </text>
    </comment>
    <comment ref="N35" authorId="0" shapeId="0" xr:uid="{00000000-0006-0000-0200-0000F6100000}">
      <text>
        <r>
          <rPr>
            <sz val="9"/>
            <color indexed="81"/>
            <rFont val="Tahoma"/>
            <charset val="1"/>
          </rPr>
          <t>Stability=26,Expiration=11/30/2018</t>
        </r>
      </text>
    </comment>
    <comment ref="O35" authorId="0" shapeId="0" xr:uid="{00000000-0006-0000-0200-0000F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5" authorId="0" shapeId="0" xr:uid="{00000000-0006-0000-0200-0000F8100000}">
      <text>
        <r>
          <rPr>
            <sz val="9"/>
            <color indexed="81"/>
            <rFont val="Tahoma"/>
            <charset val="1"/>
          </rPr>
          <t>Stability=9,Expiration=5/3/2019</t>
        </r>
      </text>
    </comment>
    <comment ref="Q35" authorId="0" shapeId="0" xr:uid="{00000000-0006-0000-0200-0000F9100000}">
      <text>
        <r>
          <rPr>
            <sz val="9"/>
            <color indexed="81"/>
            <rFont val="Tahoma"/>
            <charset val="1"/>
          </rPr>
          <t>Stability=20,Expiration=5/31/2019</t>
        </r>
      </text>
    </comment>
    <comment ref="R35" authorId="0" shapeId="0" xr:uid="{00000000-0006-0000-0200-0000FA100000}">
      <text>
        <r>
          <rPr>
            <sz val="9"/>
            <color indexed="81"/>
            <rFont val="Tahoma"/>
            <charset val="1"/>
          </rPr>
          <t>Stability=35,Expiration=7/14/2018</t>
        </r>
      </text>
    </comment>
    <comment ref="S35" authorId="0" shapeId="0" xr:uid="{00000000-0006-0000-0200-0000F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5" authorId="0" shapeId="0" xr:uid="{00000000-0006-0000-0200-0000FC100000}">
      <text>
        <r>
          <rPr>
            <sz val="9"/>
            <color indexed="81"/>
            <rFont val="Tahoma"/>
            <charset val="1"/>
          </rPr>
          <t>Stability=6,Expiration=8/14/2018</t>
        </r>
      </text>
    </comment>
    <comment ref="U35" authorId="0" shapeId="0" xr:uid="{00000000-0006-0000-0200-0000FD100000}">
      <text>
        <r>
          <rPr>
            <sz val="9"/>
            <color indexed="81"/>
            <rFont val="Tahoma"/>
            <charset val="1"/>
          </rPr>
          <t>Stability=10,Expiration=4/20/2018</t>
        </r>
      </text>
    </comment>
    <comment ref="V35" authorId="0" shapeId="0" xr:uid="{00000000-0006-0000-0200-0000FE100000}">
      <text>
        <r>
          <rPr>
            <sz val="9"/>
            <color indexed="81"/>
            <rFont val="Tahoma"/>
            <charset val="1"/>
          </rPr>
          <t>Stability=23,Expiration=10/30/2018</t>
        </r>
      </text>
    </comment>
    <comment ref="W35" authorId="0" shapeId="0" xr:uid="{00000000-0006-0000-0200-0000FF100000}">
      <text>
        <r>
          <rPr>
            <sz val="9"/>
            <color indexed="81"/>
            <rFont val="Tahoma"/>
            <charset val="1"/>
          </rPr>
          <t>Stability=20,Expiration=6/30/2019</t>
        </r>
      </text>
    </comment>
    <comment ref="X35" authorId="0" shapeId="0" xr:uid="{00000000-0006-0000-0200-000000110000}">
      <text>
        <r>
          <rPr>
            <sz val="9"/>
            <color indexed="81"/>
            <rFont val="Tahoma"/>
            <charset val="1"/>
          </rPr>
          <t>Stability=27,Expiration=8/19/2018</t>
        </r>
      </text>
    </comment>
    <comment ref="Y35" authorId="0" shapeId="0" xr:uid="{00000000-0006-0000-0200-000001110000}">
      <text>
        <r>
          <rPr>
            <sz val="9"/>
            <color indexed="81"/>
            <rFont val="Tahoma"/>
            <charset val="1"/>
          </rPr>
          <t>Stability=17,Expiration=4/30/2019</t>
        </r>
      </text>
    </comment>
    <comment ref="Z35" authorId="0" shapeId="0" xr:uid="{00000000-0006-0000-0200-000002110000}">
      <text>
        <r>
          <rPr>
            <sz val="9"/>
            <color indexed="81"/>
            <rFont val="Tahoma"/>
            <charset val="1"/>
          </rPr>
          <t>Stability=23,Expiration=12/31/2018</t>
        </r>
      </text>
    </comment>
    <comment ref="AA35" authorId="0" shapeId="0" xr:uid="{00000000-0006-0000-0200-000003110000}">
      <text>
        <r>
          <rPr>
            <sz val="9"/>
            <color indexed="81"/>
            <rFont val="Tahoma"/>
            <charset val="1"/>
          </rPr>
          <t>Stability=17,Expiration=3/14/2019</t>
        </r>
      </text>
    </comment>
    <comment ref="AB35" authorId="0" shapeId="0" xr:uid="{00000000-0006-0000-0200-00000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5" authorId="0" shapeId="0" xr:uid="{00000000-0006-0000-0200-00000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5" authorId="0" shapeId="0" xr:uid="{00000000-0006-0000-0200-00000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5" authorId="0" shapeId="0" xr:uid="{00000000-0006-0000-0200-00000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5" authorId="0" shapeId="0" xr:uid="{00000000-0006-0000-0200-00000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5" authorId="0" shapeId="0" xr:uid="{00000000-0006-0000-0200-00000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5" authorId="0" shapeId="0" xr:uid="{00000000-0006-0000-0200-00000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5" authorId="0" shapeId="0" xr:uid="{00000000-0006-0000-0200-00000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5" authorId="0" shapeId="0" xr:uid="{00000000-0006-0000-0200-00000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5" authorId="0" shapeId="0" xr:uid="{00000000-0006-0000-0200-00000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5" authorId="0" shapeId="0" xr:uid="{00000000-0006-0000-0200-00000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5" authorId="0" shapeId="0" xr:uid="{00000000-0006-0000-0200-00000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5" authorId="0" shapeId="0" xr:uid="{00000000-0006-0000-0200-00001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5" authorId="0" shapeId="0" xr:uid="{00000000-0006-0000-0200-00001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5" authorId="0" shapeId="0" xr:uid="{00000000-0006-0000-0200-00001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5" authorId="0" shapeId="0" xr:uid="{00000000-0006-0000-0200-00001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5" authorId="0" shapeId="0" xr:uid="{00000000-0006-0000-0200-00001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5" authorId="0" shapeId="0" xr:uid="{00000000-0006-0000-0200-00001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5" authorId="0" shapeId="0" xr:uid="{00000000-0006-0000-0200-00001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5" authorId="0" shapeId="0" xr:uid="{00000000-0006-0000-0200-00001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5" authorId="0" shapeId="0" xr:uid="{00000000-0006-0000-0200-00001811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36" authorId="0" shapeId="0" xr:uid="{00000000-0006-0000-0200-000019110000}">
      <text>
        <r>
          <rPr>
            <sz val="9"/>
            <color indexed="81"/>
            <rFont val="Tahoma"/>
            <charset val="1"/>
          </rPr>
          <t>Date macro run: 4/4/2018 9:28:36 PM</t>
        </r>
      </text>
    </comment>
    <comment ref="B36" authorId="0" shapeId="0" xr:uid="{00000000-0006-0000-0200-00001A110000}">
      <text>
        <r>
          <rPr>
            <sz val="9"/>
            <color indexed="81"/>
            <rFont val="Tahoma"/>
            <charset val="1"/>
          </rPr>
          <t>Stability=27,Expiration=5/9/2019</t>
        </r>
      </text>
    </comment>
    <comment ref="C36" authorId="0" shapeId="0" xr:uid="{00000000-0006-0000-0200-00001B110000}">
      <text>
        <r>
          <rPr>
            <sz val="9"/>
            <color indexed="81"/>
            <rFont val="Tahoma"/>
            <charset val="1"/>
          </rPr>
          <t>Stability=3,Expiration=12/9/2018</t>
        </r>
      </text>
    </comment>
    <comment ref="D36" authorId="0" shapeId="0" xr:uid="{00000000-0006-0000-0200-00001C110000}">
      <text>
        <r>
          <rPr>
            <sz val="9"/>
            <color indexed="81"/>
            <rFont val="Tahoma"/>
            <charset val="1"/>
          </rPr>
          <t>Stability=13,Expiration=11/23/2018</t>
        </r>
      </text>
    </comment>
    <comment ref="E36" authorId="0" shapeId="0" xr:uid="{00000000-0006-0000-0200-00001D11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36" authorId="0" shapeId="0" xr:uid="{00000000-0006-0000-0200-00001E110000}">
      <text>
        <r>
          <rPr>
            <sz val="9"/>
            <color indexed="81"/>
            <rFont val="Tahoma"/>
            <charset val="1"/>
          </rPr>
          <t>Stability=6,Expiration=12/27/2018</t>
        </r>
      </text>
    </comment>
    <comment ref="G36" authorId="0" shapeId="0" xr:uid="{00000000-0006-0000-0200-00001F110000}">
      <text>
        <r>
          <rPr>
            <sz val="9"/>
            <color indexed="81"/>
            <rFont val="Tahoma"/>
            <charset val="1"/>
          </rPr>
          <t>Stability=3,Expiration=10/31/2018</t>
        </r>
      </text>
    </comment>
    <comment ref="H36" authorId="0" shapeId="0" xr:uid="{00000000-0006-0000-0200-000020110000}">
      <text>
        <r>
          <rPr>
            <sz val="9"/>
            <color indexed="81"/>
            <rFont val="Tahoma"/>
            <charset val="1"/>
          </rPr>
          <t>Stability=5,Expiration=4/30/2019</t>
        </r>
      </text>
    </comment>
    <comment ref="I36" authorId="0" shapeId="0" xr:uid="{00000000-0006-0000-0200-000021110000}">
      <text>
        <r>
          <rPr>
            <sz val="9"/>
            <color indexed="81"/>
            <rFont val="Tahoma"/>
            <charset val="1"/>
          </rPr>
          <t>Stability=5,Expiration=7/18/2018</t>
        </r>
      </text>
    </comment>
    <comment ref="J36" authorId="0" shapeId="0" xr:uid="{00000000-0006-0000-0200-000022110000}">
      <text>
        <r>
          <rPr>
            <sz val="9"/>
            <color indexed="81"/>
            <rFont val="Tahoma"/>
            <charset val="1"/>
          </rPr>
          <t>Stability=18,Expiration=7/3/2018</t>
        </r>
      </text>
    </comment>
    <comment ref="K36" authorId="0" shapeId="0" xr:uid="{00000000-0006-0000-0200-000023110000}">
      <text>
        <r>
          <rPr>
            <sz val="9"/>
            <color indexed="81"/>
            <rFont val="Tahoma"/>
            <charset val="1"/>
          </rPr>
          <t>Stability=4,Expiration=7/31/2018</t>
        </r>
      </text>
    </comment>
    <comment ref="L36" authorId="0" shapeId="0" xr:uid="{00000000-0006-0000-0200-000024110000}">
      <text>
        <r>
          <rPr>
            <sz val="9"/>
            <color indexed="81"/>
            <rFont val="Tahoma"/>
            <charset val="1"/>
          </rPr>
          <t>Stability=2,Expiration=4/10/2019</t>
        </r>
      </text>
    </comment>
    <comment ref="M36" authorId="0" shapeId="0" xr:uid="{00000000-0006-0000-0200-000025110000}">
      <text>
        <r>
          <rPr>
            <sz val="9"/>
            <color indexed="81"/>
            <rFont val="Tahoma"/>
            <charset val="1"/>
          </rPr>
          <t>Stability=40,Expiration=4/30/2018</t>
        </r>
      </text>
    </comment>
    <comment ref="N36" authorId="0" shapeId="0" xr:uid="{00000000-0006-0000-0200-00002611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36" authorId="0" shapeId="0" xr:uid="{00000000-0006-0000-0200-00002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6" authorId="0" shapeId="0" xr:uid="{00000000-0006-0000-0200-000028110000}">
      <text>
        <r>
          <rPr>
            <sz val="9"/>
            <color indexed="81"/>
            <rFont val="Tahoma"/>
            <charset val="1"/>
          </rPr>
          <t>Stability=7,Expiration=5/3/2019</t>
        </r>
      </text>
    </comment>
    <comment ref="Q36" authorId="0" shapeId="0" xr:uid="{00000000-0006-0000-0200-000029110000}">
      <text>
        <r>
          <rPr>
            <sz val="9"/>
            <color indexed="81"/>
            <rFont val="Tahoma"/>
            <charset val="1"/>
          </rPr>
          <t>Stability=18,Expiration=5/31/2019</t>
        </r>
      </text>
    </comment>
    <comment ref="R36" authorId="0" shapeId="0" xr:uid="{00000000-0006-0000-0200-00002A110000}">
      <text>
        <r>
          <rPr>
            <sz val="9"/>
            <color indexed="81"/>
            <rFont val="Tahoma"/>
            <charset val="1"/>
          </rPr>
          <t>Stability=33,Expiration=7/14/2018</t>
        </r>
      </text>
    </comment>
    <comment ref="S36" authorId="0" shapeId="0" xr:uid="{00000000-0006-0000-0200-00002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6" authorId="0" shapeId="0" xr:uid="{00000000-0006-0000-0200-00002C11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36" authorId="0" shapeId="0" xr:uid="{00000000-0006-0000-0200-00002D110000}">
      <text>
        <r>
          <rPr>
            <sz val="9"/>
            <color indexed="81"/>
            <rFont val="Tahoma"/>
            <charset val="1"/>
          </rPr>
          <t>Stability=8,Expiration=4/20/2018</t>
        </r>
      </text>
    </comment>
    <comment ref="V36" authorId="0" shapeId="0" xr:uid="{00000000-0006-0000-0200-00002E110000}">
      <text>
        <r>
          <rPr>
            <sz val="9"/>
            <color indexed="81"/>
            <rFont val="Tahoma"/>
            <charset val="1"/>
          </rPr>
          <t>Stability=29,Expiration=10/30/2018</t>
        </r>
      </text>
    </comment>
    <comment ref="W36" authorId="0" shapeId="0" xr:uid="{00000000-0006-0000-0200-00002F110000}">
      <text>
        <r>
          <rPr>
            <sz val="9"/>
            <color indexed="81"/>
            <rFont val="Tahoma"/>
            <charset val="1"/>
          </rPr>
          <t>Stability=29,Expiration=6/30/2019</t>
        </r>
      </text>
    </comment>
    <comment ref="X36" authorId="0" shapeId="0" xr:uid="{00000000-0006-0000-0200-000030110000}">
      <text>
        <r>
          <rPr>
            <sz val="9"/>
            <color indexed="81"/>
            <rFont val="Tahoma"/>
            <charset val="1"/>
          </rPr>
          <t>Stability=25,Expiration=8/19/2018</t>
        </r>
      </text>
    </comment>
    <comment ref="Y36" authorId="0" shapeId="0" xr:uid="{00000000-0006-0000-0200-000031110000}">
      <text>
        <r>
          <rPr>
            <sz val="9"/>
            <color indexed="81"/>
            <rFont val="Tahoma"/>
            <charset val="1"/>
          </rPr>
          <t>Stability=15,Expiration=4/30/2019</t>
        </r>
      </text>
    </comment>
    <comment ref="Z36" authorId="0" shapeId="0" xr:uid="{00000000-0006-0000-0200-000032110000}">
      <text>
        <r>
          <rPr>
            <sz val="9"/>
            <color indexed="81"/>
            <rFont val="Tahoma"/>
            <charset val="1"/>
          </rPr>
          <t>Stability=21,Expiration=12/31/2018</t>
        </r>
      </text>
    </comment>
    <comment ref="AA36" authorId="0" shapeId="0" xr:uid="{00000000-0006-0000-0200-000033110000}">
      <text>
        <r>
          <rPr>
            <sz val="9"/>
            <color indexed="81"/>
            <rFont val="Tahoma"/>
            <charset val="1"/>
          </rPr>
          <t>Stability=15,Expiration=3/14/2019</t>
        </r>
      </text>
    </comment>
    <comment ref="AB36" authorId="0" shapeId="0" xr:uid="{00000000-0006-0000-0200-00003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6" authorId="0" shapeId="0" xr:uid="{00000000-0006-0000-0200-00003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6" authorId="0" shapeId="0" xr:uid="{00000000-0006-0000-0200-00003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6" authorId="0" shapeId="0" xr:uid="{00000000-0006-0000-0200-00003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6" authorId="0" shapeId="0" xr:uid="{00000000-0006-0000-0200-00003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6" authorId="0" shapeId="0" xr:uid="{00000000-0006-0000-0200-00003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6" authorId="0" shapeId="0" xr:uid="{00000000-0006-0000-0200-00003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6" authorId="0" shapeId="0" xr:uid="{00000000-0006-0000-0200-00003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6" authorId="0" shapeId="0" xr:uid="{00000000-0006-0000-0200-00003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6" authorId="0" shapeId="0" xr:uid="{00000000-0006-0000-0200-00003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6" authorId="0" shapeId="0" xr:uid="{00000000-0006-0000-0200-00003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6" authorId="0" shapeId="0" xr:uid="{00000000-0006-0000-0200-00003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6" authorId="0" shapeId="0" xr:uid="{00000000-0006-0000-0200-00004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6" authorId="0" shapeId="0" xr:uid="{00000000-0006-0000-0200-00004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6" authorId="0" shapeId="0" xr:uid="{00000000-0006-0000-0200-00004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6" authorId="0" shapeId="0" xr:uid="{00000000-0006-0000-0200-00004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6" authorId="0" shapeId="0" xr:uid="{00000000-0006-0000-0200-00004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6" authorId="0" shapeId="0" xr:uid="{00000000-0006-0000-0200-00004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6" authorId="0" shapeId="0" xr:uid="{00000000-0006-0000-0200-00004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6" authorId="0" shapeId="0" xr:uid="{00000000-0006-0000-0200-00004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6" authorId="0" shapeId="0" xr:uid="{00000000-0006-0000-0200-000048110000}">
      <text>
        <r>
          <rPr>
            <sz val="9"/>
            <color indexed="81"/>
            <rFont val="Tahoma"/>
            <charset val="1"/>
          </rPr>
          <t>Stability=5,Expiration=9/25/2018</t>
        </r>
      </text>
    </comment>
    <comment ref="A37" authorId="0" shapeId="0" xr:uid="{00000000-0006-0000-0200-000049110000}">
      <text>
        <r>
          <rPr>
            <sz val="9"/>
            <color indexed="81"/>
            <rFont val="Tahoma"/>
            <charset val="1"/>
          </rPr>
          <t>Date macro run: 4/6/2018 8:33:57 PM</t>
        </r>
      </text>
    </comment>
    <comment ref="B37" authorId="0" shapeId="0" xr:uid="{00000000-0006-0000-0200-00004A110000}">
      <text>
        <r>
          <rPr>
            <sz val="9"/>
            <color indexed="81"/>
            <rFont val="Tahoma"/>
            <charset val="1"/>
          </rPr>
          <t>Stability=25,Expiration=5/9/2019</t>
        </r>
      </text>
    </comment>
    <comment ref="C37" authorId="0" shapeId="0" xr:uid="{00000000-0006-0000-0200-00004B110000}">
      <text>
        <r>
          <rPr>
            <sz val="9"/>
            <color indexed="81"/>
            <rFont val="Tahoma"/>
            <charset val="1"/>
          </rPr>
          <t>Stability=2,Expiration=12/9/2018</t>
        </r>
      </text>
    </comment>
    <comment ref="D37" authorId="0" shapeId="0" xr:uid="{00000000-0006-0000-0200-00004C110000}">
      <text>
        <r>
          <rPr>
            <sz val="9"/>
            <color indexed="81"/>
            <rFont val="Tahoma"/>
            <charset val="1"/>
          </rPr>
          <t>Stability=12,Expiration=11/23/2018</t>
        </r>
      </text>
    </comment>
    <comment ref="E37" authorId="0" shapeId="0" xr:uid="{00000000-0006-0000-0200-00004D11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37" authorId="0" shapeId="0" xr:uid="{00000000-0006-0000-0200-00004E110000}">
      <text>
        <r>
          <rPr>
            <sz val="9"/>
            <color indexed="81"/>
            <rFont val="Tahoma"/>
            <charset val="1"/>
          </rPr>
          <t>Stability=4,Expiration=12/27/2018</t>
        </r>
      </text>
    </comment>
    <comment ref="G37" authorId="0" shapeId="0" xr:uid="{00000000-0006-0000-0200-00004F110000}">
      <text>
        <r>
          <rPr>
            <sz val="9"/>
            <color indexed="81"/>
            <rFont val="Tahoma"/>
            <charset val="1"/>
          </rPr>
          <t>Stability=28,Expiration=10/31/2018</t>
        </r>
      </text>
    </comment>
    <comment ref="H37" authorId="0" shapeId="0" xr:uid="{00000000-0006-0000-0200-000050110000}">
      <text>
        <r>
          <rPr>
            <sz val="9"/>
            <color indexed="81"/>
            <rFont val="Tahoma"/>
            <charset val="1"/>
          </rPr>
          <t>Stability=3,Expiration=4/30/2019</t>
        </r>
      </text>
    </comment>
    <comment ref="I37" authorId="0" shapeId="0" xr:uid="{00000000-0006-0000-0200-000051110000}">
      <text>
        <r>
          <rPr>
            <sz val="9"/>
            <color indexed="81"/>
            <rFont val="Tahoma"/>
            <charset val="1"/>
          </rPr>
          <t>Stability=3,Expiration=7/18/2018</t>
        </r>
      </text>
    </comment>
    <comment ref="J37" authorId="0" shapeId="0" xr:uid="{00000000-0006-0000-0200-000052110000}">
      <text>
        <r>
          <rPr>
            <sz val="9"/>
            <color indexed="81"/>
            <rFont val="Tahoma"/>
            <charset val="1"/>
          </rPr>
          <t>Stability=16,Expiration=7/3/2018</t>
        </r>
      </text>
    </comment>
    <comment ref="K37" authorId="0" shapeId="0" xr:uid="{00000000-0006-0000-0200-000053110000}">
      <text>
        <r>
          <rPr>
            <sz val="9"/>
            <color indexed="81"/>
            <rFont val="Tahoma"/>
            <charset val="1"/>
          </rPr>
          <t>Stability=2,Expiration=7/31/2018</t>
        </r>
      </text>
    </comment>
    <comment ref="L37" authorId="0" shapeId="0" xr:uid="{00000000-0006-0000-0200-00005411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37" authorId="0" shapeId="0" xr:uid="{00000000-0006-0000-0200-000055110000}">
      <text>
        <r>
          <rPr>
            <sz val="9"/>
            <color indexed="81"/>
            <rFont val="Tahoma"/>
            <charset val="1"/>
          </rPr>
          <t>Stability=39,Expiration=4/30/2018</t>
        </r>
      </text>
    </comment>
    <comment ref="N37" authorId="0" shapeId="0" xr:uid="{00000000-0006-0000-0200-00005611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37" authorId="0" shapeId="0" xr:uid="{00000000-0006-0000-0200-00005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7" authorId="0" shapeId="0" xr:uid="{00000000-0006-0000-0200-000058110000}">
      <text>
        <r>
          <rPr>
            <sz val="9"/>
            <color indexed="81"/>
            <rFont val="Tahoma"/>
            <charset val="1"/>
          </rPr>
          <t>Stability=6,Expiration=5/3/2019</t>
        </r>
      </text>
    </comment>
    <comment ref="Q37" authorId="0" shapeId="0" xr:uid="{00000000-0006-0000-0200-000059110000}">
      <text>
        <r>
          <rPr>
            <sz val="9"/>
            <color indexed="81"/>
            <rFont val="Tahoma"/>
            <charset val="1"/>
          </rPr>
          <t>Stability=16,Expiration=5/31/2019</t>
        </r>
      </text>
    </comment>
    <comment ref="R37" authorId="0" shapeId="0" xr:uid="{00000000-0006-0000-0200-00005A110000}">
      <text>
        <r>
          <rPr>
            <sz val="9"/>
            <color indexed="81"/>
            <rFont val="Tahoma"/>
            <charset val="1"/>
          </rPr>
          <t>Stability=31,Expiration=7/14/2018</t>
        </r>
      </text>
    </comment>
    <comment ref="S37" authorId="0" shapeId="0" xr:uid="{00000000-0006-0000-0200-00005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7" authorId="0" shapeId="0" xr:uid="{00000000-0006-0000-0200-00005C110000}">
      <text>
        <r>
          <rPr>
            <sz val="9"/>
            <color indexed="81"/>
            <rFont val="Tahoma"/>
            <charset val="1"/>
          </rPr>
          <t>Stability=3,Expiration=8/14/2018</t>
        </r>
      </text>
    </comment>
    <comment ref="U37" authorId="0" shapeId="0" xr:uid="{00000000-0006-0000-0200-00005D110000}">
      <text>
        <r>
          <rPr>
            <sz val="9"/>
            <color indexed="81"/>
            <rFont val="Tahoma"/>
            <charset val="1"/>
          </rPr>
          <t>Stability=6,Expiration=4/20/2018</t>
        </r>
      </text>
    </comment>
    <comment ref="V37" authorId="0" shapeId="0" xr:uid="{00000000-0006-0000-0200-00005E110000}">
      <text>
        <r>
          <rPr>
            <sz val="9"/>
            <color indexed="81"/>
            <rFont val="Tahoma"/>
            <charset val="1"/>
          </rPr>
          <t>Stability=27,Expiration=10/30/2018</t>
        </r>
      </text>
    </comment>
    <comment ref="W37" authorId="0" shapeId="0" xr:uid="{00000000-0006-0000-0200-00005F110000}">
      <text>
        <r>
          <rPr>
            <sz val="9"/>
            <color indexed="81"/>
            <rFont val="Tahoma"/>
            <charset val="1"/>
          </rPr>
          <t>Stability=27,Expiration=6/30/2019</t>
        </r>
      </text>
    </comment>
    <comment ref="X37" authorId="0" shapeId="0" xr:uid="{00000000-0006-0000-0200-000060110000}">
      <text>
        <r>
          <rPr>
            <sz val="9"/>
            <color indexed="81"/>
            <rFont val="Tahoma"/>
            <charset val="1"/>
          </rPr>
          <t>Stability=23,Expiration=8/19/2018</t>
        </r>
      </text>
    </comment>
    <comment ref="Y37" authorId="0" shapeId="0" xr:uid="{00000000-0006-0000-0200-000061110000}">
      <text>
        <r>
          <rPr>
            <sz val="9"/>
            <color indexed="81"/>
            <rFont val="Tahoma"/>
            <charset val="1"/>
          </rPr>
          <t>Stability=13,Expiration=4/30/2019</t>
        </r>
      </text>
    </comment>
    <comment ref="Z37" authorId="0" shapeId="0" xr:uid="{00000000-0006-0000-0200-000062110000}">
      <text>
        <r>
          <rPr>
            <sz val="9"/>
            <color indexed="81"/>
            <rFont val="Tahoma"/>
            <charset val="1"/>
          </rPr>
          <t>Stability=19,Expiration=12/31/2018</t>
        </r>
      </text>
    </comment>
    <comment ref="AA37" authorId="0" shapeId="0" xr:uid="{00000000-0006-0000-0200-000063110000}">
      <text>
        <r>
          <rPr>
            <sz val="9"/>
            <color indexed="81"/>
            <rFont val="Tahoma"/>
            <charset val="1"/>
          </rPr>
          <t>Stability=13,Expiration=3/14/2019</t>
        </r>
      </text>
    </comment>
    <comment ref="AB37" authorId="0" shapeId="0" xr:uid="{00000000-0006-0000-0200-00006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7" authorId="0" shapeId="0" xr:uid="{00000000-0006-0000-0200-00006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7" authorId="0" shapeId="0" xr:uid="{00000000-0006-0000-0200-00006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7" authorId="0" shapeId="0" xr:uid="{00000000-0006-0000-0200-00006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7" authorId="0" shapeId="0" xr:uid="{00000000-0006-0000-0200-00006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7" authorId="0" shapeId="0" xr:uid="{00000000-0006-0000-0200-00006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7" authorId="0" shapeId="0" xr:uid="{00000000-0006-0000-0200-00006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7" authorId="0" shapeId="0" xr:uid="{00000000-0006-0000-0200-00006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7" authorId="0" shapeId="0" xr:uid="{00000000-0006-0000-0200-00006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7" authorId="0" shapeId="0" xr:uid="{00000000-0006-0000-0200-00006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7" authorId="0" shapeId="0" xr:uid="{00000000-0006-0000-0200-00006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7" authorId="0" shapeId="0" xr:uid="{00000000-0006-0000-0200-00006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7" authorId="0" shapeId="0" xr:uid="{00000000-0006-0000-0200-00007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7" authorId="0" shapeId="0" xr:uid="{00000000-0006-0000-0200-00007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7" authorId="0" shapeId="0" xr:uid="{00000000-0006-0000-0200-00007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7" authorId="0" shapeId="0" xr:uid="{00000000-0006-0000-0200-00007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7" authorId="0" shapeId="0" xr:uid="{00000000-0006-0000-0200-00007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7" authorId="0" shapeId="0" xr:uid="{00000000-0006-0000-0200-00007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7" authorId="0" shapeId="0" xr:uid="{00000000-0006-0000-0200-00007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7" authorId="0" shapeId="0" xr:uid="{00000000-0006-0000-0200-00007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7" authorId="0" shapeId="0" xr:uid="{00000000-0006-0000-0200-000078110000}">
      <text>
        <r>
          <rPr>
            <sz val="9"/>
            <color indexed="81"/>
            <rFont val="Tahoma"/>
            <charset val="1"/>
          </rPr>
          <t>Stability=3,Expiration=9/25/2018</t>
        </r>
      </text>
    </comment>
    <comment ref="A38" authorId="0" shapeId="0" xr:uid="{00000000-0006-0000-0200-000079110000}">
      <text>
        <r>
          <rPr>
            <sz val="9"/>
            <color indexed="81"/>
            <rFont val="Tahoma"/>
            <charset val="1"/>
          </rPr>
          <t>Date macro run: 4/9/2018 9:26:43 PM</t>
        </r>
      </text>
    </comment>
    <comment ref="B38" authorId="0" shapeId="0" xr:uid="{00000000-0006-0000-0200-00007A110000}">
      <text>
        <r>
          <rPr>
            <sz val="9"/>
            <color indexed="81"/>
            <rFont val="Tahoma"/>
            <charset val="1"/>
          </rPr>
          <t>Stability=22,Expiration=5/9/2019</t>
        </r>
      </text>
    </comment>
    <comment ref="C38" authorId="0" shapeId="0" xr:uid="{00000000-0006-0000-0200-00007B110000}">
      <text>
        <r>
          <rPr>
            <sz val="9"/>
            <color indexed="81"/>
            <rFont val="Tahoma"/>
            <charset val="1"/>
          </rPr>
          <t>Stability=7,Expiration=12/9/2018</t>
        </r>
      </text>
    </comment>
    <comment ref="D38" authorId="0" shapeId="0" xr:uid="{00000000-0006-0000-0200-00007C110000}">
      <text>
        <r>
          <rPr>
            <sz val="9"/>
            <color indexed="81"/>
            <rFont val="Tahoma"/>
            <charset val="1"/>
          </rPr>
          <t>Stability=8,Expiration=11/23/2018</t>
        </r>
      </text>
    </comment>
    <comment ref="E38" authorId="0" shapeId="0" xr:uid="{00000000-0006-0000-0200-00007D11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38" authorId="0" shapeId="0" xr:uid="{00000000-0006-0000-0200-00007E110000}">
      <text>
        <r>
          <rPr>
            <sz val="9"/>
            <color indexed="81"/>
            <rFont val="Tahoma"/>
            <charset val="1"/>
          </rPr>
          <t>Stability=1,Expiration=12/27/2018</t>
        </r>
      </text>
    </comment>
    <comment ref="G38" authorId="0" shapeId="0" xr:uid="{00000000-0006-0000-0200-00007F110000}">
      <text>
        <r>
          <rPr>
            <sz val="9"/>
            <color indexed="81"/>
            <rFont val="Tahoma"/>
            <charset val="1"/>
          </rPr>
          <t>Stability=24,Expiration=10/31/2018</t>
        </r>
      </text>
    </comment>
    <comment ref="H38" authorId="0" shapeId="0" xr:uid="{00000000-0006-0000-0200-000080110000}">
      <text>
        <r>
          <rPr>
            <sz val="9"/>
            <color indexed="81"/>
            <rFont val="Tahoma"/>
            <charset val="1"/>
          </rPr>
          <t>Stability=1,Expiration=4/30/2019</t>
        </r>
      </text>
    </comment>
    <comment ref="I38" authorId="0" shapeId="0" xr:uid="{00000000-0006-0000-0200-000081110000}">
      <text>
        <r>
          <rPr>
            <sz val="9"/>
            <color indexed="81"/>
            <rFont val="Tahoma"/>
            <charset val="1"/>
          </rPr>
          <t>Stability=29,Expiration=7/18/2018</t>
        </r>
      </text>
    </comment>
    <comment ref="J38" authorId="0" shapeId="0" xr:uid="{00000000-0006-0000-0200-000082110000}">
      <text>
        <r>
          <rPr>
            <sz val="9"/>
            <color indexed="81"/>
            <rFont val="Tahoma"/>
            <charset val="1"/>
          </rPr>
          <t>Stability=13,Expiration=7/3/2018</t>
        </r>
      </text>
    </comment>
    <comment ref="K38" authorId="0" shapeId="0" xr:uid="{00000000-0006-0000-0200-00008311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38" authorId="0" shapeId="0" xr:uid="{00000000-0006-0000-0200-000084110000}">
      <text>
        <r>
          <rPr>
            <sz val="9"/>
            <color indexed="81"/>
            <rFont val="Tahoma"/>
            <charset val="1"/>
          </rPr>
          <t>Stability=1,Expiration=4/10/2019</t>
        </r>
      </text>
    </comment>
    <comment ref="M38" authorId="0" shapeId="0" xr:uid="{00000000-0006-0000-0200-000085110000}">
      <text>
        <r>
          <rPr>
            <sz val="9"/>
            <color indexed="81"/>
            <rFont val="Tahoma"/>
            <charset val="1"/>
          </rPr>
          <t>Stability=35,Expiration=4/30/2018</t>
        </r>
      </text>
    </comment>
    <comment ref="N38" authorId="0" shapeId="0" xr:uid="{00000000-0006-0000-0200-000086110000}">
      <text>
        <r>
          <rPr>
            <sz val="9"/>
            <color indexed="81"/>
            <rFont val="Tahoma"/>
            <charset val="1"/>
          </rPr>
          <t>Stability=19,Expiration=11/30/2018</t>
        </r>
      </text>
    </comment>
    <comment ref="O38" authorId="0" shapeId="0" xr:uid="{00000000-0006-0000-0200-00008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8" authorId="0" shapeId="0" xr:uid="{00000000-0006-0000-0200-000088110000}">
      <text>
        <r>
          <rPr>
            <sz val="9"/>
            <color indexed="81"/>
            <rFont val="Tahoma"/>
            <charset val="1"/>
          </rPr>
          <t>Stability=19,Expiration=5/3/2019</t>
        </r>
      </text>
    </comment>
    <comment ref="Q38" authorId="0" shapeId="0" xr:uid="{00000000-0006-0000-0200-000089110000}">
      <text>
        <r>
          <rPr>
            <sz val="9"/>
            <color indexed="81"/>
            <rFont val="Tahoma"/>
            <charset val="1"/>
          </rPr>
          <t>Stability=13,Expiration=5/31/2019</t>
        </r>
      </text>
    </comment>
    <comment ref="R38" authorId="0" shapeId="0" xr:uid="{00000000-0006-0000-0200-00008A110000}">
      <text>
        <r>
          <rPr>
            <sz val="9"/>
            <color indexed="81"/>
            <rFont val="Tahoma"/>
            <charset val="1"/>
          </rPr>
          <t>Stability=28,Expiration=7/14/2018</t>
        </r>
      </text>
    </comment>
    <comment ref="S38" authorId="0" shapeId="0" xr:uid="{00000000-0006-0000-0200-00008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8" authorId="0" shapeId="0" xr:uid="{00000000-0006-0000-0200-00008C110000}">
      <text>
        <r>
          <rPr>
            <sz val="9"/>
            <color indexed="81"/>
            <rFont val="Tahoma"/>
            <charset val="1"/>
          </rPr>
          <t>Stability=22,Expiration=8/14/2018</t>
        </r>
      </text>
    </comment>
    <comment ref="U38" authorId="0" shapeId="0" xr:uid="{00000000-0006-0000-0200-00008D110000}">
      <text>
        <r>
          <rPr>
            <sz val="9"/>
            <color indexed="81"/>
            <rFont val="Tahoma"/>
            <charset val="1"/>
          </rPr>
          <t>Stability=3,Expiration=4/20/2018</t>
        </r>
      </text>
    </comment>
    <comment ref="V38" authorId="0" shapeId="0" xr:uid="{00000000-0006-0000-0200-00008E110000}">
      <text>
        <r>
          <rPr>
            <sz val="9"/>
            <color indexed="81"/>
            <rFont val="Tahoma"/>
            <charset val="1"/>
          </rPr>
          <t>Stability=24,Expiration=10/30/2018</t>
        </r>
      </text>
    </comment>
    <comment ref="W38" authorId="0" shapeId="0" xr:uid="{00000000-0006-0000-0200-00008F110000}">
      <text>
        <r>
          <rPr>
            <sz val="9"/>
            <color indexed="81"/>
            <rFont val="Tahoma"/>
            <charset val="1"/>
          </rPr>
          <t>Stability=24,Expiration=6/30/2019</t>
        </r>
      </text>
    </comment>
    <comment ref="X38" authorId="0" shapeId="0" xr:uid="{00000000-0006-0000-0200-000090110000}">
      <text>
        <r>
          <rPr>
            <sz val="9"/>
            <color indexed="81"/>
            <rFont val="Tahoma"/>
            <charset val="1"/>
          </rPr>
          <t>Stability=20,Expiration=8/19/2018</t>
        </r>
      </text>
    </comment>
    <comment ref="Y38" authorId="0" shapeId="0" xr:uid="{00000000-0006-0000-0200-000091110000}">
      <text>
        <r>
          <rPr>
            <sz val="9"/>
            <color indexed="81"/>
            <rFont val="Tahoma"/>
            <charset val="1"/>
          </rPr>
          <t>Stability=30,Expiration=4/30/2019</t>
        </r>
      </text>
    </comment>
    <comment ref="Z38" authorId="0" shapeId="0" xr:uid="{00000000-0006-0000-0200-000092110000}">
      <text>
        <r>
          <rPr>
            <sz val="9"/>
            <color indexed="81"/>
            <rFont val="Tahoma"/>
            <charset val="1"/>
          </rPr>
          <t>Stability=16,Expiration=12/31/2018</t>
        </r>
      </text>
    </comment>
    <comment ref="AA38" authorId="0" shapeId="0" xr:uid="{00000000-0006-0000-0200-000093110000}">
      <text>
        <r>
          <rPr>
            <sz val="9"/>
            <color indexed="81"/>
            <rFont val="Tahoma"/>
            <charset val="1"/>
          </rPr>
          <t>Stability=10,Expiration=3/14/2019</t>
        </r>
      </text>
    </comment>
    <comment ref="AB38" authorId="0" shapeId="0" xr:uid="{00000000-0006-0000-0200-00009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8" authorId="0" shapeId="0" xr:uid="{00000000-0006-0000-0200-00009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8" authorId="0" shapeId="0" xr:uid="{00000000-0006-0000-0200-00009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8" authorId="0" shapeId="0" xr:uid="{00000000-0006-0000-0200-00009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8" authorId="0" shapeId="0" xr:uid="{00000000-0006-0000-0200-00009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8" authorId="0" shapeId="0" xr:uid="{00000000-0006-0000-0200-00009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8" authorId="0" shapeId="0" xr:uid="{00000000-0006-0000-0200-00009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8" authorId="0" shapeId="0" xr:uid="{00000000-0006-0000-0200-00009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8" authorId="0" shapeId="0" xr:uid="{00000000-0006-0000-0200-00009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8" authorId="0" shapeId="0" xr:uid="{00000000-0006-0000-0200-00009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8" authorId="0" shapeId="0" xr:uid="{00000000-0006-0000-0200-00009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8" authorId="0" shapeId="0" xr:uid="{00000000-0006-0000-0200-00009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8" authorId="0" shapeId="0" xr:uid="{00000000-0006-0000-0200-0000A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8" authorId="0" shapeId="0" xr:uid="{00000000-0006-0000-0200-0000A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8" authorId="0" shapeId="0" xr:uid="{00000000-0006-0000-0200-0000A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8" authorId="0" shapeId="0" xr:uid="{00000000-0006-0000-0200-0000A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8" authorId="0" shapeId="0" xr:uid="{00000000-0006-0000-0200-0000A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8" authorId="0" shapeId="0" xr:uid="{00000000-0006-0000-0200-0000A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8" authorId="0" shapeId="0" xr:uid="{00000000-0006-0000-0200-0000A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8" authorId="0" shapeId="0" xr:uid="{00000000-0006-0000-0200-0000A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8" authorId="0" shapeId="0" xr:uid="{00000000-0006-0000-0200-0000A8110000}">
      <text>
        <r>
          <rPr>
            <sz val="9"/>
            <color indexed="81"/>
            <rFont val="Tahoma"/>
            <charset val="1"/>
          </rPr>
          <t>Stability=29,Expiration=9/25/2018</t>
        </r>
      </text>
    </comment>
    <comment ref="A39" authorId="0" shapeId="0" xr:uid="{00000000-0006-0000-0200-0000A9110000}">
      <text>
        <r>
          <rPr>
            <sz val="9"/>
            <color indexed="81"/>
            <rFont val="Tahoma"/>
            <charset val="1"/>
          </rPr>
          <t>Date macro run: 4/11/2018 8:20:04 PM</t>
        </r>
      </text>
    </comment>
    <comment ref="B39" authorId="0" shapeId="0" xr:uid="{00000000-0006-0000-0200-0000AA110000}">
      <text>
        <r>
          <rPr>
            <sz val="9"/>
            <color indexed="81"/>
            <rFont val="Tahoma"/>
            <charset val="1"/>
          </rPr>
          <t>Stability=20,Expiration=5/9/2019</t>
        </r>
      </text>
    </comment>
    <comment ref="C39" authorId="0" shapeId="0" xr:uid="{00000000-0006-0000-0200-0000AB11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39" authorId="0" shapeId="0" xr:uid="{00000000-0006-0000-0200-0000AC11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39" authorId="0" shapeId="0" xr:uid="{00000000-0006-0000-0200-0000AD11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39" authorId="0" shapeId="0" xr:uid="{00000000-0006-0000-0200-0000AE110000}">
      <text>
        <r>
          <rPr>
            <sz val="9"/>
            <color indexed="81"/>
            <rFont val="Tahoma"/>
            <charset val="1"/>
          </rPr>
          <t>Stability=28,Expiration=12/27/2018</t>
        </r>
      </text>
    </comment>
    <comment ref="G39" authorId="0" shapeId="0" xr:uid="{00000000-0006-0000-0200-0000AF110000}">
      <text>
        <r>
          <rPr>
            <sz val="9"/>
            <color indexed="81"/>
            <rFont val="Tahoma"/>
            <charset val="1"/>
          </rPr>
          <t>Stability=23,Expiration=10/31/2018</t>
        </r>
      </text>
    </comment>
    <comment ref="H39" authorId="0" shapeId="0" xr:uid="{00000000-0006-0000-0200-0000B0110000}">
      <text>
        <r>
          <rPr>
            <sz val="9"/>
            <color indexed="81"/>
            <rFont val="Tahoma"/>
            <charset val="1"/>
          </rPr>
          <t>Stability=19,Expiration=4/30/2019</t>
        </r>
      </text>
    </comment>
    <comment ref="I39" authorId="0" shapeId="0" xr:uid="{00000000-0006-0000-0200-0000B1110000}">
      <text>
        <r>
          <rPr>
            <sz val="9"/>
            <color indexed="81"/>
            <rFont val="Tahoma"/>
            <charset val="1"/>
          </rPr>
          <t>Stability=27,Expiration=7/18/2018</t>
        </r>
      </text>
    </comment>
    <comment ref="J39" authorId="0" shapeId="0" xr:uid="{00000000-0006-0000-0200-0000B2110000}">
      <text>
        <r>
          <rPr>
            <sz val="9"/>
            <color indexed="81"/>
            <rFont val="Tahoma"/>
            <charset val="1"/>
          </rPr>
          <t>Stability=11,Expiration=7/3/2018</t>
        </r>
      </text>
    </comment>
    <comment ref="K39" authorId="0" shapeId="0" xr:uid="{00000000-0006-0000-0200-0000B311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39" authorId="0" shapeId="0" xr:uid="{00000000-0006-0000-0200-0000B411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39" authorId="0" shapeId="0" xr:uid="{00000000-0006-0000-0200-0000B5110000}">
      <text>
        <r>
          <rPr>
            <sz val="9"/>
            <color indexed="81"/>
            <rFont val="Tahoma"/>
            <charset val="1"/>
          </rPr>
          <t>Stability=34,Expiration=4/30/2018</t>
        </r>
      </text>
    </comment>
    <comment ref="N39" authorId="0" shapeId="0" xr:uid="{00000000-0006-0000-0200-0000B611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39" authorId="0" shapeId="0" xr:uid="{00000000-0006-0000-0200-0000B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39" authorId="0" shapeId="0" xr:uid="{00000000-0006-0000-0200-0000B8110000}">
      <text>
        <r>
          <rPr>
            <sz val="9"/>
            <color indexed="81"/>
            <rFont val="Tahoma"/>
            <charset val="1"/>
          </rPr>
          <t>Stability=17,Expiration=5/3/2019</t>
        </r>
      </text>
    </comment>
    <comment ref="Q39" authorId="0" shapeId="0" xr:uid="{00000000-0006-0000-0200-0000B9110000}">
      <text>
        <r>
          <rPr>
            <sz val="9"/>
            <color indexed="81"/>
            <rFont val="Tahoma"/>
            <charset val="1"/>
          </rPr>
          <t>Stability=11,Expiration=5/31/2019</t>
        </r>
      </text>
    </comment>
    <comment ref="R39" authorId="0" shapeId="0" xr:uid="{00000000-0006-0000-0200-0000BA110000}">
      <text>
        <r>
          <rPr>
            <sz val="9"/>
            <color indexed="81"/>
            <rFont val="Tahoma"/>
            <charset val="1"/>
          </rPr>
          <t>Stability=26,Expiration=7/14/2018</t>
        </r>
      </text>
    </comment>
    <comment ref="S39" authorId="0" shapeId="0" xr:uid="{00000000-0006-0000-0200-0000B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9" authorId="0" shapeId="0" xr:uid="{00000000-0006-0000-0200-0000BC110000}">
      <text>
        <r>
          <rPr>
            <sz val="9"/>
            <color indexed="81"/>
            <rFont val="Tahoma"/>
            <charset val="1"/>
          </rPr>
          <t>Stability=20,Expiration=8/14/2018</t>
        </r>
      </text>
    </comment>
    <comment ref="U39" authorId="0" shapeId="0" xr:uid="{00000000-0006-0000-0200-0000BD110000}">
      <text>
        <r>
          <rPr>
            <sz val="9"/>
            <color indexed="81"/>
            <rFont val="Tahoma"/>
            <charset val="1"/>
          </rPr>
          <t>Stability=1,Expiration=4/20/2018</t>
        </r>
      </text>
    </comment>
    <comment ref="V39" authorId="0" shapeId="0" xr:uid="{00000000-0006-0000-0200-0000BE110000}">
      <text>
        <r>
          <rPr>
            <sz val="9"/>
            <color indexed="81"/>
            <rFont val="Tahoma"/>
            <charset val="1"/>
          </rPr>
          <t>Stability=22,Expiration=10/30/2018</t>
        </r>
      </text>
    </comment>
    <comment ref="W39" authorId="0" shapeId="0" xr:uid="{00000000-0006-0000-0200-0000BF110000}">
      <text>
        <r>
          <rPr>
            <sz val="9"/>
            <color indexed="81"/>
            <rFont val="Tahoma"/>
            <charset val="1"/>
          </rPr>
          <t>Stability=22,Expiration=6/30/2019</t>
        </r>
      </text>
    </comment>
    <comment ref="X39" authorId="0" shapeId="0" xr:uid="{00000000-0006-0000-0200-0000C0110000}">
      <text>
        <r>
          <rPr>
            <sz val="9"/>
            <color indexed="81"/>
            <rFont val="Tahoma"/>
            <charset val="1"/>
          </rPr>
          <t>Stability=18,Expiration=8/19/2018</t>
        </r>
      </text>
    </comment>
    <comment ref="Y39" authorId="0" shapeId="0" xr:uid="{00000000-0006-0000-0200-0000C1110000}">
      <text>
        <r>
          <rPr>
            <sz val="9"/>
            <color indexed="81"/>
            <rFont val="Tahoma"/>
            <charset val="1"/>
          </rPr>
          <t>Stability=28,Expiration=4/30/2019</t>
        </r>
      </text>
    </comment>
    <comment ref="Z39" authorId="0" shapeId="0" xr:uid="{00000000-0006-0000-0200-0000C211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AA39" authorId="0" shapeId="0" xr:uid="{00000000-0006-0000-0200-0000C3110000}">
      <text>
        <r>
          <rPr>
            <sz val="9"/>
            <color indexed="81"/>
            <rFont val="Tahoma"/>
            <charset val="1"/>
          </rPr>
          <t>Stability=8,Expiration=3/14/2019</t>
        </r>
      </text>
    </comment>
    <comment ref="AB39" authorId="0" shapeId="0" xr:uid="{00000000-0006-0000-0200-0000C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9" authorId="0" shapeId="0" xr:uid="{00000000-0006-0000-0200-0000C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9" authorId="0" shapeId="0" xr:uid="{00000000-0006-0000-0200-0000C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9" authorId="0" shapeId="0" xr:uid="{00000000-0006-0000-0200-0000C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9" authorId="0" shapeId="0" xr:uid="{00000000-0006-0000-0200-0000C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9" authorId="0" shapeId="0" xr:uid="{00000000-0006-0000-0200-0000C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9" authorId="0" shapeId="0" xr:uid="{00000000-0006-0000-0200-0000C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9" authorId="0" shapeId="0" xr:uid="{00000000-0006-0000-0200-0000C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9" authorId="0" shapeId="0" xr:uid="{00000000-0006-0000-0200-0000C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9" authorId="0" shapeId="0" xr:uid="{00000000-0006-0000-0200-0000C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9" authorId="0" shapeId="0" xr:uid="{00000000-0006-0000-0200-0000C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9" authorId="0" shapeId="0" xr:uid="{00000000-0006-0000-0200-0000C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9" authorId="0" shapeId="0" xr:uid="{00000000-0006-0000-0200-0000D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9" authorId="0" shapeId="0" xr:uid="{00000000-0006-0000-0200-0000D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9" authorId="0" shapeId="0" xr:uid="{00000000-0006-0000-0200-0000D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9" authorId="0" shapeId="0" xr:uid="{00000000-0006-0000-0200-0000D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9" authorId="0" shapeId="0" xr:uid="{00000000-0006-0000-0200-0000D411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39" authorId="0" shapeId="0" xr:uid="{00000000-0006-0000-0200-0000D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9" authorId="0" shapeId="0" xr:uid="{00000000-0006-0000-0200-0000D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9" authorId="0" shapeId="0" xr:uid="{00000000-0006-0000-0200-0000D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9" authorId="0" shapeId="0" xr:uid="{00000000-0006-0000-0200-0000D811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40" authorId="0" shapeId="0" xr:uid="{00000000-0006-0000-0200-0000D9110000}">
      <text>
        <r>
          <rPr>
            <sz val="9"/>
            <color indexed="81"/>
            <rFont val="Tahoma"/>
            <charset val="1"/>
          </rPr>
          <t>Date macro run: 4/12/2018 8:19:05 PM</t>
        </r>
      </text>
    </comment>
    <comment ref="B40" authorId="0" shapeId="0" xr:uid="{00000000-0006-0000-0200-0000DA110000}">
      <text>
        <r>
          <rPr>
            <sz val="9"/>
            <color indexed="81"/>
            <rFont val="Tahoma"/>
            <charset val="1"/>
          </rPr>
          <t>Stability=19,Expiration=5/9/2019</t>
        </r>
      </text>
    </comment>
    <comment ref="C40" authorId="0" shapeId="0" xr:uid="{00000000-0006-0000-0200-0000DB110000}">
      <text>
        <r>
          <rPr>
            <sz val="9"/>
            <color indexed="81"/>
            <rFont val="Tahoma"/>
            <charset val="1"/>
          </rPr>
          <t>Stability=4,Expiration=12/9/2018</t>
        </r>
      </text>
    </comment>
    <comment ref="D40" authorId="0" shapeId="0" xr:uid="{00000000-0006-0000-0200-0000DC110000}">
      <text>
        <r>
          <rPr>
            <sz val="9"/>
            <color indexed="81"/>
            <rFont val="Tahoma"/>
            <charset val="1"/>
          </rPr>
          <t>Stability=6,Expiration=11/23/2018</t>
        </r>
      </text>
    </comment>
    <comment ref="E40" authorId="0" shapeId="0" xr:uid="{00000000-0006-0000-0200-0000DD110000}">
      <text>
        <r>
          <rPr>
            <sz val="9"/>
            <color indexed="81"/>
            <rFont val="Tahoma"/>
            <charset val="1"/>
          </rPr>
          <t>Stability=11,Expiration=12/31/2018</t>
        </r>
      </text>
    </comment>
    <comment ref="F40" authorId="0" shapeId="0" xr:uid="{00000000-0006-0000-0200-0000DE110000}">
      <text>
        <r>
          <rPr>
            <sz val="9"/>
            <color indexed="81"/>
            <rFont val="Tahoma"/>
            <charset val="1"/>
          </rPr>
          <t>Stability=27,Expiration=12/27/2018</t>
        </r>
      </text>
    </comment>
    <comment ref="G40" authorId="0" shapeId="0" xr:uid="{00000000-0006-0000-0200-0000DF110000}">
      <text>
        <r>
          <rPr>
            <sz val="9"/>
            <color indexed="81"/>
            <rFont val="Tahoma"/>
            <charset val="1"/>
          </rPr>
          <t>Stability=22,Expiration=10/31/2018</t>
        </r>
      </text>
    </comment>
    <comment ref="H40" authorId="0" shapeId="0" xr:uid="{00000000-0006-0000-0200-0000E0110000}">
      <text>
        <r>
          <rPr>
            <sz val="9"/>
            <color indexed="81"/>
            <rFont val="Tahoma"/>
            <charset val="1"/>
          </rPr>
          <t>Stability=18,Expiration=4/30/2019</t>
        </r>
      </text>
    </comment>
    <comment ref="I40" authorId="0" shapeId="0" xr:uid="{00000000-0006-0000-0200-0000E1110000}">
      <text>
        <r>
          <rPr>
            <sz val="9"/>
            <color indexed="81"/>
            <rFont val="Tahoma"/>
            <charset val="1"/>
          </rPr>
          <t>Stability=26,Expiration=7/18/2018</t>
        </r>
      </text>
    </comment>
    <comment ref="J40" authorId="0" shapeId="0" xr:uid="{00000000-0006-0000-0200-0000E2110000}">
      <text>
        <r>
          <rPr>
            <sz val="9"/>
            <color indexed="81"/>
            <rFont val="Tahoma"/>
            <charset val="1"/>
          </rPr>
          <t>Stability=10,Expiration=7/3/2018</t>
        </r>
      </text>
    </comment>
    <comment ref="K40" authorId="0" shapeId="0" xr:uid="{00000000-0006-0000-0200-0000E311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40" authorId="0" shapeId="0" xr:uid="{00000000-0006-0000-0200-0000E411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40" authorId="0" shapeId="0" xr:uid="{00000000-0006-0000-0200-0000E5110000}">
      <text>
        <r>
          <rPr>
            <sz val="9"/>
            <color indexed="81"/>
            <rFont val="Tahoma"/>
            <charset val="1"/>
          </rPr>
          <t>Stability=33,Expiration=4/30/2018</t>
        </r>
      </text>
    </comment>
    <comment ref="N40" authorId="0" shapeId="0" xr:uid="{00000000-0006-0000-0200-0000E6110000}">
      <text>
        <r>
          <rPr>
            <sz val="9"/>
            <color indexed="81"/>
            <rFont val="Tahoma"/>
            <charset val="1"/>
          </rPr>
          <t>Stability=16,Expiration=11/30/2018</t>
        </r>
      </text>
    </comment>
    <comment ref="O40" authorId="0" shapeId="0" xr:uid="{00000000-0006-0000-0200-0000E7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0" authorId="0" shapeId="0" xr:uid="{00000000-0006-0000-0200-0000E8110000}">
      <text>
        <r>
          <rPr>
            <sz val="9"/>
            <color indexed="81"/>
            <rFont val="Tahoma"/>
            <charset val="1"/>
          </rPr>
          <t>Stability=16,Expiration=1/29/2020</t>
        </r>
      </text>
    </comment>
    <comment ref="Q40" authorId="0" shapeId="0" xr:uid="{00000000-0006-0000-0200-0000E9110000}">
      <text>
        <r>
          <rPr>
            <sz val="9"/>
            <color indexed="81"/>
            <rFont val="Tahoma"/>
            <charset val="1"/>
          </rPr>
          <t>Stability=10,Expiration=5/31/2019</t>
        </r>
      </text>
    </comment>
    <comment ref="R40" authorId="0" shapeId="0" xr:uid="{00000000-0006-0000-0200-0000EA110000}">
      <text>
        <r>
          <rPr>
            <sz val="9"/>
            <color indexed="81"/>
            <rFont val="Tahoma"/>
            <charset val="1"/>
          </rPr>
          <t>Stability=25,Expiration=7/14/2018</t>
        </r>
      </text>
    </comment>
    <comment ref="S40" authorId="0" shapeId="0" xr:uid="{00000000-0006-0000-0200-0000E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0" authorId="0" shapeId="0" xr:uid="{00000000-0006-0000-0200-0000EC110000}">
      <text>
        <r>
          <rPr>
            <sz val="9"/>
            <color indexed="81"/>
            <rFont val="Tahoma"/>
            <charset val="1"/>
          </rPr>
          <t>Stability=19,Expiration=8/14/2018</t>
        </r>
      </text>
    </comment>
    <comment ref="U40" authorId="0" shapeId="0" xr:uid="{00000000-0006-0000-0200-0000ED110000}">
      <text>
        <r>
          <rPr>
            <sz val="9"/>
            <color indexed="81"/>
            <rFont val="Tahoma"/>
            <charset val="1"/>
          </rPr>
          <t>Stability=24,Expiration=4/20/2018</t>
        </r>
      </text>
    </comment>
    <comment ref="V40" authorId="0" shapeId="0" xr:uid="{00000000-0006-0000-0200-0000EE110000}">
      <text>
        <r>
          <rPr>
            <sz val="9"/>
            <color indexed="81"/>
            <rFont val="Tahoma"/>
            <charset val="1"/>
          </rPr>
          <t>Stability=21,Expiration=10/30/2018</t>
        </r>
      </text>
    </comment>
    <comment ref="W40" authorId="0" shapeId="0" xr:uid="{00000000-0006-0000-0200-0000EF110000}">
      <text>
        <r>
          <rPr>
            <sz val="9"/>
            <color indexed="81"/>
            <rFont val="Tahoma"/>
            <charset val="1"/>
          </rPr>
          <t>Stability=21,Expiration=6/30/2019</t>
        </r>
      </text>
    </comment>
    <comment ref="X40" authorId="0" shapeId="0" xr:uid="{00000000-0006-0000-0200-0000F0110000}">
      <text>
        <r>
          <rPr>
            <sz val="9"/>
            <color indexed="81"/>
            <rFont val="Tahoma"/>
            <charset val="1"/>
          </rPr>
          <t>Stability=17,Expiration=8/19/2018</t>
        </r>
      </text>
    </comment>
    <comment ref="Y40" authorId="0" shapeId="0" xr:uid="{00000000-0006-0000-0200-0000F1110000}">
      <text>
        <r>
          <rPr>
            <sz val="9"/>
            <color indexed="81"/>
            <rFont val="Tahoma"/>
            <charset val="1"/>
          </rPr>
          <t>Stability=27,Expiration=4/30/2019</t>
        </r>
      </text>
    </comment>
    <comment ref="Z40" authorId="0" shapeId="0" xr:uid="{00000000-0006-0000-0200-0000F211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AA40" authorId="0" shapeId="0" xr:uid="{00000000-0006-0000-0200-0000F3110000}">
      <text>
        <r>
          <rPr>
            <sz val="9"/>
            <color indexed="81"/>
            <rFont val="Tahoma"/>
            <charset val="1"/>
          </rPr>
          <t>Stability=7,Expiration=3/14/2019</t>
        </r>
      </text>
    </comment>
    <comment ref="AB40" authorId="0" shapeId="0" xr:uid="{00000000-0006-0000-0200-0000F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0" authorId="0" shapeId="0" xr:uid="{00000000-0006-0000-0200-0000F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0" authorId="0" shapeId="0" xr:uid="{00000000-0006-0000-0200-0000F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0" authorId="0" shapeId="0" xr:uid="{00000000-0006-0000-0200-0000F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0" authorId="0" shapeId="0" xr:uid="{00000000-0006-0000-0200-0000F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0" authorId="0" shapeId="0" xr:uid="{00000000-0006-0000-0200-0000F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0" authorId="0" shapeId="0" xr:uid="{00000000-0006-0000-0200-0000F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0" authorId="0" shapeId="0" xr:uid="{00000000-0006-0000-0200-0000F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0" authorId="0" shapeId="0" xr:uid="{00000000-0006-0000-0200-0000F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0" authorId="0" shapeId="0" xr:uid="{00000000-0006-0000-0200-0000F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0" authorId="0" shapeId="0" xr:uid="{00000000-0006-0000-0200-0000F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0" authorId="0" shapeId="0" xr:uid="{00000000-0006-0000-0200-0000F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0" authorId="0" shapeId="0" xr:uid="{00000000-0006-0000-0200-00000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0" authorId="0" shapeId="0" xr:uid="{00000000-0006-0000-0200-00000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0" authorId="0" shapeId="0" xr:uid="{00000000-0006-0000-0200-00000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0" authorId="0" shapeId="0" xr:uid="{00000000-0006-0000-0200-00000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0" authorId="0" shapeId="0" xr:uid="{00000000-0006-0000-0200-00000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0" authorId="0" shapeId="0" xr:uid="{00000000-0006-0000-0200-00000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0" authorId="0" shapeId="0" xr:uid="{00000000-0006-0000-0200-00000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0" authorId="0" shapeId="0" xr:uid="{00000000-0006-0000-0200-00000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0" authorId="0" shapeId="0" xr:uid="{00000000-0006-0000-0200-00000812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41" authorId="0" shapeId="0" xr:uid="{00000000-0006-0000-0200-000009120000}">
      <text>
        <r>
          <rPr>
            <sz val="9"/>
            <color indexed="81"/>
            <rFont val="Tahoma"/>
            <charset val="1"/>
          </rPr>
          <t>Date macro run: 4/16/2018 8:49:36 PM</t>
        </r>
      </text>
    </comment>
    <comment ref="B41" authorId="0" shapeId="0" xr:uid="{00000000-0006-0000-0200-00000A120000}">
      <text>
        <r>
          <rPr>
            <sz val="9"/>
            <color indexed="81"/>
            <rFont val="Tahoma"/>
            <charset val="1"/>
          </rPr>
          <t>Stability=15,Expiration=5/9/2019</t>
        </r>
      </text>
    </comment>
    <comment ref="C41" authorId="0" shapeId="0" xr:uid="{00000000-0006-0000-0200-00000B120000}">
      <text>
        <r>
          <rPr>
            <sz val="9"/>
            <color indexed="81"/>
            <rFont val="Tahoma"/>
            <charset val="1"/>
          </rPr>
          <t>Stability=8,Expiration=12/9/2018</t>
        </r>
      </text>
    </comment>
    <comment ref="D41" authorId="0" shapeId="0" xr:uid="{00000000-0006-0000-0200-00000C120000}">
      <text>
        <r>
          <rPr>
            <sz val="9"/>
            <color indexed="81"/>
            <rFont val="Tahoma"/>
            <charset val="1"/>
          </rPr>
          <t>Stability=2,Expiration=11/23/2018</t>
        </r>
      </text>
    </comment>
    <comment ref="E41" authorId="0" shapeId="0" xr:uid="{00000000-0006-0000-0200-00000D12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41" authorId="0" shapeId="0" xr:uid="{00000000-0006-0000-0200-00000E120000}">
      <text>
        <r>
          <rPr>
            <sz val="9"/>
            <color indexed="81"/>
            <rFont val="Tahoma"/>
            <charset val="1"/>
          </rPr>
          <t>Stability=23,Expiration=12/27/2018</t>
        </r>
      </text>
    </comment>
    <comment ref="G41" authorId="0" shapeId="0" xr:uid="{00000000-0006-0000-0200-00000F120000}">
      <text>
        <r>
          <rPr>
            <sz val="9"/>
            <color indexed="81"/>
            <rFont val="Tahoma"/>
            <charset val="1"/>
          </rPr>
          <t>Stability=18,Expiration=10/31/2018</t>
        </r>
      </text>
    </comment>
    <comment ref="H41" authorId="0" shapeId="0" xr:uid="{00000000-0006-0000-0200-00001012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I41" authorId="0" shapeId="0" xr:uid="{00000000-0006-0000-0200-00001112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41" authorId="0" shapeId="0" xr:uid="{00000000-0006-0000-0200-000012120000}">
      <text>
        <r>
          <rPr>
            <sz val="9"/>
            <color indexed="81"/>
            <rFont val="Tahoma"/>
            <charset val="1"/>
          </rPr>
          <t>Stability=6,Expiration=7/3/2018</t>
        </r>
      </text>
    </comment>
    <comment ref="K41" authorId="0" shapeId="0" xr:uid="{00000000-0006-0000-0200-00001312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41" authorId="0" shapeId="0" xr:uid="{00000000-0006-0000-0200-00001412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41" authorId="0" shapeId="0" xr:uid="{00000000-0006-0000-0200-000015120000}">
      <text>
        <r>
          <rPr>
            <sz val="9"/>
            <color indexed="81"/>
            <rFont val="Tahoma"/>
            <charset val="1"/>
          </rPr>
          <t>Stability=29,Expiration=4/30/2018</t>
        </r>
      </text>
    </comment>
    <comment ref="N41" authorId="0" shapeId="0" xr:uid="{00000000-0006-0000-0200-00001612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O41" authorId="0" shapeId="0" xr:uid="{00000000-0006-0000-0200-00001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1" authorId="0" shapeId="0" xr:uid="{00000000-0006-0000-0200-000018120000}">
      <text>
        <r>
          <rPr>
            <sz val="9"/>
            <color indexed="81"/>
            <rFont val="Tahoma"/>
            <charset val="1"/>
          </rPr>
          <t>Stability=12,Expiration=1/29/2020</t>
        </r>
      </text>
    </comment>
    <comment ref="Q41" authorId="0" shapeId="0" xr:uid="{00000000-0006-0000-0200-000019120000}">
      <text>
        <r>
          <rPr>
            <sz val="9"/>
            <color indexed="81"/>
            <rFont val="Tahoma"/>
            <charset val="1"/>
          </rPr>
          <t>Stability=6,Expiration=5/31/2019</t>
        </r>
      </text>
    </comment>
    <comment ref="R41" authorId="0" shapeId="0" xr:uid="{00000000-0006-0000-0200-00001A120000}">
      <text>
        <r>
          <rPr>
            <sz val="9"/>
            <color indexed="81"/>
            <rFont val="Tahoma"/>
            <charset val="1"/>
          </rPr>
          <t>Stability=21,Expiration=7/14/2018</t>
        </r>
      </text>
    </comment>
    <comment ref="S41" authorId="0" shapeId="0" xr:uid="{00000000-0006-0000-0200-00001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1" authorId="0" shapeId="0" xr:uid="{00000000-0006-0000-0200-00001C120000}">
      <text>
        <r>
          <rPr>
            <sz val="9"/>
            <color indexed="81"/>
            <rFont val="Tahoma"/>
            <charset val="1"/>
          </rPr>
          <t>Stability=15,Expiration=8/14/2018</t>
        </r>
      </text>
    </comment>
    <comment ref="U41" authorId="0" shapeId="0" xr:uid="{00000000-0006-0000-0200-00001D120000}">
      <text>
        <r>
          <rPr>
            <sz val="9"/>
            <color indexed="81"/>
            <rFont val="Tahoma"/>
            <charset val="1"/>
          </rPr>
          <t>Stability=20,Expiration=4/20/2018</t>
        </r>
      </text>
    </comment>
    <comment ref="V41" authorId="0" shapeId="0" xr:uid="{00000000-0006-0000-0200-00001E120000}">
      <text>
        <r>
          <rPr>
            <sz val="9"/>
            <color indexed="81"/>
            <rFont val="Tahoma"/>
            <charset val="1"/>
          </rPr>
          <t>Stability=17,Expiration=10/30/2018</t>
        </r>
      </text>
    </comment>
    <comment ref="W41" authorId="0" shapeId="0" xr:uid="{00000000-0006-0000-0200-00001F120000}">
      <text>
        <r>
          <rPr>
            <sz val="9"/>
            <color indexed="81"/>
            <rFont val="Tahoma"/>
            <charset val="1"/>
          </rPr>
          <t>Stability=17,Expiration=6/30/2019</t>
        </r>
      </text>
    </comment>
    <comment ref="X41" authorId="0" shapeId="0" xr:uid="{00000000-0006-0000-0200-000020120000}">
      <text>
        <r>
          <rPr>
            <sz val="9"/>
            <color indexed="81"/>
            <rFont val="Tahoma"/>
            <charset val="1"/>
          </rPr>
          <t>Stability=13,Expiration=8/19/2018</t>
        </r>
      </text>
    </comment>
    <comment ref="Y41" authorId="0" shapeId="0" xr:uid="{00000000-0006-0000-0200-000021120000}">
      <text>
        <r>
          <rPr>
            <sz val="9"/>
            <color indexed="81"/>
            <rFont val="Tahoma"/>
            <charset val="1"/>
          </rPr>
          <t>Stability=23,Expiration=4/30/2019</t>
        </r>
      </text>
    </comment>
    <comment ref="Z41" authorId="0" shapeId="0" xr:uid="{00000000-0006-0000-0200-00002212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AA41" authorId="0" shapeId="0" xr:uid="{00000000-0006-0000-0200-000023120000}">
      <text>
        <r>
          <rPr>
            <sz val="9"/>
            <color indexed="81"/>
            <rFont val="Tahoma"/>
            <charset val="1"/>
          </rPr>
          <t>Stability=3,Expiration=3/14/2019</t>
        </r>
      </text>
    </comment>
    <comment ref="AB41" authorId="0" shapeId="0" xr:uid="{00000000-0006-0000-0200-00002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1" authorId="0" shapeId="0" xr:uid="{00000000-0006-0000-0200-00002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1" authorId="0" shapeId="0" xr:uid="{00000000-0006-0000-0200-00002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1" authorId="0" shapeId="0" xr:uid="{00000000-0006-0000-0200-00002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1" authorId="0" shapeId="0" xr:uid="{00000000-0006-0000-0200-00002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1" authorId="0" shapeId="0" xr:uid="{00000000-0006-0000-0200-00002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1" authorId="0" shapeId="0" xr:uid="{00000000-0006-0000-0200-00002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1" authorId="0" shapeId="0" xr:uid="{00000000-0006-0000-0200-00002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1" authorId="0" shapeId="0" xr:uid="{00000000-0006-0000-0200-00002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1" authorId="0" shapeId="0" xr:uid="{00000000-0006-0000-0200-00002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1" authorId="0" shapeId="0" xr:uid="{00000000-0006-0000-0200-00002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1" authorId="0" shapeId="0" xr:uid="{00000000-0006-0000-0200-00002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1" authorId="0" shapeId="0" xr:uid="{00000000-0006-0000-0200-00003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1" authorId="0" shapeId="0" xr:uid="{00000000-0006-0000-0200-00003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1" authorId="0" shapeId="0" xr:uid="{00000000-0006-0000-0200-00003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1" authorId="0" shapeId="0" xr:uid="{00000000-0006-0000-0200-00003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1" authorId="0" shapeId="0" xr:uid="{00000000-0006-0000-0200-00003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1" authorId="0" shapeId="0" xr:uid="{00000000-0006-0000-0200-00003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1" authorId="0" shapeId="0" xr:uid="{00000000-0006-0000-0200-00003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1" authorId="0" shapeId="0" xr:uid="{00000000-0006-0000-0200-00003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1" authorId="0" shapeId="0" xr:uid="{00000000-0006-0000-0200-000038120000}">
      <text>
        <r>
          <rPr>
            <sz val="9"/>
            <color indexed="81"/>
            <rFont val="Tahoma"/>
            <charset val="1"/>
          </rPr>
          <t>Stability=22,Expiration=9/25/2018</t>
        </r>
      </text>
    </comment>
    <comment ref="A42" authorId="0" shapeId="0" xr:uid="{00000000-0006-0000-0200-000039120000}">
      <text>
        <r>
          <rPr>
            <sz val="9"/>
            <color indexed="81"/>
            <rFont val="Tahoma"/>
            <charset val="1"/>
          </rPr>
          <t>Date macro run: 4/18/2018 10:04:20 PM</t>
        </r>
      </text>
    </comment>
    <comment ref="B42" authorId="0" shapeId="0" xr:uid="{00000000-0006-0000-0200-00003A120000}">
      <text>
        <r>
          <rPr>
            <sz val="9"/>
            <color indexed="81"/>
            <rFont val="Tahoma"/>
            <charset val="1"/>
          </rPr>
          <t>Stability=13,Expiration=5/9/2019</t>
        </r>
      </text>
    </comment>
    <comment ref="C42" authorId="0" shapeId="0" xr:uid="{00000000-0006-0000-0200-00003B12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42" authorId="0" shapeId="0" xr:uid="{00000000-0006-0000-0200-00003C120000}">
      <text>
        <r>
          <rPr>
            <sz val="9"/>
            <color indexed="81"/>
            <rFont val="Tahoma"/>
            <charset val="1"/>
          </rPr>
          <t>Stability=26,Expiration=11/23/2018</t>
        </r>
      </text>
    </comment>
    <comment ref="E42" authorId="0" shapeId="0" xr:uid="{00000000-0006-0000-0200-00003D12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42" authorId="0" shapeId="0" xr:uid="{00000000-0006-0000-0200-00003E120000}">
      <text>
        <r>
          <rPr>
            <sz val="9"/>
            <color indexed="81"/>
            <rFont val="Tahoma"/>
            <charset val="1"/>
          </rPr>
          <t>Stability=21,Expiration=12/27/2018</t>
        </r>
      </text>
    </comment>
    <comment ref="G42" authorId="0" shapeId="0" xr:uid="{00000000-0006-0000-0200-00003F12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H42" authorId="0" shapeId="0" xr:uid="{00000000-0006-0000-0200-00004012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I42" authorId="0" shapeId="0" xr:uid="{00000000-0006-0000-0200-000041120000}">
      <text>
        <r>
          <rPr>
            <sz val="9"/>
            <color indexed="81"/>
            <rFont val="Tahoma"/>
            <charset val="1"/>
          </rPr>
          <t>Stability=20,Expiration=7/18/2018</t>
        </r>
      </text>
    </comment>
    <comment ref="J42" authorId="0" shapeId="0" xr:uid="{00000000-0006-0000-0200-000042120000}">
      <text>
        <r>
          <rPr>
            <sz val="9"/>
            <color indexed="81"/>
            <rFont val="Tahoma"/>
            <charset val="1"/>
          </rPr>
          <t>Stability=4,Expiration=7/3/2018</t>
        </r>
      </text>
    </comment>
    <comment ref="K42" authorId="0" shapeId="0" xr:uid="{00000000-0006-0000-0200-000043120000}">
      <text>
        <r>
          <rPr>
            <sz val="9"/>
            <color indexed="81"/>
            <rFont val="Tahoma"/>
            <charset val="1"/>
          </rPr>
          <t>Stability=4,Expiration=7/31/2018</t>
        </r>
      </text>
    </comment>
    <comment ref="L42" authorId="0" shapeId="0" xr:uid="{00000000-0006-0000-0200-00004412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42" authorId="0" shapeId="0" xr:uid="{00000000-0006-0000-0200-000045120000}">
      <text>
        <r>
          <rPr>
            <sz val="9"/>
            <color indexed="81"/>
            <rFont val="Tahoma"/>
            <charset val="1"/>
          </rPr>
          <t>Stability=26,Expiration=4/30/2018</t>
        </r>
      </text>
    </comment>
    <comment ref="N42" authorId="0" shapeId="0" xr:uid="{00000000-0006-0000-0200-000046120000}">
      <text>
        <r>
          <rPr>
            <sz val="9"/>
            <color indexed="81"/>
            <rFont val="Tahoma"/>
            <charset val="1"/>
          </rPr>
          <t>Stability=26,Expiration=11/30/2018</t>
        </r>
      </text>
    </comment>
    <comment ref="O42" authorId="0" shapeId="0" xr:uid="{00000000-0006-0000-0200-00004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2" authorId="0" shapeId="0" xr:uid="{00000000-0006-0000-0200-000048120000}">
      <text>
        <r>
          <rPr>
            <sz val="9"/>
            <color indexed="81"/>
            <rFont val="Tahoma"/>
            <charset val="1"/>
          </rPr>
          <t>Stability=10,Expiration=1/29/2020</t>
        </r>
      </text>
    </comment>
    <comment ref="Q42" authorId="0" shapeId="0" xr:uid="{00000000-0006-0000-0200-000049120000}">
      <text>
        <r>
          <rPr>
            <sz val="9"/>
            <color indexed="81"/>
            <rFont val="Tahoma"/>
            <charset val="1"/>
          </rPr>
          <t>Stability=29,Expiration=5/31/2019</t>
        </r>
      </text>
    </comment>
    <comment ref="R42" authorId="0" shapeId="0" xr:uid="{00000000-0006-0000-0200-00004A120000}">
      <text>
        <r>
          <rPr>
            <sz val="9"/>
            <color indexed="81"/>
            <rFont val="Tahoma"/>
            <charset val="1"/>
          </rPr>
          <t>Stability=19,Expiration=7/14/2018</t>
        </r>
      </text>
    </comment>
    <comment ref="S42" authorId="0" shapeId="0" xr:uid="{00000000-0006-0000-0200-00004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2" authorId="0" shapeId="0" xr:uid="{00000000-0006-0000-0200-00004C120000}">
      <text>
        <r>
          <rPr>
            <sz val="9"/>
            <color indexed="81"/>
            <rFont val="Tahoma"/>
            <charset val="1"/>
          </rPr>
          <t>Stability=13,Expiration=8/14/2018</t>
        </r>
      </text>
    </comment>
    <comment ref="U42" authorId="0" shapeId="0" xr:uid="{00000000-0006-0000-0200-00004D120000}">
      <text>
        <r>
          <rPr>
            <sz val="9"/>
            <color indexed="81"/>
            <rFont val="Tahoma"/>
            <charset val="1"/>
          </rPr>
          <t>Stability=18,Expiration=4/20/2018</t>
        </r>
      </text>
    </comment>
    <comment ref="V42" authorId="0" shapeId="0" xr:uid="{00000000-0006-0000-0200-00004E120000}">
      <text>
        <r>
          <rPr>
            <sz val="9"/>
            <color indexed="81"/>
            <rFont val="Tahoma"/>
            <charset val="1"/>
          </rPr>
          <t>Stability=15,Expiration=10/30/2018</t>
        </r>
      </text>
    </comment>
    <comment ref="W42" authorId="0" shapeId="0" xr:uid="{00000000-0006-0000-0200-00004F120000}">
      <text>
        <r>
          <rPr>
            <sz val="9"/>
            <color indexed="81"/>
            <rFont val="Tahoma"/>
            <charset val="1"/>
          </rPr>
          <t>Stability=15,Expiration=6/30/2019</t>
        </r>
      </text>
    </comment>
    <comment ref="X42" authorId="0" shapeId="0" xr:uid="{00000000-0006-0000-0200-000050120000}">
      <text>
        <r>
          <rPr>
            <sz val="9"/>
            <color indexed="81"/>
            <rFont val="Tahoma"/>
            <charset val="1"/>
          </rPr>
          <t>Stability=29,Expiration=8/19/2018</t>
        </r>
      </text>
    </comment>
    <comment ref="Y42" authorId="0" shapeId="0" xr:uid="{00000000-0006-0000-0200-000051120000}">
      <text>
        <r>
          <rPr>
            <sz val="9"/>
            <color indexed="81"/>
            <rFont val="Tahoma"/>
            <charset val="1"/>
          </rPr>
          <t>Stability=21,Expiration=4/30/2019</t>
        </r>
      </text>
    </comment>
    <comment ref="Z42" authorId="0" shapeId="0" xr:uid="{00000000-0006-0000-0200-00005212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AA42" authorId="0" shapeId="0" xr:uid="{00000000-0006-0000-0200-000053120000}">
      <text>
        <r>
          <rPr>
            <sz val="9"/>
            <color indexed="81"/>
            <rFont val="Tahoma"/>
            <charset val="1"/>
          </rPr>
          <t>Stability=1,Expiration=3/14/2019</t>
        </r>
      </text>
    </comment>
    <comment ref="AB42" authorId="0" shapeId="0" xr:uid="{00000000-0006-0000-0200-00005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2" authorId="0" shapeId="0" xr:uid="{00000000-0006-0000-0200-00005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2" authorId="0" shapeId="0" xr:uid="{00000000-0006-0000-0200-00005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2" authorId="0" shapeId="0" xr:uid="{00000000-0006-0000-0200-00005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2" authorId="0" shapeId="0" xr:uid="{00000000-0006-0000-0200-00005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2" authorId="0" shapeId="0" xr:uid="{00000000-0006-0000-0200-00005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2" authorId="0" shapeId="0" xr:uid="{00000000-0006-0000-0200-00005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2" authorId="0" shapeId="0" xr:uid="{00000000-0006-0000-0200-00005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2" authorId="0" shapeId="0" xr:uid="{00000000-0006-0000-0200-00005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2" authorId="0" shapeId="0" xr:uid="{00000000-0006-0000-0200-00005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2" authorId="0" shapeId="0" xr:uid="{00000000-0006-0000-0200-00005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2" authorId="0" shapeId="0" xr:uid="{00000000-0006-0000-0200-00005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2" authorId="0" shapeId="0" xr:uid="{00000000-0006-0000-0200-00006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2" authorId="0" shapeId="0" xr:uid="{00000000-0006-0000-0200-00006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2" authorId="0" shapeId="0" xr:uid="{00000000-0006-0000-0200-00006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2" authorId="0" shapeId="0" xr:uid="{00000000-0006-0000-0200-00006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2" authorId="0" shapeId="0" xr:uid="{00000000-0006-0000-0200-00006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2" authorId="0" shapeId="0" xr:uid="{00000000-0006-0000-0200-00006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2" authorId="0" shapeId="0" xr:uid="{00000000-0006-0000-0200-00006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2" authorId="0" shapeId="0" xr:uid="{00000000-0006-0000-0200-00006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2" authorId="0" shapeId="0" xr:uid="{00000000-0006-0000-0200-00006812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43" authorId="0" shapeId="0" xr:uid="{00000000-0006-0000-0200-000069120000}">
      <text>
        <r>
          <rPr>
            <sz val="9"/>
            <color indexed="81"/>
            <rFont val="Tahoma"/>
            <charset val="1"/>
          </rPr>
          <t>Date macro run: 4/19/2018 10:18:00 PM</t>
        </r>
      </text>
    </comment>
    <comment ref="B43" authorId="0" shapeId="0" xr:uid="{00000000-0006-0000-0200-00006A120000}">
      <text>
        <r>
          <rPr>
            <sz val="9"/>
            <color indexed="81"/>
            <rFont val="Tahoma"/>
            <charset val="1"/>
          </rPr>
          <t>Stability=12,Expiration=5/9/2019</t>
        </r>
      </text>
    </comment>
    <comment ref="C43" authorId="0" shapeId="0" xr:uid="{00000000-0006-0000-0200-00006B120000}">
      <text>
        <r>
          <rPr>
            <sz val="9"/>
            <color indexed="81"/>
            <rFont val="Tahoma"/>
            <charset val="1"/>
          </rPr>
          <t>Stability=4,Expiration=12/9/2018</t>
        </r>
      </text>
    </comment>
    <comment ref="D43" authorId="0" shapeId="0" xr:uid="{00000000-0006-0000-0200-00006C120000}">
      <text>
        <r>
          <rPr>
            <sz val="9"/>
            <color indexed="81"/>
            <rFont val="Tahoma"/>
            <charset val="1"/>
          </rPr>
          <t>Stability=25,Expiration=11/23/2018</t>
        </r>
      </text>
    </comment>
    <comment ref="E43" authorId="0" shapeId="0" xr:uid="{00000000-0006-0000-0200-00006D12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43" authorId="0" shapeId="0" xr:uid="{00000000-0006-0000-0200-00006E120000}">
      <text>
        <r>
          <rPr>
            <sz val="9"/>
            <color indexed="81"/>
            <rFont val="Tahoma"/>
            <charset val="1"/>
          </rPr>
          <t>Stability=20,Expiration=12/27/2018</t>
        </r>
      </text>
    </comment>
    <comment ref="G43" authorId="0" shapeId="0" xr:uid="{00000000-0006-0000-0200-00006F120000}">
      <text>
        <r>
          <rPr>
            <sz val="9"/>
            <color indexed="81"/>
            <rFont val="Tahoma"/>
            <charset val="1"/>
          </rPr>
          <t>Stability=14,Expiration=10/31/2018</t>
        </r>
      </text>
    </comment>
    <comment ref="H43" authorId="0" shapeId="0" xr:uid="{00000000-0006-0000-0200-000070120000}">
      <text>
        <r>
          <rPr>
            <sz val="9"/>
            <color indexed="81"/>
            <rFont val="Tahoma"/>
            <charset val="1"/>
          </rPr>
          <t>Stability=11,Expiration=4/30/2019</t>
        </r>
      </text>
    </comment>
    <comment ref="I43" authorId="0" shapeId="0" xr:uid="{00000000-0006-0000-0200-000071120000}">
      <text>
        <r>
          <rPr>
            <sz val="9"/>
            <color indexed="81"/>
            <rFont val="Tahoma"/>
            <charset val="1"/>
          </rPr>
          <t>Stability=18,Expiration=7/18/2018</t>
        </r>
      </text>
    </comment>
    <comment ref="J43" authorId="0" shapeId="0" xr:uid="{00000000-0006-0000-0200-000072120000}">
      <text>
        <r>
          <rPr>
            <sz val="9"/>
            <color indexed="81"/>
            <rFont val="Tahoma"/>
            <charset val="1"/>
          </rPr>
          <t>Stability=3,Expiration=7/3/2018</t>
        </r>
      </text>
    </comment>
    <comment ref="K43" authorId="0" shapeId="0" xr:uid="{00000000-0006-0000-0200-000073120000}">
      <text>
        <r>
          <rPr>
            <sz val="9"/>
            <color indexed="81"/>
            <rFont val="Tahoma"/>
            <charset val="1"/>
          </rPr>
          <t>Stability=2,Expiration=7/31/2018</t>
        </r>
      </text>
    </comment>
    <comment ref="L43" authorId="0" shapeId="0" xr:uid="{00000000-0006-0000-0200-00007412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43" authorId="0" shapeId="0" xr:uid="{00000000-0006-0000-0200-000075120000}">
      <text>
        <r>
          <rPr>
            <sz val="9"/>
            <color indexed="81"/>
            <rFont val="Tahoma"/>
            <charset val="1"/>
          </rPr>
          <t>Stability=25,Expiration=4/30/2018</t>
        </r>
      </text>
    </comment>
    <comment ref="N43" authorId="0" shapeId="0" xr:uid="{00000000-0006-0000-0200-00007612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43" authorId="0" shapeId="0" xr:uid="{00000000-0006-0000-0200-00007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3" authorId="0" shapeId="0" xr:uid="{00000000-0006-0000-0200-000078120000}">
      <text>
        <r>
          <rPr>
            <sz val="9"/>
            <color indexed="81"/>
            <rFont val="Tahoma"/>
            <charset val="1"/>
          </rPr>
          <t>Stability=9,Expiration=1/29/2020</t>
        </r>
      </text>
    </comment>
    <comment ref="Q43" authorId="0" shapeId="0" xr:uid="{00000000-0006-0000-0200-000079120000}">
      <text>
        <r>
          <rPr>
            <sz val="9"/>
            <color indexed="81"/>
            <rFont val="Tahoma"/>
            <charset val="1"/>
          </rPr>
          <t>Stability=28,Expiration=5/31/2019</t>
        </r>
      </text>
    </comment>
    <comment ref="R43" authorId="0" shapeId="0" xr:uid="{00000000-0006-0000-0200-00007A120000}">
      <text>
        <r>
          <rPr>
            <sz val="9"/>
            <color indexed="81"/>
            <rFont val="Tahoma"/>
            <charset val="1"/>
          </rPr>
          <t>Stability=18,Expiration=7/14/2018</t>
        </r>
      </text>
    </comment>
    <comment ref="S43" authorId="0" shapeId="0" xr:uid="{00000000-0006-0000-0200-00007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3" authorId="0" shapeId="0" xr:uid="{00000000-0006-0000-0200-00007C12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43" authorId="0" shapeId="0" xr:uid="{00000000-0006-0000-0200-00007D120000}">
      <text>
        <r>
          <rPr>
            <sz val="9"/>
            <color indexed="81"/>
            <rFont val="Tahoma"/>
            <charset val="1"/>
          </rPr>
          <t>Stability=17,Expiration=4/20/2018</t>
        </r>
      </text>
    </comment>
    <comment ref="V43" authorId="0" shapeId="0" xr:uid="{00000000-0006-0000-0200-00007E120000}">
      <text>
        <r>
          <rPr>
            <sz val="9"/>
            <color indexed="81"/>
            <rFont val="Tahoma"/>
            <charset val="1"/>
          </rPr>
          <t>Stability=14,Expiration=10/30/2018</t>
        </r>
      </text>
    </comment>
    <comment ref="W43" authorId="0" shapeId="0" xr:uid="{00000000-0006-0000-0200-00007F120000}">
      <text>
        <r>
          <rPr>
            <sz val="9"/>
            <color indexed="81"/>
            <rFont val="Tahoma"/>
            <charset val="1"/>
          </rPr>
          <t>Stability=14,Expiration=6/30/2019</t>
        </r>
      </text>
    </comment>
    <comment ref="X43" authorId="0" shapeId="0" xr:uid="{00000000-0006-0000-0200-000080120000}">
      <text>
        <r>
          <rPr>
            <sz val="9"/>
            <color indexed="81"/>
            <rFont val="Tahoma"/>
            <charset val="1"/>
          </rPr>
          <t>Stability=28,Expiration=8/19/2018</t>
        </r>
      </text>
    </comment>
    <comment ref="Y43" authorId="0" shapeId="0" xr:uid="{00000000-0006-0000-0200-000081120000}">
      <text>
        <r>
          <rPr>
            <sz val="9"/>
            <color indexed="81"/>
            <rFont val="Tahoma"/>
            <charset val="1"/>
          </rPr>
          <t>Stability=20,Expiration=4/30/2019</t>
        </r>
      </text>
    </comment>
    <comment ref="Z43" authorId="0" shapeId="0" xr:uid="{00000000-0006-0000-0200-000082120000}">
      <text>
        <r>
          <rPr>
            <sz val="9"/>
            <color indexed="81"/>
            <rFont val="Tahoma"/>
            <charset val="1"/>
          </rPr>
          <t>Stability=6,Expiration=12/31/2018</t>
        </r>
      </text>
    </comment>
    <comment ref="AA43" authorId="0" shapeId="0" xr:uid="{00000000-0006-0000-0200-000083120000}">
      <text>
        <r>
          <rPr>
            <sz val="9"/>
            <color indexed="81"/>
            <rFont val="Tahoma"/>
            <charset val="1"/>
          </rPr>
          <t>Stability=1,Expiration=3/14/2019</t>
        </r>
      </text>
    </comment>
    <comment ref="AB43" authorId="0" shapeId="0" xr:uid="{00000000-0006-0000-0200-00008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3" authorId="0" shapeId="0" xr:uid="{00000000-0006-0000-0200-00008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3" authorId="0" shapeId="0" xr:uid="{00000000-0006-0000-0200-00008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3" authorId="0" shapeId="0" xr:uid="{00000000-0006-0000-0200-00008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3" authorId="0" shapeId="0" xr:uid="{00000000-0006-0000-0200-00008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3" authorId="0" shapeId="0" xr:uid="{00000000-0006-0000-0200-00008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3" authorId="0" shapeId="0" xr:uid="{00000000-0006-0000-0200-00008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3" authorId="0" shapeId="0" xr:uid="{00000000-0006-0000-0200-00008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3" authorId="0" shapeId="0" xr:uid="{00000000-0006-0000-0200-00008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3" authorId="0" shapeId="0" xr:uid="{00000000-0006-0000-0200-00008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3" authorId="0" shapeId="0" xr:uid="{00000000-0006-0000-0200-00008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3" authorId="0" shapeId="0" xr:uid="{00000000-0006-0000-0200-00008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3" authorId="0" shapeId="0" xr:uid="{00000000-0006-0000-0200-00009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3" authorId="0" shapeId="0" xr:uid="{00000000-0006-0000-0200-00009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3" authorId="0" shapeId="0" xr:uid="{00000000-0006-0000-0200-00009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3" authorId="0" shapeId="0" xr:uid="{00000000-0006-0000-0200-00009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3" authorId="0" shapeId="0" xr:uid="{00000000-0006-0000-0200-00009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3" authorId="0" shapeId="0" xr:uid="{00000000-0006-0000-0200-00009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3" authorId="0" shapeId="0" xr:uid="{00000000-0006-0000-0200-00009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3" authorId="0" shapeId="0" xr:uid="{00000000-0006-0000-0200-00009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3" authorId="0" shapeId="0" xr:uid="{00000000-0006-0000-0200-000098120000}">
      <text>
        <r>
          <rPr>
            <sz val="9"/>
            <color indexed="81"/>
            <rFont val="Tahoma"/>
            <charset val="1"/>
          </rPr>
          <t>Stability=19,Expiration=9/25/2018</t>
        </r>
      </text>
    </comment>
    <comment ref="A44" authorId="0" shapeId="0" xr:uid="{00000000-0006-0000-0200-000099120000}">
      <text>
        <r>
          <rPr>
            <sz val="9"/>
            <color indexed="81"/>
            <rFont val="Tahoma"/>
            <charset val="1"/>
          </rPr>
          <t>Date macro run: 4/23/2018 8:50:48 PM</t>
        </r>
      </text>
    </comment>
    <comment ref="B44" authorId="0" shapeId="0" xr:uid="{00000000-0006-0000-0200-00009A120000}">
      <text>
        <r>
          <rPr>
            <sz val="9"/>
            <color indexed="81"/>
            <rFont val="Tahoma"/>
            <charset val="1"/>
          </rPr>
          <t>Stability=8,Expiration=5/9/2019</t>
        </r>
      </text>
    </comment>
    <comment ref="C44" authorId="0" shapeId="0" xr:uid="{00000000-0006-0000-0200-00009B120000}">
      <text>
        <r>
          <rPr>
            <sz val="9"/>
            <color indexed="81"/>
            <rFont val="Tahoma"/>
            <charset val="1"/>
          </rPr>
          <t>Stability=1,Expiration=12/9/2018</t>
        </r>
      </text>
    </comment>
    <comment ref="D44" authorId="0" shapeId="0" xr:uid="{00000000-0006-0000-0200-00009C120000}">
      <text>
        <r>
          <rPr>
            <sz val="9"/>
            <color indexed="81"/>
            <rFont val="Tahoma"/>
            <charset val="1"/>
          </rPr>
          <t>Stability=21,Expiration=11/23/2018</t>
        </r>
      </text>
    </comment>
    <comment ref="E44" authorId="0" shapeId="0" xr:uid="{00000000-0006-0000-0200-00009D12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44" authorId="0" shapeId="0" xr:uid="{00000000-0006-0000-0200-00009E120000}">
      <text>
        <r>
          <rPr>
            <sz val="9"/>
            <color indexed="81"/>
            <rFont val="Tahoma"/>
            <charset val="1"/>
          </rPr>
          <t>Stability=16,Expiration=12/27/2018</t>
        </r>
      </text>
    </comment>
    <comment ref="G44" authorId="0" shapeId="0" xr:uid="{00000000-0006-0000-0200-00009F12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H44" authorId="0" shapeId="0" xr:uid="{00000000-0006-0000-0200-0000A0120000}">
      <text>
        <r>
          <rPr>
            <sz val="9"/>
            <color indexed="81"/>
            <rFont val="Tahoma"/>
            <charset val="1"/>
          </rPr>
          <t>Stability=8,Expiration=4/30/2019</t>
        </r>
      </text>
    </comment>
    <comment ref="I44" authorId="0" shapeId="0" xr:uid="{00000000-0006-0000-0200-0000A1120000}">
      <text>
        <r>
          <rPr>
            <sz val="9"/>
            <color indexed="81"/>
            <rFont val="Tahoma"/>
            <charset val="1"/>
          </rPr>
          <t>Stability=29,Expiration=7/18/2018</t>
        </r>
      </text>
    </comment>
    <comment ref="J44" authorId="0" shapeId="0" xr:uid="{00000000-0006-0000-0200-0000A2120000}">
      <text>
        <r>
          <rPr>
            <sz val="9"/>
            <color indexed="81"/>
            <rFont val="Tahoma"/>
            <charset val="1"/>
          </rPr>
          <t>Stability=28,Expiration=7/3/2018</t>
        </r>
      </text>
    </comment>
    <comment ref="K44" authorId="0" shapeId="0" xr:uid="{00000000-0006-0000-0200-0000A312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44" authorId="0" shapeId="0" xr:uid="{00000000-0006-0000-0200-0000A4120000}">
      <text>
        <r>
          <rPr>
            <sz val="9"/>
            <color indexed="81"/>
            <rFont val="Tahoma"/>
            <charset val="1"/>
          </rPr>
          <t>Stability=4,Expiration=4/10/2019</t>
        </r>
      </text>
    </comment>
    <comment ref="M44" authorId="0" shapeId="0" xr:uid="{00000000-0006-0000-0200-0000A5120000}">
      <text>
        <r>
          <rPr>
            <sz val="9"/>
            <color indexed="81"/>
            <rFont val="Tahoma"/>
            <charset val="1"/>
          </rPr>
          <t>Stability=22,Expiration=4/30/2018</t>
        </r>
      </text>
    </comment>
    <comment ref="N44" authorId="0" shapeId="0" xr:uid="{00000000-0006-0000-0200-0000A612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O44" authorId="0" shapeId="0" xr:uid="{00000000-0006-0000-0200-0000A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4" authorId="0" shapeId="0" xr:uid="{00000000-0006-0000-0200-0000A8120000}">
      <text>
        <r>
          <rPr>
            <sz val="9"/>
            <color indexed="81"/>
            <rFont val="Tahoma"/>
            <charset val="1"/>
          </rPr>
          <t>Stability=5,Expiration=1/29/2020</t>
        </r>
      </text>
    </comment>
    <comment ref="Q44" authorId="0" shapeId="0" xr:uid="{00000000-0006-0000-0200-0000A9120000}">
      <text>
        <r>
          <rPr>
            <sz val="9"/>
            <color indexed="81"/>
            <rFont val="Tahoma"/>
            <charset val="1"/>
          </rPr>
          <t>Stability=24,Expiration=5/31/2019</t>
        </r>
      </text>
    </comment>
    <comment ref="R44" authorId="0" shapeId="0" xr:uid="{00000000-0006-0000-0200-0000AA120000}">
      <text>
        <r>
          <rPr>
            <sz val="9"/>
            <color indexed="81"/>
            <rFont val="Tahoma"/>
            <charset val="1"/>
          </rPr>
          <t>Stability=14,Expiration=7/14/2018</t>
        </r>
      </text>
    </comment>
    <comment ref="S44" authorId="0" shapeId="0" xr:uid="{00000000-0006-0000-0200-0000A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4" authorId="0" shapeId="0" xr:uid="{00000000-0006-0000-0200-0000AC120000}">
      <text>
        <r>
          <rPr>
            <sz val="9"/>
            <color indexed="81"/>
            <rFont val="Tahoma"/>
            <charset val="1"/>
          </rPr>
          <t>Stability=8,Expiration=8/14/2018</t>
        </r>
      </text>
    </comment>
    <comment ref="U44" authorId="0" shapeId="0" xr:uid="{00000000-0006-0000-0200-0000AD120000}">
      <text>
        <r>
          <rPr>
            <sz val="9"/>
            <color indexed="81"/>
            <rFont val="Tahoma"/>
            <charset val="1"/>
          </rPr>
          <t>Stability=22,Expiration=4/20/2018</t>
        </r>
      </text>
    </comment>
    <comment ref="V44" authorId="0" shapeId="0" xr:uid="{00000000-0006-0000-0200-0000AE120000}">
      <text>
        <r>
          <rPr>
            <sz val="9"/>
            <color indexed="81"/>
            <rFont val="Tahoma"/>
            <charset val="1"/>
          </rPr>
          <t>Stability=30,Expiration=10/30/2018</t>
        </r>
      </text>
    </comment>
    <comment ref="W44" authorId="0" shapeId="0" xr:uid="{00000000-0006-0000-0200-0000AF120000}">
      <text>
        <r>
          <rPr>
            <sz val="9"/>
            <color indexed="81"/>
            <rFont val="Tahoma"/>
            <charset val="1"/>
          </rPr>
          <t>Stability=10,Expiration=6/30/2019</t>
        </r>
      </text>
    </comment>
    <comment ref="X44" authorId="0" shapeId="0" xr:uid="{00000000-0006-0000-0200-0000B0120000}">
      <text>
        <r>
          <rPr>
            <sz val="9"/>
            <color indexed="81"/>
            <rFont val="Tahoma"/>
            <charset val="1"/>
          </rPr>
          <t>Stability=24,Expiration=8/19/2018</t>
        </r>
      </text>
    </comment>
    <comment ref="Y44" authorId="0" shapeId="0" xr:uid="{00000000-0006-0000-0200-0000B1120000}">
      <text>
        <r>
          <rPr>
            <sz val="9"/>
            <color indexed="81"/>
            <rFont val="Tahoma"/>
            <charset val="1"/>
          </rPr>
          <t>Stability=16,Expiration=4/30/2019</t>
        </r>
      </text>
    </comment>
    <comment ref="Z44" authorId="0" shapeId="0" xr:uid="{00000000-0006-0000-0200-0000B2120000}">
      <text>
        <r>
          <rPr>
            <sz val="9"/>
            <color indexed="81"/>
            <rFont val="Tahoma"/>
            <charset val="1"/>
          </rPr>
          <t>Stability=26,Expiration=12/31/2018</t>
        </r>
      </text>
    </comment>
    <comment ref="AA44" authorId="0" shapeId="0" xr:uid="{00000000-0006-0000-0200-0000B3120000}">
      <text>
        <r>
          <rPr>
            <sz val="9"/>
            <color indexed="81"/>
            <rFont val="Tahoma"/>
            <charset val="1"/>
          </rPr>
          <t>Stability=27,Expiration=3/14/2019</t>
        </r>
      </text>
    </comment>
    <comment ref="AB44" authorId="0" shapeId="0" xr:uid="{00000000-0006-0000-0200-0000B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4" authorId="0" shapeId="0" xr:uid="{00000000-0006-0000-0200-0000B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4" authorId="0" shapeId="0" xr:uid="{00000000-0006-0000-0200-0000B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4" authorId="0" shapeId="0" xr:uid="{00000000-0006-0000-0200-0000B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4" authorId="0" shapeId="0" xr:uid="{00000000-0006-0000-0200-0000B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4" authorId="0" shapeId="0" xr:uid="{00000000-0006-0000-0200-0000B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4" authorId="0" shapeId="0" xr:uid="{00000000-0006-0000-0200-0000B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4" authorId="0" shapeId="0" xr:uid="{00000000-0006-0000-0200-0000B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4" authorId="0" shapeId="0" xr:uid="{00000000-0006-0000-0200-0000B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4" authorId="0" shapeId="0" xr:uid="{00000000-0006-0000-0200-0000B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4" authorId="0" shapeId="0" xr:uid="{00000000-0006-0000-0200-0000B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4" authorId="0" shapeId="0" xr:uid="{00000000-0006-0000-0200-0000B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4" authorId="0" shapeId="0" xr:uid="{00000000-0006-0000-0200-0000C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4" authorId="0" shapeId="0" xr:uid="{00000000-0006-0000-0200-0000C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4" authorId="0" shapeId="0" xr:uid="{00000000-0006-0000-0200-0000C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4" authorId="0" shapeId="0" xr:uid="{00000000-0006-0000-0200-0000C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4" authorId="0" shapeId="0" xr:uid="{00000000-0006-0000-0200-0000C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4" authorId="0" shapeId="0" xr:uid="{00000000-0006-0000-0200-0000C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4" authorId="0" shapeId="0" xr:uid="{00000000-0006-0000-0200-0000C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4" authorId="0" shapeId="0" xr:uid="{00000000-0006-0000-0200-0000C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4" authorId="0" shapeId="0" xr:uid="{00000000-0006-0000-0200-0000C8120000}">
      <text>
        <r>
          <rPr>
            <sz val="9"/>
            <color indexed="81"/>
            <rFont val="Tahoma"/>
            <charset val="1"/>
          </rPr>
          <t>Stability=15,Expiration=9/25/2018</t>
        </r>
      </text>
    </comment>
    <comment ref="A45" authorId="0" shapeId="0" xr:uid="{00000000-0006-0000-0200-0000C9120000}">
      <text>
        <r>
          <rPr>
            <sz val="9"/>
            <color indexed="81"/>
            <rFont val="Tahoma"/>
            <charset val="1"/>
          </rPr>
          <t>Date macro run: 4/25/2018 4:49:15 PM</t>
        </r>
      </text>
    </comment>
    <comment ref="B45" authorId="0" shapeId="0" xr:uid="{00000000-0006-0000-0200-0000CA120000}">
      <text>
        <r>
          <rPr>
            <sz val="9"/>
            <color indexed="81"/>
            <rFont val="Tahoma"/>
            <charset val="1"/>
          </rPr>
          <t>Stability=7,Expiration=5/9/2019</t>
        </r>
      </text>
    </comment>
    <comment ref="C45" authorId="0" shapeId="0" xr:uid="{00000000-0006-0000-0200-0000CB120000}">
      <text>
        <r>
          <rPr>
            <sz val="9"/>
            <color indexed="81"/>
            <rFont val="Tahoma"/>
            <charset val="1"/>
          </rPr>
          <t>Stability=7,Expiration=12/9/2018</t>
        </r>
      </text>
    </comment>
    <comment ref="D45" authorId="0" shapeId="0" xr:uid="{00000000-0006-0000-0200-0000CC12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45" authorId="0" shapeId="0" xr:uid="{00000000-0006-0000-0200-0000CD120000}">
      <text>
        <r>
          <rPr>
            <sz val="9"/>
            <color indexed="81"/>
            <rFont val="Tahoma"/>
            <charset val="1"/>
          </rPr>
          <t>Stability=8,Expiration=12/31/2018</t>
        </r>
      </text>
    </comment>
    <comment ref="F45" authorId="0" shapeId="0" xr:uid="{00000000-0006-0000-0200-0000CE120000}">
      <text>
        <r>
          <rPr>
            <sz val="9"/>
            <color indexed="81"/>
            <rFont val="Tahoma"/>
            <charset val="1"/>
          </rPr>
          <t>Stability=15,Expiration=12/27/2018</t>
        </r>
      </text>
    </comment>
    <comment ref="G45" authorId="0" shapeId="0" xr:uid="{00000000-0006-0000-0200-0000CF12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H45" authorId="0" shapeId="0" xr:uid="{00000000-0006-0000-0200-0000D0120000}">
      <text>
        <r>
          <rPr>
            <sz val="9"/>
            <color indexed="81"/>
            <rFont val="Tahoma"/>
            <charset val="1"/>
          </rPr>
          <t>Stability=6,Expiration=4/30/2019</t>
        </r>
      </text>
    </comment>
    <comment ref="I45" authorId="0" shapeId="0" xr:uid="{00000000-0006-0000-0200-0000D1120000}">
      <text>
        <r>
          <rPr>
            <sz val="9"/>
            <color indexed="81"/>
            <rFont val="Tahoma"/>
            <charset val="1"/>
          </rPr>
          <t>Stability=28,Expiration=7/18/2018</t>
        </r>
      </text>
    </comment>
    <comment ref="J45" authorId="0" shapeId="0" xr:uid="{00000000-0006-0000-0200-0000D2120000}">
      <text>
        <r>
          <rPr>
            <sz val="9"/>
            <color indexed="81"/>
            <rFont val="Tahoma"/>
            <charset val="1"/>
          </rPr>
          <t>Stability=26,Expiration=7/3/2018</t>
        </r>
      </text>
    </comment>
    <comment ref="K45" authorId="0" shapeId="0" xr:uid="{00000000-0006-0000-0200-0000D312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45" authorId="0" shapeId="0" xr:uid="{00000000-0006-0000-0200-0000D4120000}">
      <text>
        <r>
          <rPr>
            <sz val="9"/>
            <color indexed="81"/>
            <rFont val="Tahoma"/>
            <charset val="1"/>
          </rPr>
          <t>Stability=5,Expiration=4/10/2019</t>
        </r>
      </text>
    </comment>
    <comment ref="M45" authorId="0" shapeId="0" xr:uid="{00000000-0006-0000-0200-0000D5120000}">
      <text>
        <r>
          <rPr>
            <sz val="9"/>
            <color indexed="81"/>
            <rFont val="Tahoma"/>
            <charset val="1"/>
          </rPr>
          <t>Stability=20,Expiration=4/30/2018</t>
        </r>
      </text>
    </comment>
    <comment ref="N45" authorId="0" shapeId="0" xr:uid="{00000000-0006-0000-0200-0000D6120000}">
      <text>
        <r>
          <rPr>
            <sz val="9"/>
            <color indexed="81"/>
            <rFont val="Tahoma"/>
            <charset val="1"/>
          </rPr>
          <t>Stability=19,Expiration=11/30/2018</t>
        </r>
      </text>
    </comment>
    <comment ref="O45" authorId="0" shapeId="0" xr:uid="{00000000-0006-0000-0200-0000D7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P45" authorId="0" shapeId="0" xr:uid="{00000000-0006-0000-0200-0000D8120000}">
      <text>
        <r>
          <rPr>
            <sz val="9"/>
            <color indexed="81"/>
            <rFont val="Tahoma"/>
            <charset val="1"/>
          </rPr>
          <t>Stability=20,Expiration=1/29/2020</t>
        </r>
      </text>
    </comment>
    <comment ref="Q45" authorId="0" shapeId="0" xr:uid="{00000000-0006-0000-0200-0000D9120000}">
      <text>
        <r>
          <rPr>
            <sz val="9"/>
            <color indexed="81"/>
            <rFont val="Tahoma"/>
            <charset val="1"/>
          </rPr>
          <t>Stability=23,Expiration=5/31/2019</t>
        </r>
      </text>
    </comment>
    <comment ref="R45" authorId="0" shapeId="0" xr:uid="{00000000-0006-0000-0200-0000DA120000}">
      <text>
        <r>
          <rPr>
            <sz val="9"/>
            <color indexed="81"/>
            <rFont val="Tahoma"/>
            <charset val="1"/>
          </rPr>
          <t>Stability=12,Expiration=7/14/2018</t>
        </r>
      </text>
    </comment>
    <comment ref="S45" authorId="0" shapeId="0" xr:uid="{00000000-0006-0000-0200-0000D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5" authorId="0" shapeId="0" xr:uid="{00000000-0006-0000-0200-0000DC120000}">
      <text>
        <r>
          <rPr>
            <sz val="9"/>
            <color indexed="81"/>
            <rFont val="Tahoma"/>
            <charset val="1"/>
          </rPr>
          <t>Stability=6,Expiration=8/14/2018</t>
        </r>
      </text>
    </comment>
    <comment ref="U45" authorId="0" shapeId="0" xr:uid="{00000000-0006-0000-0200-0000DD120000}">
      <text>
        <r>
          <rPr>
            <sz val="9"/>
            <color indexed="81"/>
            <rFont val="Tahoma"/>
            <charset val="1"/>
          </rPr>
          <t>Stability=20,Expiration=4/20/2018</t>
        </r>
      </text>
    </comment>
    <comment ref="V45" authorId="0" shapeId="0" xr:uid="{00000000-0006-0000-0200-0000DE120000}">
      <text>
        <r>
          <rPr>
            <sz val="9"/>
            <color indexed="81"/>
            <rFont val="Tahoma"/>
            <charset val="1"/>
          </rPr>
          <t>Stability=28,Expiration=10/30/2018</t>
        </r>
      </text>
    </comment>
    <comment ref="W45" authorId="0" shapeId="0" xr:uid="{00000000-0006-0000-0200-0000DF120000}">
      <text>
        <r>
          <rPr>
            <sz val="9"/>
            <color indexed="81"/>
            <rFont val="Tahoma"/>
            <charset val="1"/>
          </rPr>
          <t>Stability=9,Expiration=6/30/2019</t>
        </r>
      </text>
    </comment>
    <comment ref="X45" authorId="0" shapeId="0" xr:uid="{00000000-0006-0000-0200-0000E0120000}">
      <text>
        <r>
          <rPr>
            <sz val="9"/>
            <color indexed="81"/>
            <rFont val="Tahoma"/>
            <charset val="1"/>
          </rPr>
          <t>Stability=23,Expiration=8/19/2018</t>
        </r>
      </text>
    </comment>
    <comment ref="Y45" authorId="0" shapeId="0" xr:uid="{00000000-0006-0000-0200-0000E112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Z45" authorId="0" shapeId="0" xr:uid="{00000000-0006-0000-0200-0000E2120000}">
      <text>
        <r>
          <rPr>
            <sz val="9"/>
            <color indexed="81"/>
            <rFont val="Tahoma"/>
            <charset val="1"/>
          </rPr>
          <t>Stability=25,Expiration=12/31/2018</t>
        </r>
      </text>
    </comment>
    <comment ref="AA45" authorId="0" shapeId="0" xr:uid="{00000000-0006-0000-0200-0000E3120000}">
      <text>
        <r>
          <rPr>
            <sz val="9"/>
            <color indexed="81"/>
            <rFont val="Tahoma"/>
            <charset val="1"/>
          </rPr>
          <t>Stability=25,Expiration=3/14/2019</t>
        </r>
      </text>
    </comment>
    <comment ref="AB45" authorId="0" shapeId="0" xr:uid="{00000000-0006-0000-0200-0000E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5" authorId="0" shapeId="0" xr:uid="{00000000-0006-0000-0200-0000E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5" authorId="0" shapeId="0" xr:uid="{00000000-0006-0000-0200-0000E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5" authorId="0" shapeId="0" xr:uid="{00000000-0006-0000-0200-0000E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5" authorId="0" shapeId="0" xr:uid="{00000000-0006-0000-0200-0000E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5" authorId="0" shapeId="0" xr:uid="{00000000-0006-0000-0200-0000E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5" authorId="0" shapeId="0" xr:uid="{00000000-0006-0000-0200-0000E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5" authorId="0" shapeId="0" xr:uid="{00000000-0006-0000-0200-0000E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5" authorId="0" shapeId="0" xr:uid="{00000000-0006-0000-0200-0000E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5" authorId="0" shapeId="0" xr:uid="{00000000-0006-0000-0200-0000E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5" authorId="0" shapeId="0" xr:uid="{00000000-0006-0000-0200-0000E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5" authorId="0" shapeId="0" xr:uid="{00000000-0006-0000-0200-0000E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5" authorId="0" shapeId="0" xr:uid="{00000000-0006-0000-0200-0000F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5" authorId="0" shapeId="0" xr:uid="{00000000-0006-0000-0200-0000F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5" authorId="0" shapeId="0" xr:uid="{00000000-0006-0000-0200-0000F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5" authorId="0" shapeId="0" xr:uid="{00000000-0006-0000-0200-0000F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5" authorId="0" shapeId="0" xr:uid="{00000000-0006-0000-0200-0000F412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5" authorId="0" shapeId="0" xr:uid="{00000000-0006-0000-0200-0000F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5" authorId="0" shapeId="0" xr:uid="{00000000-0006-0000-0200-0000F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5" authorId="0" shapeId="0" xr:uid="{00000000-0006-0000-0200-0000F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5" authorId="0" shapeId="0" xr:uid="{00000000-0006-0000-0200-0000F812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46" authorId="0" shapeId="0" xr:uid="{00000000-0006-0000-0200-0000F9120000}">
      <text>
        <r>
          <rPr>
            <sz val="9"/>
            <color indexed="81"/>
            <rFont val="Tahoma"/>
            <charset val="1"/>
          </rPr>
          <t>Date macro run: 4/27/2018 6:38:01 PM</t>
        </r>
      </text>
    </comment>
    <comment ref="B46" authorId="0" shapeId="0" xr:uid="{00000000-0006-0000-0200-0000FA120000}">
      <text>
        <r>
          <rPr>
            <sz val="9"/>
            <color indexed="81"/>
            <rFont val="Tahoma"/>
            <charset val="1"/>
          </rPr>
          <t>Stability=5,Expiration=5/9/2019</t>
        </r>
      </text>
    </comment>
    <comment ref="C46" authorId="0" shapeId="0" xr:uid="{00000000-0006-0000-0200-0000FB12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46" authorId="0" shapeId="0" xr:uid="{00000000-0006-0000-0200-0000FC120000}">
      <text>
        <r>
          <rPr>
            <sz val="9"/>
            <color indexed="81"/>
            <rFont val="Tahoma"/>
            <charset val="1"/>
          </rPr>
          <t>Stability=18,Expiration=11/23/2018</t>
        </r>
      </text>
    </comment>
    <comment ref="E46" authorId="0" shapeId="0" xr:uid="{00000000-0006-0000-0200-0000FD120000}">
      <text>
        <r>
          <rPr>
            <sz val="9"/>
            <color indexed="81"/>
            <rFont val="Tahoma"/>
            <charset val="1"/>
          </rPr>
          <t>Stability=15,Expiration=12/31/2018</t>
        </r>
      </text>
    </comment>
    <comment ref="F46" authorId="0" shapeId="0" xr:uid="{00000000-0006-0000-0200-0000FE120000}">
      <text>
        <r>
          <rPr>
            <sz val="9"/>
            <color indexed="81"/>
            <rFont val="Tahoma"/>
            <charset val="1"/>
          </rPr>
          <t>Stability=13,Expiration=12/27/2018</t>
        </r>
      </text>
    </comment>
    <comment ref="G46" authorId="0" shapeId="0" xr:uid="{00000000-0006-0000-0200-0000FF120000}">
      <text>
        <r>
          <rPr>
            <sz val="9"/>
            <color indexed="81"/>
            <rFont val="Tahoma"/>
            <charset val="1"/>
          </rPr>
          <t>Stability=7,Expiration=10/31/2018</t>
        </r>
      </text>
    </comment>
    <comment ref="H46" authorId="0" shapeId="0" xr:uid="{00000000-0006-0000-0200-000000130000}">
      <text>
        <r>
          <rPr>
            <sz val="9"/>
            <color indexed="81"/>
            <rFont val="Tahoma"/>
            <charset val="1"/>
          </rPr>
          <t>Stability=4,Expiration=4/30/2019</t>
        </r>
      </text>
    </comment>
    <comment ref="I46" authorId="0" shapeId="0" xr:uid="{00000000-0006-0000-0200-000001130000}">
      <text>
        <r>
          <rPr>
            <sz val="9"/>
            <color indexed="81"/>
            <rFont val="Tahoma"/>
            <charset val="1"/>
          </rPr>
          <t>Stability=26,Expiration=7/18/2018</t>
        </r>
      </text>
    </comment>
    <comment ref="J46" authorId="0" shapeId="0" xr:uid="{00000000-0006-0000-0200-000002130000}">
      <text>
        <r>
          <rPr>
            <sz val="9"/>
            <color indexed="81"/>
            <rFont val="Tahoma"/>
            <charset val="1"/>
          </rPr>
          <t>Stability=24,Expiration=7/3/2018</t>
        </r>
      </text>
    </comment>
    <comment ref="K46" authorId="0" shapeId="0" xr:uid="{00000000-0006-0000-0200-000003130000}">
      <text>
        <r>
          <rPr>
            <sz val="9"/>
            <color indexed="81"/>
            <rFont val="Tahoma"/>
            <charset val="1"/>
          </rPr>
          <t>Stability=8,Expiration=7/31/2018</t>
        </r>
      </text>
    </comment>
    <comment ref="L46" authorId="0" shapeId="0" xr:uid="{00000000-0006-0000-0200-00000413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46" authorId="0" shapeId="0" xr:uid="{00000000-0006-0000-0200-000005130000}">
      <text>
        <r>
          <rPr>
            <sz val="9"/>
            <color indexed="81"/>
            <rFont val="Tahoma"/>
            <charset val="1"/>
          </rPr>
          <t>Stability=18,Expiration=4/30/2018</t>
        </r>
      </text>
    </comment>
    <comment ref="N46" authorId="0" shapeId="0" xr:uid="{00000000-0006-0000-0200-000006130000}">
      <text>
        <r>
          <rPr>
            <sz val="9"/>
            <color indexed="81"/>
            <rFont val="Tahoma"/>
            <charset val="1"/>
          </rPr>
          <t>Stability=30,Expiration=11/30/2018</t>
        </r>
      </text>
    </comment>
    <comment ref="O46" authorId="0" shapeId="0" xr:uid="{00000000-0006-0000-0200-00000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46" authorId="0" shapeId="0" xr:uid="{00000000-0006-0000-0200-000008130000}">
      <text>
        <r>
          <rPr>
            <sz val="9"/>
            <color indexed="81"/>
            <rFont val="Tahoma"/>
            <charset val="1"/>
          </rPr>
          <t>Stability=18,Expiration=1/29/2020</t>
        </r>
      </text>
    </comment>
    <comment ref="Q46" authorId="0" shapeId="0" xr:uid="{00000000-0006-0000-0200-000009130000}">
      <text>
        <r>
          <rPr>
            <sz val="9"/>
            <color indexed="81"/>
            <rFont val="Tahoma"/>
            <charset val="1"/>
          </rPr>
          <t>Stability=21,Expiration=5/31/2019</t>
        </r>
      </text>
    </comment>
    <comment ref="R46" authorId="0" shapeId="0" xr:uid="{00000000-0006-0000-0200-00000A130000}">
      <text>
        <r>
          <rPr>
            <sz val="9"/>
            <color indexed="81"/>
            <rFont val="Tahoma"/>
            <charset val="1"/>
          </rPr>
          <t>Stability=10,Expiration=7/14/2018</t>
        </r>
      </text>
    </comment>
    <comment ref="S46" authorId="0" shapeId="0" xr:uid="{00000000-0006-0000-0200-00000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6" authorId="0" shapeId="0" xr:uid="{00000000-0006-0000-0200-00000C13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46" authorId="0" shapeId="0" xr:uid="{00000000-0006-0000-0200-00000D130000}">
      <text>
        <r>
          <rPr>
            <sz val="9"/>
            <color indexed="81"/>
            <rFont val="Tahoma"/>
            <charset val="1"/>
          </rPr>
          <t>Stability=18,Expiration=1/11/2019</t>
        </r>
      </text>
    </comment>
    <comment ref="V46" authorId="0" shapeId="0" xr:uid="{00000000-0006-0000-0200-00000E130000}">
      <text>
        <r>
          <rPr>
            <sz val="9"/>
            <color indexed="81"/>
            <rFont val="Tahoma"/>
            <charset val="1"/>
          </rPr>
          <t>Stability=26,Expiration=12/6/2018</t>
        </r>
      </text>
    </comment>
    <comment ref="W46" authorId="0" shapeId="0" xr:uid="{00000000-0006-0000-0200-00000F130000}">
      <text>
        <r>
          <rPr>
            <sz val="9"/>
            <color indexed="81"/>
            <rFont val="Tahoma"/>
            <charset val="1"/>
          </rPr>
          <t>Stability=7,Expiration=6/30/2019</t>
        </r>
      </text>
    </comment>
    <comment ref="X46" authorId="0" shapeId="0" xr:uid="{00000000-0006-0000-0200-000010130000}">
      <text>
        <r>
          <rPr>
            <sz val="9"/>
            <color indexed="81"/>
            <rFont val="Tahoma"/>
            <charset val="1"/>
          </rPr>
          <t>Stability=21,Expiration=8/19/2018</t>
        </r>
      </text>
    </comment>
    <comment ref="Y46" authorId="0" shapeId="0" xr:uid="{00000000-0006-0000-0200-00001113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Z46" authorId="0" shapeId="0" xr:uid="{00000000-0006-0000-0200-000012130000}">
      <text>
        <r>
          <rPr>
            <sz val="9"/>
            <color indexed="81"/>
            <rFont val="Tahoma"/>
            <charset val="1"/>
          </rPr>
          <t>Stability=23,Expiration=1/31/2019</t>
        </r>
      </text>
    </comment>
    <comment ref="AA46" authorId="0" shapeId="0" xr:uid="{00000000-0006-0000-0200-000013130000}">
      <text>
        <r>
          <rPr>
            <sz val="9"/>
            <color indexed="81"/>
            <rFont val="Tahoma"/>
            <charset val="1"/>
          </rPr>
          <t>Stability=23,Expiration=3/14/2019</t>
        </r>
      </text>
    </comment>
    <comment ref="AB46" authorId="0" shapeId="0" xr:uid="{00000000-0006-0000-0200-00001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6" authorId="0" shapeId="0" xr:uid="{00000000-0006-0000-0200-00001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6" authorId="0" shapeId="0" xr:uid="{00000000-0006-0000-0200-00001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6" authorId="0" shapeId="0" xr:uid="{00000000-0006-0000-0200-00001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6" authorId="0" shapeId="0" xr:uid="{00000000-0006-0000-0200-00001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6" authorId="0" shapeId="0" xr:uid="{00000000-0006-0000-0200-00001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6" authorId="0" shapeId="0" xr:uid="{00000000-0006-0000-0200-00001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6" authorId="0" shapeId="0" xr:uid="{00000000-0006-0000-0200-00001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6" authorId="0" shapeId="0" xr:uid="{00000000-0006-0000-0200-00001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6" authorId="0" shapeId="0" xr:uid="{00000000-0006-0000-0200-00001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6" authorId="0" shapeId="0" xr:uid="{00000000-0006-0000-0200-00001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6" authorId="0" shapeId="0" xr:uid="{00000000-0006-0000-0200-00001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6" authorId="0" shapeId="0" xr:uid="{00000000-0006-0000-0200-00002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6" authorId="0" shapeId="0" xr:uid="{00000000-0006-0000-0200-00002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6" authorId="0" shapeId="0" xr:uid="{00000000-0006-0000-0200-00002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6" authorId="0" shapeId="0" xr:uid="{00000000-0006-0000-0200-00002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6" authorId="0" shapeId="0" xr:uid="{00000000-0006-0000-0200-00002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6" authorId="0" shapeId="0" xr:uid="{00000000-0006-0000-0200-00002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6" authorId="0" shapeId="0" xr:uid="{00000000-0006-0000-0200-00002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6" authorId="0" shapeId="0" xr:uid="{00000000-0006-0000-0200-00002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6" authorId="0" shapeId="0" xr:uid="{00000000-0006-0000-0200-000028130000}">
      <text>
        <r>
          <rPr>
            <sz val="9"/>
            <color indexed="81"/>
            <rFont val="Tahoma"/>
            <charset val="1"/>
          </rPr>
          <t>Stability=12,Expiration=9/25/2018</t>
        </r>
      </text>
    </comment>
    <comment ref="A47" authorId="0" shapeId="0" xr:uid="{00000000-0006-0000-0200-000029130000}">
      <text>
        <r>
          <rPr>
            <sz val="9"/>
            <color indexed="81"/>
            <rFont val="Tahoma"/>
            <charset val="1"/>
          </rPr>
          <t>Date macro run: 4/30/2018 8:47:43 PM</t>
        </r>
      </text>
    </comment>
    <comment ref="B47" authorId="0" shapeId="0" xr:uid="{00000000-0006-0000-0200-00002A130000}">
      <text>
        <r>
          <rPr>
            <sz val="9"/>
            <color indexed="81"/>
            <rFont val="Tahoma"/>
            <charset val="1"/>
          </rPr>
          <t>Stability=1,Expiration=5/9/2019</t>
        </r>
      </text>
    </comment>
    <comment ref="C47" authorId="0" shapeId="0" xr:uid="{00000000-0006-0000-0200-00002B130000}">
      <text>
        <r>
          <rPr>
            <sz val="9"/>
            <color indexed="81"/>
            <rFont val="Tahoma"/>
            <charset val="1"/>
          </rPr>
          <t>Stability=1,Expiration=12/9/2018</t>
        </r>
      </text>
    </comment>
    <comment ref="D47" authorId="0" shapeId="0" xr:uid="{00000000-0006-0000-0200-00002C130000}">
      <text>
        <r>
          <rPr>
            <sz val="9"/>
            <color indexed="81"/>
            <rFont val="Tahoma"/>
            <charset val="1"/>
          </rPr>
          <t>Stability=14,Expiration=11/23/2018</t>
        </r>
      </text>
    </comment>
    <comment ref="E47" authorId="0" shapeId="0" xr:uid="{00000000-0006-0000-0200-00002D13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47" authorId="0" shapeId="0" xr:uid="{00000000-0006-0000-0200-00002E130000}">
      <text>
        <r>
          <rPr>
            <sz val="9"/>
            <color indexed="81"/>
            <rFont val="Tahoma"/>
            <charset val="1"/>
          </rPr>
          <t>Stability=9,Expiration=12/27/2018</t>
        </r>
      </text>
    </comment>
    <comment ref="G47" authorId="0" shapeId="0" xr:uid="{00000000-0006-0000-0200-00002F130000}">
      <text>
        <r>
          <rPr>
            <sz val="9"/>
            <color indexed="81"/>
            <rFont val="Tahoma"/>
            <charset val="1"/>
          </rPr>
          <t>Stability=4,Expiration=10/31/2018</t>
        </r>
      </text>
    </comment>
    <comment ref="H47" authorId="0" shapeId="0" xr:uid="{00000000-0006-0000-0200-000030130000}">
      <text>
        <r>
          <rPr>
            <sz val="9"/>
            <color indexed="81"/>
            <rFont val="Tahoma"/>
            <charset val="1"/>
          </rPr>
          <t>Stability=1,Expiration=4/30/2019</t>
        </r>
      </text>
    </comment>
    <comment ref="I47" authorId="0" shapeId="0" xr:uid="{00000000-0006-0000-0200-00003113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47" authorId="0" shapeId="0" xr:uid="{00000000-0006-0000-0200-00003213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47" authorId="0" shapeId="0" xr:uid="{00000000-0006-0000-0200-00003313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47" authorId="0" shapeId="0" xr:uid="{00000000-0006-0000-0200-000034130000}">
      <text>
        <r>
          <rPr>
            <sz val="9"/>
            <color indexed="81"/>
            <rFont val="Tahoma"/>
            <charset val="1"/>
          </rPr>
          <t>Stability=4,Expiration=5/13/2019</t>
        </r>
      </text>
    </comment>
    <comment ref="M47" authorId="0" shapeId="0" xr:uid="{00000000-0006-0000-0200-000035130000}">
      <text>
        <r>
          <rPr>
            <sz val="9"/>
            <color indexed="81"/>
            <rFont val="Tahoma"/>
            <charset val="1"/>
          </rPr>
          <t>Stability=15,Expiration=4/30/2018</t>
        </r>
      </text>
    </comment>
    <comment ref="N47" authorId="0" shapeId="0" xr:uid="{00000000-0006-0000-0200-00003613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O47" authorId="0" shapeId="0" xr:uid="{00000000-0006-0000-0200-00003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47" authorId="0" shapeId="0" xr:uid="{00000000-0006-0000-0200-000038130000}">
      <text>
        <r>
          <rPr>
            <sz val="9"/>
            <color indexed="81"/>
            <rFont val="Tahoma"/>
            <charset val="1"/>
          </rPr>
          <t>Stability=14,Expiration=1/29/2020</t>
        </r>
      </text>
    </comment>
    <comment ref="Q47" authorId="0" shapeId="0" xr:uid="{00000000-0006-0000-0200-000039130000}">
      <text>
        <r>
          <rPr>
            <sz val="9"/>
            <color indexed="81"/>
            <rFont val="Tahoma"/>
            <charset val="1"/>
          </rPr>
          <t>Stability=17,Expiration=5/31/2019</t>
        </r>
      </text>
    </comment>
    <comment ref="R47" authorId="0" shapeId="0" xr:uid="{00000000-0006-0000-0200-00003A130000}">
      <text>
        <r>
          <rPr>
            <sz val="9"/>
            <color indexed="81"/>
            <rFont val="Tahoma"/>
            <charset val="1"/>
          </rPr>
          <t>Stability=7,Expiration=7/14/2018</t>
        </r>
      </text>
    </comment>
    <comment ref="S47" authorId="0" shapeId="0" xr:uid="{00000000-0006-0000-0200-00003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7" authorId="0" shapeId="0" xr:uid="{00000000-0006-0000-0200-00003C130000}">
      <text>
        <r>
          <rPr>
            <sz val="9"/>
            <color indexed="81"/>
            <rFont val="Tahoma"/>
            <charset val="1"/>
          </rPr>
          <t>Stability=1,Expiration=8/14/2018</t>
        </r>
      </text>
    </comment>
    <comment ref="U47" authorId="0" shapeId="0" xr:uid="{00000000-0006-0000-0200-00003D130000}">
      <text>
        <r>
          <rPr>
            <sz val="9"/>
            <color indexed="81"/>
            <rFont val="Tahoma"/>
            <charset val="1"/>
          </rPr>
          <t>Stability=15,Expiration=1/11/2019</t>
        </r>
      </text>
    </comment>
    <comment ref="V47" authorId="0" shapeId="0" xr:uid="{00000000-0006-0000-0200-00003E130000}">
      <text>
        <r>
          <rPr>
            <sz val="9"/>
            <color indexed="81"/>
            <rFont val="Tahoma"/>
            <charset val="1"/>
          </rPr>
          <t>Stability=23,Expiration=12/6/2018</t>
        </r>
      </text>
    </comment>
    <comment ref="W47" authorId="0" shapeId="0" xr:uid="{00000000-0006-0000-0200-00003F130000}">
      <text>
        <r>
          <rPr>
            <sz val="9"/>
            <color indexed="81"/>
            <rFont val="Tahoma"/>
            <charset val="1"/>
          </rPr>
          <t>Stability=3,Expiration=6/30/2019</t>
        </r>
      </text>
    </comment>
    <comment ref="X47" authorId="0" shapeId="0" xr:uid="{00000000-0006-0000-0200-000040130000}">
      <text>
        <r>
          <rPr>
            <sz val="9"/>
            <color indexed="81"/>
            <rFont val="Tahoma"/>
            <charset val="1"/>
          </rPr>
          <t>Stability=17,Expiration=8/19/2018</t>
        </r>
      </text>
    </comment>
    <comment ref="Y47" authorId="0" shapeId="0" xr:uid="{00000000-0006-0000-0200-000041130000}">
      <text>
        <r>
          <rPr>
            <sz val="9"/>
            <color indexed="81"/>
            <rFont val="Tahoma"/>
            <charset val="1"/>
          </rPr>
          <t>Stability=30,Expiration=4/30/2019</t>
        </r>
      </text>
    </comment>
    <comment ref="Z47" authorId="0" shapeId="0" xr:uid="{00000000-0006-0000-0200-000042130000}">
      <text>
        <r>
          <rPr>
            <sz val="9"/>
            <color indexed="81"/>
            <rFont val="Tahoma"/>
            <charset val="1"/>
          </rPr>
          <t>Stability=19,Expiration=1/31/2019</t>
        </r>
      </text>
    </comment>
    <comment ref="AA47" authorId="0" shapeId="0" xr:uid="{00000000-0006-0000-0200-000043130000}">
      <text>
        <r>
          <rPr>
            <sz val="9"/>
            <color indexed="81"/>
            <rFont val="Tahoma"/>
            <charset val="1"/>
          </rPr>
          <t>Stability=20,Expiration=3/14/2019</t>
        </r>
      </text>
    </comment>
    <comment ref="AB47" authorId="0" shapeId="0" xr:uid="{00000000-0006-0000-0200-00004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7" authorId="0" shapeId="0" xr:uid="{00000000-0006-0000-0200-00004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7" authorId="0" shapeId="0" xr:uid="{00000000-0006-0000-0200-00004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7" authorId="0" shapeId="0" xr:uid="{00000000-0006-0000-0200-00004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7" authorId="0" shapeId="0" xr:uid="{00000000-0006-0000-0200-00004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7" authorId="0" shapeId="0" xr:uid="{00000000-0006-0000-0200-00004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7" authorId="0" shapeId="0" xr:uid="{00000000-0006-0000-0200-00004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7" authorId="0" shapeId="0" xr:uid="{00000000-0006-0000-0200-00004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7" authorId="0" shapeId="0" xr:uid="{00000000-0006-0000-0200-00004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7" authorId="0" shapeId="0" xr:uid="{00000000-0006-0000-0200-00004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7" authorId="0" shapeId="0" xr:uid="{00000000-0006-0000-0200-00004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7" authorId="0" shapeId="0" xr:uid="{00000000-0006-0000-0200-00004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7" authorId="0" shapeId="0" xr:uid="{00000000-0006-0000-0200-00005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7" authorId="0" shapeId="0" xr:uid="{00000000-0006-0000-0200-00005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7" authorId="0" shapeId="0" xr:uid="{00000000-0006-0000-0200-00005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7" authorId="0" shapeId="0" xr:uid="{00000000-0006-0000-0200-00005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7" authorId="0" shapeId="0" xr:uid="{00000000-0006-0000-0200-00005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7" authorId="0" shapeId="0" xr:uid="{00000000-0006-0000-0200-00005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7" authorId="0" shapeId="0" xr:uid="{00000000-0006-0000-0200-00005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7" authorId="0" shapeId="0" xr:uid="{00000000-0006-0000-0200-00005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7" authorId="0" shapeId="0" xr:uid="{00000000-0006-0000-0200-000058130000}">
      <text>
        <r>
          <rPr>
            <sz val="9"/>
            <color indexed="81"/>
            <rFont val="Tahoma"/>
            <charset val="1"/>
          </rPr>
          <t>Stability=8,Expiration=9/25/2018</t>
        </r>
      </text>
    </comment>
    <comment ref="A48" authorId="0" shapeId="0" xr:uid="{00000000-0006-0000-0200-000059130000}">
      <text>
        <r>
          <rPr>
            <sz val="9"/>
            <color indexed="81"/>
            <rFont val="Tahoma"/>
            <charset val="1"/>
          </rPr>
          <t>Date macro run: 5/2/2018 6:01:57 PM</t>
        </r>
      </text>
    </comment>
    <comment ref="B48" authorId="0" shapeId="0" xr:uid="{00000000-0006-0000-0200-00005A130000}">
      <text>
        <r>
          <rPr>
            <sz val="9"/>
            <color indexed="81"/>
            <rFont val="Tahoma"/>
            <charset val="1"/>
          </rPr>
          <t>Stability=41,Expiration=5/9/2019</t>
        </r>
      </text>
    </comment>
    <comment ref="C48" authorId="0" shapeId="0" xr:uid="{00000000-0006-0000-0200-00005B130000}">
      <text>
        <r>
          <rPr>
            <sz val="9"/>
            <color indexed="81"/>
            <rFont val="Tahoma"/>
            <charset val="1"/>
          </rPr>
          <t>Stability=7,Expiration=12/9/2018</t>
        </r>
      </text>
    </comment>
    <comment ref="D48" authorId="0" shapeId="0" xr:uid="{00000000-0006-0000-0200-00005C130000}">
      <text>
        <r>
          <rPr>
            <sz val="9"/>
            <color indexed="81"/>
            <rFont val="Tahoma"/>
            <charset val="1"/>
          </rPr>
          <t>Stability=13,Expiration=11/23/2018</t>
        </r>
      </text>
    </comment>
    <comment ref="E48" authorId="0" shapeId="0" xr:uid="{00000000-0006-0000-0200-00005D130000}">
      <text>
        <r>
          <rPr>
            <sz val="9"/>
            <color indexed="81"/>
            <rFont val="Tahoma"/>
            <charset val="1"/>
          </rPr>
          <t>Stability=10,Expiration=12/31/2018</t>
        </r>
      </text>
    </comment>
    <comment ref="F48" authorId="0" shapeId="0" xr:uid="{00000000-0006-0000-0200-00005E130000}">
      <text>
        <r>
          <rPr>
            <sz val="9"/>
            <color indexed="81"/>
            <rFont val="Tahoma"/>
            <charset val="1"/>
          </rPr>
          <t>Stability=8,Expiration=12/27/2018</t>
        </r>
      </text>
    </comment>
    <comment ref="G48" authorId="0" shapeId="0" xr:uid="{00000000-0006-0000-0200-00005F130000}">
      <text>
        <r>
          <rPr>
            <sz val="9"/>
            <color indexed="81"/>
            <rFont val="Tahoma"/>
            <charset val="1"/>
          </rPr>
          <t>Stability=28,Expiration=10/31/2018</t>
        </r>
      </text>
    </comment>
    <comment ref="H48" authorId="0" shapeId="0" xr:uid="{00000000-0006-0000-0200-000060130000}">
      <text>
        <r>
          <rPr>
            <sz val="9"/>
            <color indexed="81"/>
            <rFont val="Tahoma"/>
            <charset val="1"/>
          </rPr>
          <t>Stability=19,Expiration=6/30/2019</t>
        </r>
      </text>
    </comment>
    <comment ref="I48" authorId="0" shapeId="0" xr:uid="{00000000-0006-0000-0200-000061130000}">
      <text>
        <r>
          <rPr>
            <sz val="9"/>
            <color indexed="81"/>
            <rFont val="Tahoma"/>
            <charset val="1"/>
          </rPr>
          <t>Stability=21,Expiration=7/18/2018</t>
        </r>
      </text>
    </comment>
    <comment ref="J48" authorId="0" shapeId="0" xr:uid="{00000000-0006-0000-0200-000062130000}">
      <text>
        <r>
          <rPr>
            <sz val="9"/>
            <color indexed="81"/>
            <rFont val="Tahoma"/>
            <charset val="1"/>
          </rPr>
          <t>Stability=19,Expiration=7/3/2018</t>
        </r>
      </text>
    </comment>
    <comment ref="K48" authorId="0" shapeId="0" xr:uid="{00000000-0006-0000-0200-000063130000}">
      <text>
        <r>
          <rPr>
            <sz val="9"/>
            <color indexed="81"/>
            <rFont val="Tahoma"/>
            <charset val="1"/>
          </rPr>
          <t>Stability=3,Expiration=7/31/2018</t>
        </r>
      </text>
    </comment>
    <comment ref="L48" authorId="0" shapeId="0" xr:uid="{00000000-0006-0000-0200-00006413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48" authorId="0" shapeId="0" xr:uid="{00000000-0006-0000-0200-000065130000}">
      <text>
        <r>
          <rPr>
            <sz val="9"/>
            <color indexed="81"/>
            <rFont val="Tahoma"/>
            <charset val="1"/>
          </rPr>
          <t>Stability=58,Expiration=10/31/2018</t>
        </r>
      </text>
    </comment>
    <comment ref="N48" authorId="0" shapeId="0" xr:uid="{00000000-0006-0000-0200-000066130000}">
      <text>
        <r>
          <rPr>
            <sz val="9"/>
            <color indexed="81"/>
            <rFont val="Tahoma"/>
            <charset val="1"/>
          </rPr>
          <t>Stability=25,Expiration=11/30/2018</t>
        </r>
      </text>
    </comment>
    <comment ref="O48" authorId="0" shapeId="0" xr:uid="{00000000-0006-0000-0200-00006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48" authorId="0" shapeId="0" xr:uid="{00000000-0006-0000-0200-000068130000}">
      <text>
        <r>
          <rPr>
            <sz val="9"/>
            <color indexed="81"/>
            <rFont val="Tahoma"/>
            <charset val="1"/>
          </rPr>
          <t>Stability=13,Expiration=1/29/2020</t>
        </r>
      </text>
    </comment>
    <comment ref="Q48" authorId="0" shapeId="0" xr:uid="{00000000-0006-0000-0200-000069130000}">
      <text>
        <r>
          <rPr>
            <sz val="9"/>
            <color indexed="81"/>
            <rFont val="Tahoma"/>
            <charset val="1"/>
          </rPr>
          <t>Stability=16,Expiration=5/31/2019</t>
        </r>
      </text>
    </comment>
    <comment ref="R48" authorId="0" shapeId="0" xr:uid="{00000000-0006-0000-0200-00006A130000}">
      <text>
        <r>
          <rPr>
            <sz val="9"/>
            <color indexed="81"/>
            <rFont val="Tahoma"/>
            <charset val="1"/>
          </rPr>
          <t>Stability=5,Expiration=7/14/2018</t>
        </r>
      </text>
    </comment>
    <comment ref="S48" authorId="0" shapeId="0" xr:uid="{00000000-0006-0000-0200-00006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8" authorId="0" shapeId="0" xr:uid="{00000000-0006-0000-0200-00006C130000}">
      <text>
        <r>
          <rPr>
            <sz val="9"/>
            <color indexed="81"/>
            <rFont val="Tahoma"/>
            <charset val="1"/>
          </rPr>
          <t>Stability=22,Expiration=8/14/2018</t>
        </r>
      </text>
    </comment>
    <comment ref="U48" authorId="0" shapeId="0" xr:uid="{00000000-0006-0000-0200-00006D130000}">
      <text>
        <r>
          <rPr>
            <sz val="9"/>
            <color indexed="81"/>
            <rFont val="Tahoma"/>
            <charset val="1"/>
          </rPr>
          <t>Stability=13,Expiration=1/11/2019</t>
        </r>
      </text>
    </comment>
    <comment ref="V48" authorId="0" shapeId="0" xr:uid="{00000000-0006-0000-0200-00006E130000}">
      <text>
        <r>
          <rPr>
            <sz val="9"/>
            <color indexed="81"/>
            <rFont val="Tahoma"/>
            <charset val="1"/>
          </rPr>
          <t>Stability=21,Expiration=12/6/2018</t>
        </r>
      </text>
    </comment>
    <comment ref="W48" authorId="0" shapeId="0" xr:uid="{00000000-0006-0000-0200-00006F130000}">
      <text>
        <r>
          <rPr>
            <sz val="9"/>
            <color indexed="81"/>
            <rFont val="Tahoma"/>
            <charset val="1"/>
          </rPr>
          <t>Stability=2,Expiration=6/30/2019</t>
        </r>
      </text>
    </comment>
    <comment ref="X48" authorId="0" shapeId="0" xr:uid="{00000000-0006-0000-0200-000070130000}">
      <text>
        <r>
          <rPr>
            <sz val="9"/>
            <color indexed="81"/>
            <rFont val="Tahoma"/>
            <charset val="1"/>
          </rPr>
          <t>Stability=16,Expiration=8/19/2018</t>
        </r>
      </text>
    </comment>
    <comment ref="Y48" authorId="0" shapeId="0" xr:uid="{00000000-0006-0000-0200-000071130000}">
      <text>
        <r>
          <rPr>
            <sz val="9"/>
            <color indexed="81"/>
            <rFont val="Tahoma"/>
            <charset val="1"/>
          </rPr>
          <t>Stability=28,Expiration=6/6/2019</t>
        </r>
      </text>
    </comment>
    <comment ref="Z48" authorId="0" shapeId="0" xr:uid="{00000000-0006-0000-0200-000072130000}">
      <text>
        <r>
          <rPr>
            <sz val="9"/>
            <color indexed="81"/>
            <rFont val="Tahoma"/>
            <charset val="1"/>
          </rPr>
          <t>Stability=18,Expiration=1/31/2019</t>
        </r>
      </text>
    </comment>
    <comment ref="AA48" authorId="0" shapeId="0" xr:uid="{00000000-0006-0000-0200-000073130000}">
      <text>
        <r>
          <rPr>
            <sz val="9"/>
            <color indexed="81"/>
            <rFont val="Tahoma"/>
            <charset val="1"/>
          </rPr>
          <t>Stability=18,Expiration=3/14/2019</t>
        </r>
      </text>
    </comment>
    <comment ref="AB48" authorId="0" shapeId="0" xr:uid="{00000000-0006-0000-0200-00007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8" authorId="0" shapeId="0" xr:uid="{00000000-0006-0000-0200-00007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8" authorId="0" shapeId="0" xr:uid="{00000000-0006-0000-0200-00007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8" authorId="0" shapeId="0" xr:uid="{00000000-0006-0000-0200-00007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8" authorId="0" shapeId="0" xr:uid="{00000000-0006-0000-0200-00007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8" authorId="0" shapeId="0" xr:uid="{00000000-0006-0000-0200-00007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8" authorId="0" shapeId="0" xr:uid="{00000000-0006-0000-0200-00007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8" authorId="0" shapeId="0" xr:uid="{00000000-0006-0000-0200-00007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8" authorId="0" shapeId="0" xr:uid="{00000000-0006-0000-0200-00007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8" authorId="0" shapeId="0" xr:uid="{00000000-0006-0000-0200-00007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8" authorId="0" shapeId="0" xr:uid="{00000000-0006-0000-0200-00007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8" authorId="0" shapeId="0" xr:uid="{00000000-0006-0000-0200-00007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8" authorId="0" shapeId="0" xr:uid="{00000000-0006-0000-0200-00008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8" authorId="0" shapeId="0" xr:uid="{00000000-0006-0000-0200-00008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8" authorId="0" shapeId="0" xr:uid="{00000000-0006-0000-0200-00008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8" authorId="0" shapeId="0" xr:uid="{00000000-0006-0000-0200-00008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8" authorId="0" shapeId="0" xr:uid="{00000000-0006-0000-0200-00008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8" authorId="0" shapeId="0" xr:uid="{00000000-0006-0000-0200-00008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8" authorId="0" shapeId="0" xr:uid="{00000000-0006-0000-0200-00008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8" authorId="0" shapeId="0" xr:uid="{00000000-0006-0000-0200-00008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8" authorId="0" shapeId="0" xr:uid="{00000000-0006-0000-0200-00008813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49" authorId="0" shapeId="0" xr:uid="{00000000-0006-0000-0200-000089130000}">
      <text>
        <r>
          <rPr>
            <sz val="9"/>
            <color indexed="81"/>
            <rFont val="Tahoma"/>
            <charset val="1"/>
          </rPr>
          <t>Date macro run: 5/3/2018 9:27:33 PM</t>
        </r>
      </text>
    </comment>
    <comment ref="B49" authorId="0" shapeId="0" xr:uid="{00000000-0006-0000-0200-00008A13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49" authorId="0" shapeId="0" xr:uid="{00000000-0006-0000-0200-00008B130000}">
      <text>
        <r>
          <rPr>
            <sz val="9"/>
            <color indexed="81"/>
            <rFont val="Tahoma"/>
            <charset val="1"/>
          </rPr>
          <t>Stability=5,Expiration=12/9/2018</t>
        </r>
      </text>
    </comment>
    <comment ref="D49" authorId="0" shapeId="0" xr:uid="{00000000-0006-0000-0200-00008C130000}">
      <text>
        <r>
          <rPr>
            <sz val="9"/>
            <color indexed="81"/>
            <rFont val="Tahoma"/>
            <charset val="1"/>
          </rPr>
          <t>Stability=11,Expiration=11/23/2018</t>
        </r>
      </text>
    </comment>
    <comment ref="E49" authorId="0" shapeId="0" xr:uid="{00000000-0006-0000-0200-00008D130000}">
      <text>
        <r>
          <rPr>
            <sz val="9"/>
            <color indexed="81"/>
            <rFont val="Tahoma"/>
            <charset val="1"/>
          </rPr>
          <t>Stability=9,Expiration=12/31/2018</t>
        </r>
      </text>
    </comment>
    <comment ref="F49" authorId="0" shapeId="0" xr:uid="{00000000-0006-0000-0200-00008E130000}">
      <text>
        <r>
          <rPr>
            <sz val="9"/>
            <color indexed="81"/>
            <rFont val="Tahoma"/>
            <charset val="1"/>
          </rPr>
          <t>Stability=6,Expiration=12/27/2018</t>
        </r>
      </text>
    </comment>
    <comment ref="G49" authorId="0" shapeId="0" xr:uid="{00000000-0006-0000-0200-00008F130000}">
      <text>
        <r>
          <rPr>
            <sz val="9"/>
            <color indexed="81"/>
            <rFont val="Tahoma"/>
            <charset val="1"/>
          </rPr>
          <t>Stability=26,Expiration=10/31/2018</t>
        </r>
      </text>
    </comment>
    <comment ref="H49" authorId="0" shapeId="0" xr:uid="{00000000-0006-0000-0200-00009013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49" authorId="0" shapeId="0" xr:uid="{00000000-0006-0000-0200-000091130000}">
      <text>
        <r>
          <rPr>
            <sz val="9"/>
            <color indexed="81"/>
            <rFont val="Tahoma"/>
            <charset val="1"/>
          </rPr>
          <t>Stability=19,Expiration=7/18/2018</t>
        </r>
      </text>
    </comment>
    <comment ref="J49" authorId="0" shapeId="0" xr:uid="{00000000-0006-0000-0200-000092130000}">
      <text>
        <r>
          <rPr>
            <sz val="9"/>
            <color indexed="81"/>
            <rFont val="Tahoma"/>
            <charset val="1"/>
          </rPr>
          <t>Stability=18,Expiration=7/3/2018</t>
        </r>
      </text>
    </comment>
    <comment ref="K49" authorId="0" shapeId="0" xr:uid="{00000000-0006-0000-0200-000093130000}">
      <text>
        <r>
          <rPr>
            <sz val="9"/>
            <color indexed="81"/>
            <rFont val="Tahoma"/>
            <charset val="1"/>
          </rPr>
          <t>Stability=2,Expiration=7/31/2018</t>
        </r>
      </text>
    </comment>
    <comment ref="L49" authorId="0" shapeId="0" xr:uid="{00000000-0006-0000-0200-00009413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49" authorId="0" shapeId="0" xr:uid="{00000000-0006-0000-0200-000095130000}">
      <text>
        <r>
          <rPr>
            <sz val="9"/>
            <color indexed="81"/>
            <rFont val="Tahoma"/>
            <charset val="1"/>
          </rPr>
          <t>Stability=57,Expiration=10/31/2018</t>
        </r>
      </text>
    </comment>
    <comment ref="N49" authorId="0" shapeId="0" xr:uid="{00000000-0006-0000-0200-00009613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49" authorId="0" shapeId="0" xr:uid="{00000000-0006-0000-0200-00009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49" authorId="0" shapeId="0" xr:uid="{00000000-0006-0000-0200-000098130000}">
      <text>
        <r>
          <rPr>
            <sz val="9"/>
            <color indexed="81"/>
            <rFont val="Tahoma"/>
            <charset val="1"/>
          </rPr>
          <t>Stability=11,Expiration=1/29/2020</t>
        </r>
      </text>
    </comment>
    <comment ref="Q49" authorId="0" shapeId="0" xr:uid="{00000000-0006-0000-0200-000099130000}">
      <text>
        <r>
          <rPr>
            <sz val="9"/>
            <color indexed="81"/>
            <rFont val="Tahoma"/>
            <charset val="1"/>
          </rPr>
          <t>Stability=14,Expiration=5/31/2019</t>
        </r>
      </text>
    </comment>
    <comment ref="R49" authorId="0" shapeId="0" xr:uid="{00000000-0006-0000-0200-00009A130000}">
      <text>
        <r>
          <rPr>
            <sz val="9"/>
            <color indexed="81"/>
            <rFont val="Tahoma"/>
            <charset val="1"/>
          </rPr>
          <t>Stability=4,Expiration=7/14/2018</t>
        </r>
      </text>
    </comment>
    <comment ref="S49" authorId="0" shapeId="0" xr:uid="{00000000-0006-0000-0200-00009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9" authorId="0" shapeId="0" xr:uid="{00000000-0006-0000-0200-00009C130000}">
      <text>
        <r>
          <rPr>
            <sz val="9"/>
            <color indexed="81"/>
            <rFont val="Tahoma"/>
            <charset val="1"/>
          </rPr>
          <t>Stability=20,Expiration=8/14/2018</t>
        </r>
      </text>
    </comment>
    <comment ref="U49" authorId="0" shapeId="0" xr:uid="{00000000-0006-0000-0200-00009D130000}">
      <text>
        <r>
          <rPr>
            <sz val="9"/>
            <color indexed="81"/>
            <rFont val="Tahoma"/>
            <charset val="1"/>
          </rPr>
          <t>Stability=11,Expiration=1/11/2019</t>
        </r>
      </text>
    </comment>
    <comment ref="V49" authorId="0" shapeId="0" xr:uid="{00000000-0006-0000-0200-00009E130000}">
      <text>
        <r>
          <rPr>
            <sz val="9"/>
            <color indexed="81"/>
            <rFont val="Tahoma"/>
            <charset val="1"/>
          </rPr>
          <t>Stability=20,Expiration=12/6/2018</t>
        </r>
      </text>
    </comment>
    <comment ref="W49" authorId="0" shapeId="0" xr:uid="{00000000-0006-0000-0200-00009F130000}">
      <text>
        <r>
          <rPr>
            <sz val="9"/>
            <color indexed="81"/>
            <rFont val="Tahoma"/>
            <charset val="1"/>
          </rPr>
          <t>Stability=29,Expiration=6/30/2019</t>
        </r>
      </text>
    </comment>
    <comment ref="X49" authorId="0" shapeId="0" xr:uid="{00000000-0006-0000-0200-0000A0130000}">
      <text>
        <r>
          <rPr>
            <sz val="9"/>
            <color indexed="81"/>
            <rFont val="Tahoma"/>
            <charset val="1"/>
          </rPr>
          <t>Stability=14,Expiration=8/19/2018</t>
        </r>
      </text>
    </comment>
    <comment ref="Y49" authorId="0" shapeId="0" xr:uid="{00000000-0006-0000-0200-0000A1130000}">
      <text>
        <r>
          <rPr>
            <sz val="9"/>
            <color indexed="81"/>
            <rFont val="Tahoma"/>
            <charset val="1"/>
          </rPr>
          <t>Stability=27,Expiration=6/6/2019</t>
        </r>
      </text>
    </comment>
    <comment ref="Z49" authorId="0" shapeId="0" xr:uid="{00000000-0006-0000-0200-0000A2130000}">
      <text>
        <r>
          <rPr>
            <sz val="9"/>
            <color indexed="81"/>
            <rFont val="Tahoma"/>
            <charset val="1"/>
          </rPr>
          <t>Stability=16,Expiration=1/31/2019</t>
        </r>
      </text>
    </comment>
    <comment ref="AA49" authorId="0" shapeId="0" xr:uid="{00000000-0006-0000-0200-0000A3130000}">
      <text>
        <r>
          <rPr>
            <sz val="9"/>
            <color indexed="81"/>
            <rFont val="Tahoma"/>
            <charset val="1"/>
          </rPr>
          <t>Stability=17,Expiration=3/14/2019</t>
        </r>
      </text>
    </comment>
    <comment ref="AB49" authorId="0" shapeId="0" xr:uid="{00000000-0006-0000-0200-0000A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9" authorId="0" shapeId="0" xr:uid="{00000000-0006-0000-0200-0000A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9" authorId="0" shapeId="0" xr:uid="{00000000-0006-0000-0200-0000A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9" authorId="0" shapeId="0" xr:uid="{00000000-0006-0000-0200-0000A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9" authorId="0" shapeId="0" xr:uid="{00000000-0006-0000-0200-0000A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9" authorId="0" shapeId="0" xr:uid="{00000000-0006-0000-0200-0000A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9" authorId="0" shapeId="0" xr:uid="{00000000-0006-0000-0200-0000A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9" authorId="0" shapeId="0" xr:uid="{00000000-0006-0000-0200-0000A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9" authorId="0" shapeId="0" xr:uid="{00000000-0006-0000-0200-0000A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9" authorId="0" shapeId="0" xr:uid="{00000000-0006-0000-0200-0000A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9" authorId="0" shapeId="0" xr:uid="{00000000-0006-0000-0200-0000A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9" authorId="0" shapeId="0" xr:uid="{00000000-0006-0000-0200-0000A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9" authorId="0" shapeId="0" xr:uid="{00000000-0006-0000-0200-0000B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9" authorId="0" shapeId="0" xr:uid="{00000000-0006-0000-0200-0000B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9" authorId="0" shapeId="0" xr:uid="{00000000-0006-0000-0200-0000B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9" authorId="0" shapeId="0" xr:uid="{00000000-0006-0000-0200-0000B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49" authorId="0" shapeId="0" xr:uid="{00000000-0006-0000-0200-0000B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49" authorId="0" shapeId="0" xr:uid="{00000000-0006-0000-0200-0000B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9" authorId="0" shapeId="0" xr:uid="{00000000-0006-0000-0200-0000B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49" authorId="0" shapeId="0" xr:uid="{00000000-0006-0000-0200-0000B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9" authorId="0" shapeId="0" xr:uid="{00000000-0006-0000-0200-0000B8130000}">
      <text>
        <r>
          <rPr>
            <sz val="9"/>
            <color indexed="81"/>
            <rFont val="Tahoma"/>
            <charset val="1"/>
          </rPr>
          <t>Stability=5,Expiration=9/25/2018</t>
        </r>
      </text>
    </comment>
    <comment ref="A50" authorId="0" shapeId="0" xr:uid="{00000000-0006-0000-0200-0000B9130000}">
      <text>
        <r>
          <rPr>
            <sz val="9"/>
            <color indexed="81"/>
            <rFont val="Tahoma"/>
            <charset val="1"/>
          </rPr>
          <t>Date macro run: 5/7/2018 10:10:40 PM</t>
        </r>
      </text>
    </comment>
    <comment ref="B50" authorId="0" shapeId="0" xr:uid="{00000000-0006-0000-0200-0000BA130000}">
      <text>
        <r>
          <rPr>
            <sz val="9"/>
            <color indexed="81"/>
            <rFont val="Tahoma"/>
            <charset val="1"/>
          </rPr>
          <t>Stability=35,Expiration=5/9/2019</t>
        </r>
      </text>
    </comment>
    <comment ref="C50" authorId="0" shapeId="0" xr:uid="{00000000-0006-0000-0200-0000BB130000}">
      <text>
        <r>
          <rPr>
            <sz val="9"/>
            <color indexed="81"/>
            <rFont val="Tahoma"/>
            <charset val="1"/>
          </rPr>
          <t>Stability=1,Expiration=12/9/2018</t>
        </r>
      </text>
    </comment>
    <comment ref="D50" authorId="0" shapeId="0" xr:uid="{00000000-0006-0000-0200-0000BC13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50" authorId="0" shapeId="0" xr:uid="{00000000-0006-0000-0200-0000BD13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50" authorId="0" shapeId="0" xr:uid="{00000000-0006-0000-0200-0000BE130000}">
      <text>
        <r>
          <rPr>
            <sz val="9"/>
            <color indexed="81"/>
            <rFont val="Tahoma"/>
            <charset val="1"/>
          </rPr>
          <t>Stability=2,Expiration=12/27/2018</t>
        </r>
      </text>
    </comment>
    <comment ref="G50" authorId="0" shapeId="0" xr:uid="{00000000-0006-0000-0200-0000BF130000}">
      <text>
        <r>
          <rPr>
            <sz val="9"/>
            <color indexed="81"/>
            <rFont val="Tahoma"/>
            <charset val="1"/>
          </rPr>
          <t>Stability=22,Expiration=10/31/2018</t>
        </r>
      </text>
    </comment>
    <comment ref="H50" authorId="0" shapeId="0" xr:uid="{00000000-0006-0000-0200-0000C0130000}">
      <text>
        <r>
          <rPr>
            <sz val="9"/>
            <color indexed="81"/>
            <rFont val="Tahoma"/>
            <charset val="1"/>
          </rPr>
          <t>Stability=14,Expiration=6/30/2019</t>
        </r>
      </text>
    </comment>
    <comment ref="I50" authorId="0" shapeId="0" xr:uid="{00000000-0006-0000-0200-0000C1130000}">
      <text>
        <r>
          <rPr>
            <sz val="9"/>
            <color indexed="81"/>
            <rFont val="Tahoma"/>
            <charset val="1"/>
          </rPr>
          <t>Stability=15,Expiration=7/18/2018</t>
        </r>
      </text>
    </comment>
    <comment ref="J50" authorId="0" shapeId="0" xr:uid="{00000000-0006-0000-0200-0000C2130000}">
      <text>
        <r>
          <rPr>
            <sz val="9"/>
            <color indexed="81"/>
            <rFont val="Tahoma"/>
            <charset val="1"/>
          </rPr>
          <t>Stability=14,Expiration=7/3/2018</t>
        </r>
      </text>
    </comment>
    <comment ref="K50" authorId="0" shapeId="0" xr:uid="{00000000-0006-0000-0200-0000C3130000}">
      <text>
        <r>
          <rPr>
            <sz val="9"/>
            <color indexed="81"/>
            <rFont val="Tahoma"/>
            <charset val="1"/>
          </rPr>
          <t>Stability=10,Expiration=7/31/2018</t>
        </r>
      </text>
    </comment>
    <comment ref="L50" authorId="0" shapeId="0" xr:uid="{00000000-0006-0000-0200-0000C413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50" authorId="0" shapeId="0" xr:uid="{00000000-0006-0000-0200-0000C5130000}">
      <text>
        <r>
          <rPr>
            <sz val="9"/>
            <color indexed="81"/>
            <rFont val="Tahoma"/>
            <charset val="1"/>
          </rPr>
          <t>Stability=53,Expiration=10/31/2018</t>
        </r>
      </text>
    </comment>
    <comment ref="N50" authorId="0" shapeId="0" xr:uid="{00000000-0006-0000-0200-0000C6130000}">
      <text>
        <r>
          <rPr>
            <sz val="9"/>
            <color indexed="81"/>
            <rFont val="Tahoma"/>
            <charset val="1"/>
          </rPr>
          <t>Stability=20,Expiration=11/30/2018</t>
        </r>
      </text>
    </comment>
    <comment ref="O50" authorId="0" shapeId="0" xr:uid="{00000000-0006-0000-0200-0000C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0" authorId="0" shapeId="0" xr:uid="{00000000-0006-0000-0200-0000C8130000}">
      <text>
        <r>
          <rPr>
            <sz val="9"/>
            <color indexed="81"/>
            <rFont val="Tahoma"/>
            <charset val="1"/>
          </rPr>
          <t>Stability=20,Expiration=1/29/2020</t>
        </r>
      </text>
    </comment>
    <comment ref="Q50" authorId="0" shapeId="0" xr:uid="{00000000-0006-0000-0200-0000C9130000}">
      <text>
        <r>
          <rPr>
            <sz val="9"/>
            <color indexed="81"/>
            <rFont val="Tahoma"/>
            <charset val="1"/>
          </rPr>
          <t>Stability=10,Expiration=5/31/2019</t>
        </r>
      </text>
    </comment>
    <comment ref="R50" authorId="0" shapeId="0" xr:uid="{00000000-0006-0000-0200-0000CA130000}">
      <text>
        <r>
          <rPr>
            <sz val="9"/>
            <color indexed="81"/>
            <rFont val="Tahoma"/>
            <charset val="1"/>
          </rPr>
          <t>Stability=64,Expiration=7/14/2018</t>
        </r>
      </text>
    </comment>
    <comment ref="S50" authorId="0" shapeId="0" xr:uid="{00000000-0006-0000-0200-0000C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0" authorId="0" shapeId="0" xr:uid="{00000000-0006-0000-0200-0000CC130000}">
      <text>
        <r>
          <rPr>
            <sz val="9"/>
            <color indexed="81"/>
            <rFont val="Tahoma"/>
            <charset val="1"/>
          </rPr>
          <t>Stability=16,Expiration=8/14/2018</t>
        </r>
      </text>
    </comment>
    <comment ref="U50" authorId="0" shapeId="0" xr:uid="{00000000-0006-0000-0200-0000CD130000}">
      <text>
        <r>
          <rPr>
            <sz val="9"/>
            <color indexed="81"/>
            <rFont val="Tahoma"/>
            <charset val="1"/>
          </rPr>
          <t>Stability=7,Expiration=1/11/2019</t>
        </r>
      </text>
    </comment>
    <comment ref="V50" authorId="0" shapeId="0" xr:uid="{00000000-0006-0000-0200-0000CE130000}">
      <text>
        <r>
          <rPr>
            <sz val="9"/>
            <color indexed="81"/>
            <rFont val="Tahoma"/>
            <charset val="1"/>
          </rPr>
          <t>Stability=16,Expiration=12/6/2018</t>
        </r>
      </text>
    </comment>
    <comment ref="W50" authorId="0" shapeId="0" xr:uid="{00000000-0006-0000-0200-0000CF130000}">
      <text>
        <r>
          <rPr>
            <sz val="9"/>
            <color indexed="81"/>
            <rFont val="Tahoma"/>
            <charset val="1"/>
          </rPr>
          <t>Stability=25,Expiration=6/30/2019</t>
        </r>
      </text>
    </comment>
    <comment ref="X50" authorId="0" shapeId="0" xr:uid="{00000000-0006-0000-0200-0000D0130000}">
      <text>
        <r>
          <rPr>
            <sz val="9"/>
            <color indexed="81"/>
            <rFont val="Tahoma"/>
            <charset val="1"/>
          </rPr>
          <t>Stability=28,Expiration=8/19/2018</t>
        </r>
      </text>
    </comment>
    <comment ref="Y50" authorId="0" shapeId="0" xr:uid="{00000000-0006-0000-0200-0000D1130000}">
      <text>
        <r>
          <rPr>
            <sz val="9"/>
            <color indexed="81"/>
            <rFont val="Tahoma"/>
            <charset val="1"/>
          </rPr>
          <t>Stability=22,Expiration=6/6/2019</t>
        </r>
      </text>
    </comment>
    <comment ref="Z50" authorId="0" shapeId="0" xr:uid="{00000000-0006-0000-0200-0000D2130000}">
      <text>
        <r>
          <rPr>
            <sz val="9"/>
            <color indexed="81"/>
            <rFont val="Tahoma"/>
            <charset val="1"/>
          </rPr>
          <t>Stability=12,Expiration=1/31/2019</t>
        </r>
      </text>
    </comment>
    <comment ref="AA50" authorId="0" shapeId="0" xr:uid="{00000000-0006-0000-0200-0000D3130000}">
      <text>
        <r>
          <rPr>
            <sz val="9"/>
            <color indexed="81"/>
            <rFont val="Tahoma"/>
            <charset val="1"/>
          </rPr>
          <t>Stability=12,Expiration=3/14/2019</t>
        </r>
      </text>
    </comment>
    <comment ref="AB50" authorId="0" shapeId="0" xr:uid="{00000000-0006-0000-0200-0000D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0" authorId="0" shapeId="0" xr:uid="{00000000-0006-0000-0200-0000D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0" authorId="0" shapeId="0" xr:uid="{00000000-0006-0000-0200-0000D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0" authorId="0" shapeId="0" xr:uid="{00000000-0006-0000-0200-0000D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0" authorId="0" shapeId="0" xr:uid="{00000000-0006-0000-0200-0000D8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0" authorId="0" shapeId="0" xr:uid="{00000000-0006-0000-0200-0000D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0" authorId="0" shapeId="0" xr:uid="{00000000-0006-0000-0200-0000D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0" authorId="0" shapeId="0" xr:uid="{00000000-0006-0000-0200-0000D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0" authorId="0" shapeId="0" xr:uid="{00000000-0006-0000-0200-0000D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0" authorId="0" shapeId="0" xr:uid="{00000000-0006-0000-0200-0000D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0" authorId="0" shapeId="0" xr:uid="{00000000-0006-0000-0200-0000D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0" authorId="0" shapeId="0" xr:uid="{00000000-0006-0000-0200-0000D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0" authorId="0" shapeId="0" xr:uid="{00000000-0006-0000-0200-0000E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0" authorId="0" shapeId="0" xr:uid="{00000000-0006-0000-0200-0000E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0" authorId="0" shapeId="0" xr:uid="{00000000-0006-0000-0200-0000E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0" authorId="0" shapeId="0" xr:uid="{00000000-0006-0000-0200-0000E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0" authorId="0" shapeId="0" xr:uid="{00000000-0006-0000-0200-0000E413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0" authorId="0" shapeId="0" xr:uid="{00000000-0006-0000-0200-0000E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0" authorId="0" shapeId="0" xr:uid="{00000000-0006-0000-0200-0000E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0" authorId="0" shapeId="0" xr:uid="{00000000-0006-0000-0200-0000E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0" authorId="0" shapeId="0" xr:uid="{00000000-0006-0000-0200-0000E8130000}">
      <text>
        <r>
          <rPr>
            <sz val="9"/>
            <color indexed="81"/>
            <rFont val="Tahoma"/>
            <charset val="1"/>
          </rPr>
          <t>Stability=1,Expiration=9/25/2018</t>
        </r>
      </text>
    </comment>
    <comment ref="A51" authorId="0" shapeId="0" xr:uid="{00000000-0006-0000-0200-0000E9130000}">
      <text>
        <r>
          <rPr>
            <sz val="9"/>
            <color indexed="81"/>
            <rFont val="Tahoma"/>
            <charset val="1"/>
          </rPr>
          <t>Date macro run: 5/9/2018 8:39:31 PM</t>
        </r>
      </text>
    </comment>
    <comment ref="B51" authorId="0" shapeId="0" xr:uid="{00000000-0006-0000-0200-0000EA130000}">
      <text>
        <r>
          <rPr>
            <sz val="9"/>
            <color indexed="81"/>
            <rFont val="Tahoma"/>
            <charset val="1"/>
          </rPr>
          <t>Stability=33,Expiration=5/9/2019</t>
        </r>
      </text>
    </comment>
    <comment ref="C51" authorId="0" shapeId="0" xr:uid="{00000000-0006-0000-0200-0000EB130000}">
      <text>
        <r>
          <rPr>
            <sz val="9"/>
            <color indexed="81"/>
            <rFont val="Tahoma"/>
            <charset val="1"/>
          </rPr>
          <t>Stability=7,Expiration=2/24/2019</t>
        </r>
      </text>
    </comment>
    <comment ref="D51" authorId="0" shapeId="0" xr:uid="{00000000-0006-0000-0200-0000EC13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51" authorId="0" shapeId="0" xr:uid="{00000000-0006-0000-0200-0000ED13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51" authorId="0" shapeId="0" xr:uid="{00000000-0006-0000-0200-0000EE130000}">
      <text>
        <r>
          <rPr>
            <sz val="9"/>
            <color indexed="81"/>
            <rFont val="Tahoma"/>
            <charset val="1"/>
          </rPr>
          <t>Stability=1,Expiration=12/27/2018</t>
        </r>
      </text>
    </comment>
    <comment ref="G51" authorId="0" shapeId="0" xr:uid="{00000000-0006-0000-0200-0000EF130000}">
      <text>
        <r>
          <rPr>
            <sz val="9"/>
            <color indexed="81"/>
            <rFont val="Tahoma"/>
            <charset val="1"/>
          </rPr>
          <t>Stability=20,Expiration=10/31/2018</t>
        </r>
      </text>
    </comment>
    <comment ref="H51" authorId="0" shapeId="0" xr:uid="{00000000-0006-0000-0200-0000F0130000}">
      <text>
        <r>
          <rPr>
            <sz val="9"/>
            <color indexed="81"/>
            <rFont val="Tahoma"/>
            <charset val="1"/>
          </rPr>
          <t>Stability=12,Expiration=6/30/2019</t>
        </r>
      </text>
    </comment>
    <comment ref="I51" authorId="0" shapeId="0" xr:uid="{00000000-0006-0000-0200-0000F1130000}">
      <text>
        <r>
          <rPr>
            <sz val="9"/>
            <color indexed="81"/>
            <rFont val="Tahoma"/>
            <charset val="1"/>
          </rPr>
          <t>Stability=28,Expiration=7/18/2018</t>
        </r>
      </text>
    </comment>
    <comment ref="J51" authorId="0" shapeId="0" xr:uid="{00000000-0006-0000-0200-0000F2130000}">
      <text>
        <r>
          <rPr>
            <sz val="9"/>
            <color indexed="81"/>
            <rFont val="Tahoma"/>
            <charset val="1"/>
          </rPr>
          <t>Stability=12,Expiration=7/3/2018</t>
        </r>
      </text>
    </comment>
    <comment ref="K51" authorId="0" shapeId="0" xr:uid="{00000000-0006-0000-0200-0000F3130000}">
      <text>
        <r>
          <rPr>
            <sz val="9"/>
            <color indexed="81"/>
            <rFont val="Tahoma"/>
            <charset val="1"/>
          </rPr>
          <t>Stability=9,Expiration=7/31/2018</t>
        </r>
      </text>
    </comment>
    <comment ref="L51" authorId="0" shapeId="0" xr:uid="{00000000-0006-0000-0200-0000F413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51" authorId="0" shapeId="0" xr:uid="{00000000-0006-0000-0200-0000F5130000}">
      <text>
        <r>
          <rPr>
            <sz val="9"/>
            <color indexed="81"/>
            <rFont val="Tahoma"/>
            <charset val="1"/>
          </rPr>
          <t>Stability=51,Expiration=10/31/2018</t>
        </r>
      </text>
    </comment>
    <comment ref="N51" authorId="0" shapeId="0" xr:uid="{00000000-0006-0000-0200-0000F6130000}">
      <text>
        <r>
          <rPr>
            <sz val="9"/>
            <color indexed="81"/>
            <rFont val="Tahoma"/>
            <charset val="1"/>
          </rPr>
          <t>Stability=18,Expiration=11/30/2018</t>
        </r>
      </text>
    </comment>
    <comment ref="O51" authorId="0" shapeId="0" xr:uid="{00000000-0006-0000-0200-0000F7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1" authorId="0" shapeId="0" xr:uid="{00000000-0006-0000-0200-0000F8130000}">
      <text>
        <r>
          <rPr>
            <sz val="9"/>
            <color indexed="81"/>
            <rFont val="Tahoma"/>
            <charset val="1"/>
          </rPr>
          <t>Stability=19,Expiration=1/29/2020</t>
        </r>
      </text>
    </comment>
    <comment ref="Q51" authorId="0" shapeId="0" xr:uid="{00000000-0006-0000-0200-0000F9130000}">
      <text>
        <r>
          <rPr>
            <sz val="9"/>
            <color indexed="81"/>
            <rFont val="Tahoma"/>
            <charset val="1"/>
          </rPr>
          <t>Stability=8,Expiration=5/31/2019</t>
        </r>
      </text>
    </comment>
    <comment ref="R51" authorId="0" shapeId="0" xr:uid="{00000000-0006-0000-0200-0000FA130000}">
      <text>
        <r>
          <rPr>
            <sz val="9"/>
            <color indexed="81"/>
            <rFont val="Tahoma"/>
            <charset val="1"/>
          </rPr>
          <t>Stability=62,Expiration=7/14/2018</t>
        </r>
      </text>
    </comment>
    <comment ref="S51" authorId="0" shapeId="0" xr:uid="{00000000-0006-0000-0200-0000F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1" authorId="0" shapeId="0" xr:uid="{00000000-0006-0000-0200-0000FC130000}">
      <text>
        <r>
          <rPr>
            <sz val="9"/>
            <color indexed="81"/>
            <rFont val="Tahoma"/>
            <charset val="1"/>
          </rPr>
          <t>Stability=14,Expiration=8/14/2018</t>
        </r>
      </text>
    </comment>
    <comment ref="U51" authorId="0" shapeId="0" xr:uid="{00000000-0006-0000-0200-0000FD130000}">
      <text>
        <r>
          <rPr>
            <sz val="9"/>
            <color indexed="81"/>
            <rFont val="Tahoma"/>
            <charset val="1"/>
          </rPr>
          <t>Stability=6,Expiration=1/11/2019</t>
        </r>
      </text>
    </comment>
    <comment ref="V51" authorId="0" shapeId="0" xr:uid="{00000000-0006-0000-0200-0000FE130000}">
      <text>
        <r>
          <rPr>
            <sz val="9"/>
            <color indexed="81"/>
            <rFont val="Tahoma"/>
            <charset val="1"/>
          </rPr>
          <t>Stability=14,Expiration=12/6/2018</t>
        </r>
      </text>
    </comment>
    <comment ref="W51" authorId="0" shapeId="0" xr:uid="{00000000-0006-0000-0200-0000FF130000}">
      <text>
        <r>
          <rPr>
            <sz val="9"/>
            <color indexed="81"/>
            <rFont val="Tahoma"/>
            <charset val="1"/>
          </rPr>
          <t>Stability=23,Expiration=6/30/2019</t>
        </r>
      </text>
    </comment>
    <comment ref="X51" authorId="0" shapeId="0" xr:uid="{00000000-0006-0000-0200-000000140000}">
      <text>
        <r>
          <rPr>
            <sz val="9"/>
            <color indexed="81"/>
            <rFont val="Tahoma"/>
            <charset val="1"/>
          </rPr>
          <t>Stability=26,Expiration=11/4/2018</t>
        </r>
      </text>
    </comment>
    <comment ref="Y51" authorId="0" shapeId="0" xr:uid="{00000000-0006-0000-0200-000001140000}">
      <text>
        <r>
          <rPr>
            <sz val="9"/>
            <color indexed="81"/>
            <rFont val="Tahoma"/>
            <charset val="1"/>
          </rPr>
          <t>Stability=21,Expiration=6/6/2019</t>
        </r>
      </text>
    </comment>
    <comment ref="Z51" authorId="0" shapeId="0" xr:uid="{00000000-0006-0000-0200-000002140000}">
      <text>
        <r>
          <rPr>
            <sz val="9"/>
            <color indexed="81"/>
            <rFont val="Tahoma"/>
            <charset val="1"/>
          </rPr>
          <t>Stability=10,Expiration=1/31/2019</t>
        </r>
      </text>
    </comment>
    <comment ref="AA51" authorId="0" shapeId="0" xr:uid="{00000000-0006-0000-0200-000003140000}">
      <text>
        <r>
          <rPr>
            <sz val="9"/>
            <color indexed="81"/>
            <rFont val="Tahoma"/>
            <charset val="1"/>
          </rPr>
          <t>Stability=11,Expiration=3/14/2019</t>
        </r>
      </text>
    </comment>
    <comment ref="AB51" authorId="0" shapeId="0" xr:uid="{00000000-0006-0000-0200-00000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1" authorId="0" shapeId="0" xr:uid="{00000000-0006-0000-0200-00000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1" authorId="0" shapeId="0" xr:uid="{00000000-0006-0000-0200-00000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1" authorId="0" shapeId="0" xr:uid="{00000000-0006-0000-0200-00000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1" authorId="0" shapeId="0" xr:uid="{00000000-0006-0000-0200-00000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1" authorId="0" shapeId="0" xr:uid="{00000000-0006-0000-0200-00000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1" authorId="0" shapeId="0" xr:uid="{00000000-0006-0000-0200-00000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1" authorId="0" shapeId="0" xr:uid="{00000000-0006-0000-0200-00000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1" authorId="0" shapeId="0" xr:uid="{00000000-0006-0000-0200-00000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1" authorId="0" shapeId="0" xr:uid="{00000000-0006-0000-0200-00000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1" authorId="0" shapeId="0" xr:uid="{00000000-0006-0000-0200-00000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1" authorId="0" shapeId="0" xr:uid="{00000000-0006-0000-0200-00000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1" authorId="0" shapeId="0" xr:uid="{00000000-0006-0000-0200-00001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1" authorId="0" shapeId="0" xr:uid="{00000000-0006-0000-0200-00001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1" authorId="0" shapeId="0" xr:uid="{00000000-0006-0000-0200-00001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1" authorId="0" shapeId="0" xr:uid="{00000000-0006-0000-0200-00001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1" authorId="0" shapeId="0" xr:uid="{00000000-0006-0000-0200-00001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1" authorId="0" shapeId="0" xr:uid="{00000000-0006-0000-0200-00001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1" authorId="0" shapeId="0" xr:uid="{00000000-0006-0000-0200-00001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1" authorId="0" shapeId="0" xr:uid="{00000000-0006-0000-0200-00001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1" authorId="0" shapeId="0" xr:uid="{00000000-0006-0000-0200-000018140000}">
      <text>
        <r>
          <rPr>
            <sz val="9"/>
            <color indexed="81"/>
            <rFont val="Tahoma"/>
            <charset val="1"/>
          </rPr>
          <t>Stability=28,Expiration=9/25/2018</t>
        </r>
      </text>
    </comment>
    <comment ref="A52" authorId="0" shapeId="0" xr:uid="{00000000-0006-0000-0200-000019140000}">
      <text>
        <r>
          <rPr>
            <sz val="9"/>
            <color indexed="81"/>
            <rFont val="Tahoma"/>
            <charset val="1"/>
          </rPr>
          <t>Date macro run: 5/11/2018 7:52:12 PM</t>
        </r>
      </text>
    </comment>
    <comment ref="B52" authorId="0" shapeId="0" xr:uid="{00000000-0006-0000-0200-00001A140000}">
      <text>
        <r>
          <rPr>
            <sz val="9"/>
            <color indexed="81"/>
            <rFont val="Tahoma"/>
            <charset val="1"/>
          </rPr>
          <t>Stability=32,Expiration=5/9/2019</t>
        </r>
      </text>
    </comment>
    <comment ref="C52" authorId="0" shapeId="0" xr:uid="{00000000-0006-0000-0200-00001B140000}">
      <text>
        <r>
          <rPr>
            <sz val="9"/>
            <color indexed="81"/>
            <rFont val="Tahoma"/>
            <charset val="1"/>
          </rPr>
          <t>Stability=5,Expiration=2/24/2019</t>
        </r>
      </text>
    </comment>
    <comment ref="D52" authorId="0" shapeId="0" xr:uid="{00000000-0006-0000-0200-00001C140000}">
      <text>
        <r>
          <rPr>
            <sz val="9"/>
            <color indexed="81"/>
            <rFont val="Tahoma"/>
            <charset val="1"/>
          </rPr>
          <t>Stability=4,Expiration=11/23/2018</t>
        </r>
      </text>
    </comment>
    <comment ref="E52" authorId="0" shapeId="0" xr:uid="{00000000-0006-0000-0200-00001D140000}">
      <text>
        <r>
          <rPr>
            <sz val="9"/>
            <color indexed="81"/>
            <rFont val="Tahoma"/>
            <charset val="1"/>
          </rPr>
          <t>Stability=10,Expiration=12/31/2018</t>
        </r>
      </text>
    </comment>
    <comment ref="F52" authorId="0" shapeId="0" xr:uid="{00000000-0006-0000-0200-00001E140000}">
      <text>
        <r>
          <rPr>
            <sz val="9"/>
            <color indexed="81"/>
            <rFont val="Tahoma"/>
            <charset val="1"/>
          </rPr>
          <t>Stability=29,Expiration=12/27/2018</t>
        </r>
      </text>
    </comment>
    <comment ref="G52" authorId="0" shapeId="0" xr:uid="{00000000-0006-0000-0200-00001F14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H52" authorId="0" shapeId="0" xr:uid="{00000000-0006-0000-0200-000020140000}">
      <text>
        <r>
          <rPr>
            <sz val="9"/>
            <color indexed="81"/>
            <rFont val="Tahoma"/>
            <charset val="1"/>
          </rPr>
          <t>Stability=10,Expiration=6/30/2019</t>
        </r>
      </text>
    </comment>
    <comment ref="I52" authorId="0" shapeId="0" xr:uid="{00000000-0006-0000-0200-000021140000}">
      <text>
        <r>
          <rPr>
            <sz val="9"/>
            <color indexed="81"/>
            <rFont val="Tahoma"/>
            <charset val="1"/>
          </rPr>
          <t>Stability=27,Expiration=7/18/2018</t>
        </r>
      </text>
    </comment>
    <comment ref="J52" authorId="0" shapeId="0" xr:uid="{00000000-0006-0000-0200-000022140000}">
      <text>
        <r>
          <rPr>
            <sz val="9"/>
            <color indexed="81"/>
            <rFont val="Tahoma"/>
            <charset val="1"/>
          </rPr>
          <t>Stability=10,Expiration=7/3/2018</t>
        </r>
      </text>
    </comment>
    <comment ref="K52" authorId="0" shapeId="0" xr:uid="{00000000-0006-0000-0200-000023140000}">
      <text>
        <r>
          <rPr>
            <sz val="9"/>
            <color indexed="81"/>
            <rFont val="Tahoma"/>
            <charset val="1"/>
          </rPr>
          <t>Stability=7,Expiration=7/31/2018</t>
        </r>
      </text>
    </comment>
    <comment ref="L52" authorId="0" shapeId="0" xr:uid="{00000000-0006-0000-0200-00002414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52" authorId="0" shapeId="0" xr:uid="{00000000-0006-0000-0200-000025140000}">
      <text>
        <r>
          <rPr>
            <sz val="9"/>
            <color indexed="81"/>
            <rFont val="Tahoma"/>
            <charset val="1"/>
          </rPr>
          <t>Stability=49,Expiration=10/31/2018</t>
        </r>
      </text>
    </comment>
    <comment ref="N52" authorId="0" shapeId="0" xr:uid="{00000000-0006-0000-0200-000026140000}">
      <text>
        <r>
          <rPr>
            <sz val="9"/>
            <color indexed="81"/>
            <rFont val="Tahoma"/>
            <charset val="1"/>
          </rPr>
          <t>Stability=30,Expiration=11/30/2018</t>
        </r>
      </text>
    </comment>
    <comment ref="O52" authorId="0" shapeId="0" xr:uid="{00000000-0006-0000-0200-00002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2" authorId="0" shapeId="0" xr:uid="{00000000-0006-0000-0200-000028140000}">
      <text>
        <r>
          <rPr>
            <sz val="9"/>
            <color indexed="81"/>
            <rFont val="Tahoma"/>
            <charset val="1"/>
          </rPr>
          <t>Stability=17,Expiration=1/29/2020</t>
        </r>
      </text>
    </comment>
    <comment ref="Q52" authorId="0" shapeId="0" xr:uid="{00000000-0006-0000-0200-000029140000}">
      <text>
        <r>
          <rPr>
            <sz val="9"/>
            <color indexed="81"/>
            <rFont val="Tahoma"/>
            <charset val="1"/>
          </rPr>
          <t>Stability=7,Expiration=5/31/2019</t>
        </r>
      </text>
    </comment>
    <comment ref="R52" authorId="0" shapeId="0" xr:uid="{00000000-0006-0000-0200-00002A140000}">
      <text>
        <r>
          <rPr>
            <sz val="9"/>
            <color indexed="81"/>
            <rFont val="Tahoma"/>
            <charset val="1"/>
          </rPr>
          <t>Stability=60,Expiration=7/14/2018</t>
        </r>
      </text>
    </comment>
    <comment ref="S52" authorId="0" shapeId="0" xr:uid="{00000000-0006-0000-0200-00002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2" authorId="0" shapeId="0" xr:uid="{00000000-0006-0000-0200-00002C140000}">
      <text>
        <r>
          <rPr>
            <sz val="9"/>
            <color indexed="81"/>
            <rFont val="Tahoma"/>
            <charset val="1"/>
          </rPr>
          <t>Stability=13,Expiration=8/14/2018</t>
        </r>
      </text>
    </comment>
    <comment ref="U52" authorId="0" shapeId="0" xr:uid="{00000000-0006-0000-0200-00002D140000}">
      <text>
        <r>
          <rPr>
            <sz val="9"/>
            <color indexed="81"/>
            <rFont val="Tahoma"/>
            <charset val="1"/>
          </rPr>
          <t>Stability=4,Expiration=1/11/2019</t>
        </r>
      </text>
    </comment>
    <comment ref="V52" authorId="0" shapeId="0" xr:uid="{00000000-0006-0000-0200-00002E140000}">
      <text>
        <r>
          <rPr>
            <sz val="9"/>
            <color indexed="81"/>
            <rFont val="Tahoma"/>
            <charset val="1"/>
          </rPr>
          <t>Stability=12,Expiration=12/6/2018</t>
        </r>
      </text>
    </comment>
    <comment ref="W52" authorId="0" shapeId="0" xr:uid="{00000000-0006-0000-0200-00002F140000}">
      <text>
        <r>
          <rPr>
            <sz val="9"/>
            <color indexed="81"/>
            <rFont val="Tahoma"/>
            <charset val="1"/>
          </rPr>
          <t>Stability=21,Expiration=6/30/2019</t>
        </r>
      </text>
    </comment>
    <comment ref="X52" authorId="0" shapeId="0" xr:uid="{00000000-0006-0000-0200-000030140000}">
      <text>
        <r>
          <rPr>
            <sz val="9"/>
            <color indexed="81"/>
            <rFont val="Tahoma"/>
            <charset val="1"/>
          </rPr>
          <t>Stability=24,Expiration=11/4/2018</t>
        </r>
      </text>
    </comment>
    <comment ref="Y52" authorId="0" shapeId="0" xr:uid="{00000000-0006-0000-0200-000031140000}">
      <text>
        <r>
          <rPr>
            <sz val="9"/>
            <color indexed="81"/>
            <rFont val="Tahoma"/>
            <charset val="1"/>
          </rPr>
          <t>Stability=19,Expiration=6/6/2019</t>
        </r>
      </text>
    </comment>
    <comment ref="Z52" authorId="0" shapeId="0" xr:uid="{00000000-0006-0000-0200-000032140000}">
      <text>
        <r>
          <rPr>
            <sz val="9"/>
            <color indexed="81"/>
            <rFont val="Tahoma"/>
            <charset val="1"/>
          </rPr>
          <t>Stability=28,Expiration=1/31/2019</t>
        </r>
      </text>
    </comment>
    <comment ref="AA52" authorId="0" shapeId="0" xr:uid="{00000000-0006-0000-0200-000033140000}">
      <text>
        <r>
          <rPr>
            <sz val="9"/>
            <color indexed="81"/>
            <rFont val="Tahoma"/>
            <charset val="1"/>
          </rPr>
          <t>Stability=9,Expiration=3/14/2019</t>
        </r>
      </text>
    </comment>
    <comment ref="AB52" authorId="0" shapeId="0" xr:uid="{00000000-0006-0000-0200-00003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2" authorId="0" shapeId="0" xr:uid="{00000000-0006-0000-0200-00003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2" authorId="0" shapeId="0" xr:uid="{00000000-0006-0000-0200-00003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2" authorId="0" shapeId="0" xr:uid="{00000000-0006-0000-0200-00003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2" authorId="0" shapeId="0" xr:uid="{00000000-0006-0000-0200-00003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2" authorId="0" shapeId="0" xr:uid="{00000000-0006-0000-0200-00003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2" authorId="0" shapeId="0" xr:uid="{00000000-0006-0000-0200-00003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2" authorId="0" shapeId="0" xr:uid="{00000000-0006-0000-0200-00003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2" authorId="0" shapeId="0" xr:uid="{00000000-0006-0000-0200-00003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2" authorId="0" shapeId="0" xr:uid="{00000000-0006-0000-0200-00003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2" authorId="0" shapeId="0" xr:uid="{00000000-0006-0000-0200-00003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2" authorId="0" shapeId="0" xr:uid="{00000000-0006-0000-0200-00003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2" authorId="0" shapeId="0" xr:uid="{00000000-0006-0000-0200-00004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2" authorId="0" shapeId="0" xr:uid="{00000000-0006-0000-0200-00004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2" authorId="0" shapeId="0" xr:uid="{00000000-0006-0000-0200-00004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2" authorId="0" shapeId="0" xr:uid="{00000000-0006-0000-0200-00004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2" authorId="0" shapeId="0" xr:uid="{00000000-0006-0000-0200-00004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2" authorId="0" shapeId="0" xr:uid="{00000000-0006-0000-0200-00004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2" authorId="0" shapeId="0" xr:uid="{00000000-0006-0000-0200-00004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2" authorId="0" shapeId="0" xr:uid="{00000000-0006-0000-0200-00004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2" authorId="0" shapeId="0" xr:uid="{00000000-0006-0000-0200-00004814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53" authorId="0" shapeId="0" xr:uid="{00000000-0006-0000-0200-000049140000}">
      <text>
        <r>
          <rPr>
            <sz val="9"/>
            <color indexed="81"/>
            <rFont val="Tahoma"/>
            <charset val="1"/>
          </rPr>
          <t>Date macro run: 5/14/2018 10:36:38 PM</t>
        </r>
      </text>
    </comment>
    <comment ref="B53" authorId="0" shapeId="0" xr:uid="{00000000-0006-0000-0200-00004A140000}">
      <text>
        <r>
          <rPr>
            <sz val="9"/>
            <color indexed="81"/>
            <rFont val="Tahoma"/>
            <charset val="1"/>
          </rPr>
          <t>Stability=28,Expiration=5/9/2019</t>
        </r>
      </text>
    </comment>
    <comment ref="C53" authorId="0" shapeId="0" xr:uid="{00000000-0006-0000-0200-00004B14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53" authorId="0" shapeId="0" xr:uid="{00000000-0006-0000-0200-00004C140000}">
      <text>
        <r>
          <rPr>
            <sz val="9"/>
            <color indexed="81"/>
            <rFont val="Tahoma"/>
            <charset val="1"/>
          </rPr>
          <t>Stability=1,Expiration=11/23/2018</t>
        </r>
      </text>
    </comment>
    <comment ref="E53" authorId="0" shapeId="0" xr:uid="{00000000-0006-0000-0200-00004D140000}">
      <text>
        <r>
          <rPr>
            <sz val="9"/>
            <color indexed="81"/>
            <rFont val="Tahoma"/>
            <charset val="1"/>
          </rPr>
          <t>Stability=7,Expiration=12/31/2018</t>
        </r>
      </text>
    </comment>
    <comment ref="F53" authorId="0" shapeId="0" xr:uid="{00000000-0006-0000-0200-00004E140000}">
      <text>
        <r>
          <rPr>
            <sz val="9"/>
            <color indexed="81"/>
            <rFont val="Tahoma"/>
            <charset val="1"/>
          </rPr>
          <t>Stability=25,Expiration=12/27/2018</t>
        </r>
      </text>
    </comment>
    <comment ref="G53" authorId="0" shapeId="0" xr:uid="{00000000-0006-0000-0200-00004F14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H53" authorId="0" shapeId="0" xr:uid="{00000000-0006-0000-0200-000050140000}">
      <text>
        <r>
          <rPr>
            <sz val="9"/>
            <color indexed="81"/>
            <rFont val="Tahoma"/>
            <charset val="1"/>
          </rPr>
          <t>Stability=7,Expiration=6/30/2019</t>
        </r>
      </text>
    </comment>
    <comment ref="I53" authorId="0" shapeId="0" xr:uid="{00000000-0006-0000-0200-000051140000}">
      <text>
        <r>
          <rPr>
            <sz val="9"/>
            <color indexed="81"/>
            <rFont val="Tahoma"/>
            <charset val="1"/>
          </rPr>
          <t>Stability=23,Expiration=7/18/2018</t>
        </r>
      </text>
    </comment>
    <comment ref="J53" authorId="0" shapeId="0" xr:uid="{00000000-0006-0000-0200-000052140000}">
      <text>
        <r>
          <rPr>
            <sz val="9"/>
            <color indexed="81"/>
            <rFont val="Tahoma"/>
            <charset val="1"/>
          </rPr>
          <t>Stability=7,Expiration=7/3/2018</t>
        </r>
      </text>
    </comment>
    <comment ref="K53" authorId="0" shapeId="0" xr:uid="{00000000-0006-0000-0200-000053140000}">
      <text>
        <r>
          <rPr>
            <sz val="9"/>
            <color indexed="81"/>
            <rFont val="Tahoma"/>
            <charset val="1"/>
          </rPr>
          <t>Stability=3,Expiration=7/31/2018</t>
        </r>
      </text>
    </comment>
    <comment ref="L53" authorId="0" shapeId="0" xr:uid="{00000000-0006-0000-0200-00005414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53" authorId="0" shapeId="0" xr:uid="{00000000-0006-0000-0200-000055140000}">
      <text>
        <r>
          <rPr>
            <sz val="9"/>
            <color indexed="81"/>
            <rFont val="Tahoma"/>
            <charset val="1"/>
          </rPr>
          <t>Stability=46,Expiration=10/31/2018</t>
        </r>
      </text>
    </comment>
    <comment ref="N53" authorId="0" shapeId="0" xr:uid="{00000000-0006-0000-0200-000056140000}">
      <text>
        <r>
          <rPr>
            <sz val="9"/>
            <color indexed="81"/>
            <rFont val="Tahoma"/>
            <charset val="1"/>
          </rPr>
          <t>Stability=26,Expiration=11/30/2018</t>
        </r>
      </text>
    </comment>
    <comment ref="O53" authorId="0" shapeId="0" xr:uid="{00000000-0006-0000-0200-00005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3" authorId="0" shapeId="0" xr:uid="{00000000-0006-0000-0200-000058140000}">
      <text>
        <r>
          <rPr>
            <sz val="9"/>
            <color indexed="81"/>
            <rFont val="Tahoma"/>
            <charset val="1"/>
          </rPr>
          <t>Stability=13,Expiration=1/29/2020</t>
        </r>
      </text>
    </comment>
    <comment ref="Q53" authorId="0" shapeId="0" xr:uid="{00000000-0006-0000-0200-000059140000}">
      <text>
        <r>
          <rPr>
            <sz val="9"/>
            <color indexed="81"/>
            <rFont val="Tahoma"/>
            <charset val="1"/>
          </rPr>
          <t>Stability=27,Expiration=5/31/2019</t>
        </r>
      </text>
    </comment>
    <comment ref="R53" authorId="0" shapeId="0" xr:uid="{00000000-0006-0000-0200-00005A140000}">
      <text>
        <r>
          <rPr>
            <sz val="9"/>
            <color indexed="81"/>
            <rFont val="Tahoma"/>
            <charset val="1"/>
          </rPr>
          <t>Stability=57,Expiration=7/14/2018</t>
        </r>
      </text>
    </comment>
    <comment ref="S53" authorId="0" shapeId="0" xr:uid="{00000000-0006-0000-0200-00005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3" authorId="0" shapeId="0" xr:uid="{00000000-0006-0000-0200-00005C14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53" authorId="0" shapeId="0" xr:uid="{00000000-0006-0000-0200-00005D140000}">
      <text>
        <r>
          <rPr>
            <sz val="9"/>
            <color indexed="81"/>
            <rFont val="Tahoma"/>
            <charset val="1"/>
          </rPr>
          <t>Stability=1,Expiration=1/11/2019</t>
        </r>
      </text>
    </comment>
    <comment ref="V53" authorId="0" shapeId="0" xr:uid="{00000000-0006-0000-0200-00005E140000}">
      <text>
        <r>
          <rPr>
            <sz val="9"/>
            <color indexed="81"/>
            <rFont val="Tahoma"/>
            <charset val="1"/>
          </rPr>
          <t>Stability=29,Expiration=12/6/2018</t>
        </r>
      </text>
    </comment>
    <comment ref="W53" authorId="0" shapeId="0" xr:uid="{00000000-0006-0000-0200-00005F14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X53" authorId="0" shapeId="0" xr:uid="{00000000-0006-0000-0200-000060140000}">
      <text>
        <r>
          <rPr>
            <sz val="9"/>
            <color indexed="81"/>
            <rFont val="Tahoma"/>
            <charset val="1"/>
          </rPr>
          <t>Stability=21,Expiration=11/4/2018</t>
        </r>
      </text>
    </comment>
    <comment ref="Y53" authorId="0" shapeId="0" xr:uid="{00000000-0006-0000-0200-000061140000}">
      <text>
        <r>
          <rPr>
            <sz val="9"/>
            <color indexed="81"/>
            <rFont val="Tahoma"/>
            <charset val="1"/>
          </rPr>
          <t>Stability=15,Expiration=6/6/2019</t>
        </r>
      </text>
    </comment>
    <comment ref="Z53" authorId="0" shapeId="0" xr:uid="{00000000-0006-0000-0200-000062140000}">
      <text>
        <r>
          <rPr>
            <sz val="9"/>
            <color indexed="81"/>
            <rFont val="Tahoma"/>
            <charset val="1"/>
          </rPr>
          <t>Stability=24,Expiration=1/31/2019</t>
        </r>
      </text>
    </comment>
    <comment ref="AA53" authorId="0" shapeId="0" xr:uid="{00000000-0006-0000-0200-000063140000}">
      <text>
        <r>
          <rPr>
            <sz val="9"/>
            <color indexed="81"/>
            <rFont val="Tahoma"/>
            <charset val="1"/>
          </rPr>
          <t>Stability=5,Expiration=3/14/2019</t>
        </r>
      </text>
    </comment>
    <comment ref="AB53" authorId="0" shapeId="0" xr:uid="{00000000-0006-0000-0200-00006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3" authorId="0" shapeId="0" xr:uid="{00000000-0006-0000-0200-00006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3" authorId="0" shapeId="0" xr:uid="{00000000-0006-0000-0200-00006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3" authorId="0" shapeId="0" xr:uid="{00000000-0006-0000-0200-00006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3" authorId="0" shapeId="0" xr:uid="{00000000-0006-0000-0200-00006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3" authorId="0" shapeId="0" xr:uid="{00000000-0006-0000-0200-00006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3" authorId="0" shapeId="0" xr:uid="{00000000-0006-0000-0200-00006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3" authorId="0" shapeId="0" xr:uid="{00000000-0006-0000-0200-00006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3" authorId="0" shapeId="0" xr:uid="{00000000-0006-0000-0200-00006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3" authorId="0" shapeId="0" xr:uid="{00000000-0006-0000-0200-00006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3" authorId="0" shapeId="0" xr:uid="{00000000-0006-0000-0200-00006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3" authorId="0" shapeId="0" xr:uid="{00000000-0006-0000-0200-00006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3" authorId="0" shapeId="0" xr:uid="{00000000-0006-0000-0200-00007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3" authorId="0" shapeId="0" xr:uid="{00000000-0006-0000-0200-00007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3" authorId="0" shapeId="0" xr:uid="{00000000-0006-0000-0200-00007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3" authorId="0" shapeId="0" xr:uid="{00000000-0006-0000-0200-00007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3" authorId="0" shapeId="0" xr:uid="{00000000-0006-0000-0200-00007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3" authorId="0" shapeId="0" xr:uid="{00000000-0006-0000-0200-00007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3" authorId="0" shapeId="0" xr:uid="{00000000-0006-0000-0200-00007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3" authorId="0" shapeId="0" xr:uid="{00000000-0006-0000-0200-00007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3" authorId="0" shapeId="0" xr:uid="{00000000-0006-0000-0200-000078140000}">
      <text>
        <r>
          <rPr>
            <sz val="9"/>
            <color indexed="81"/>
            <rFont val="Tahoma"/>
            <charset val="1"/>
          </rPr>
          <t>Stability=23,Expiration=9/25/2018</t>
        </r>
      </text>
    </comment>
    <comment ref="A54" authorId="0" shapeId="0" xr:uid="{00000000-0006-0000-0200-000079140000}">
      <text>
        <r>
          <rPr>
            <sz val="9"/>
            <color indexed="81"/>
            <rFont val="Tahoma"/>
            <charset val="1"/>
          </rPr>
          <t>Date macro run: 5/16/2018 9:21:45 PM</t>
        </r>
      </text>
    </comment>
    <comment ref="B54" authorId="0" shapeId="0" xr:uid="{00000000-0006-0000-0200-00007A140000}">
      <text>
        <r>
          <rPr>
            <sz val="9"/>
            <color indexed="81"/>
            <rFont val="Tahoma"/>
            <charset val="1"/>
          </rPr>
          <t>Stability=26,Expiration=5/9/2019</t>
        </r>
      </text>
    </comment>
    <comment ref="C54" authorId="0" shapeId="0" xr:uid="{00000000-0006-0000-0200-00007B140000}">
      <text>
        <r>
          <rPr>
            <sz val="9"/>
            <color indexed="81"/>
            <rFont val="Tahoma"/>
            <charset val="1"/>
          </rPr>
          <t>Stability=7,Expiration=2/24/2019</t>
        </r>
      </text>
    </comment>
    <comment ref="D54" authorId="0" shapeId="0" xr:uid="{00000000-0006-0000-0200-00007C140000}">
      <text>
        <r>
          <rPr>
            <sz val="9"/>
            <color indexed="81"/>
            <rFont val="Tahoma"/>
            <charset val="1"/>
          </rPr>
          <t>Stability=25,Expiration=11/23/2018</t>
        </r>
      </text>
    </comment>
    <comment ref="E54" authorId="0" shapeId="0" xr:uid="{00000000-0006-0000-0200-00007D14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54" authorId="0" shapeId="0" xr:uid="{00000000-0006-0000-0200-00007E140000}">
      <text>
        <r>
          <rPr>
            <sz val="9"/>
            <color indexed="81"/>
            <rFont val="Tahoma"/>
            <charset val="1"/>
          </rPr>
          <t>Stability=23,Expiration=12/27/2018</t>
        </r>
      </text>
    </comment>
    <comment ref="G54" authorId="0" shapeId="0" xr:uid="{00000000-0006-0000-0200-00007F140000}">
      <text>
        <r>
          <rPr>
            <sz val="9"/>
            <color indexed="81"/>
            <rFont val="Tahoma"/>
            <charset val="1"/>
          </rPr>
          <t>Stability=13,Expiration=10/31/2018</t>
        </r>
      </text>
    </comment>
    <comment ref="H54" authorId="0" shapeId="0" xr:uid="{00000000-0006-0000-0200-000080140000}">
      <text>
        <r>
          <rPr>
            <sz val="9"/>
            <color indexed="81"/>
            <rFont val="Tahoma"/>
            <charset val="1"/>
          </rPr>
          <t>Stability=20,Expiration=6/30/2019</t>
        </r>
      </text>
    </comment>
    <comment ref="I54" authorId="0" shapeId="0" xr:uid="{00000000-0006-0000-0200-000081140000}">
      <text>
        <r>
          <rPr>
            <sz val="9"/>
            <color indexed="81"/>
            <rFont val="Tahoma"/>
            <charset val="1"/>
          </rPr>
          <t>Stability=21,Expiration=7/18/2018</t>
        </r>
      </text>
    </comment>
    <comment ref="J54" authorId="0" shapeId="0" xr:uid="{00000000-0006-0000-0200-000082140000}">
      <text>
        <r>
          <rPr>
            <sz val="9"/>
            <color indexed="81"/>
            <rFont val="Tahoma"/>
            <charset val="1"/>
          </rPr>
          <t>Stability=5,Expiration=7/3/2018</t>
        </r>
      </text>
    </comment>
    <comment ref="K54" authorId="0" shapeId="0" xr:uid="{00000000-0006-0000-0200-00008314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54" authorId="0" shapeId="0" xr:uid="{00000000-0006-0000-0200-00008414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54" authorId="0" shapeId="0" xr:uid="{00000000-0006-0000-0200-000085140000}">
      <text>
        <r>
          <rPr>
            <sz val="9"/>
            <color indexed="81"/>
            <rFont val="Tahoma"/>
            <charset val="1"/>
          </rPr>
          <t>Stability=44,Expiration=10/31/2018</t>
        </r>
      </text>
    </comment>
    <comment ref="N54" authorId="0" shapeId="0" xr:uid="{00000000-0006-0000-0200-000086140000}">
      <text>
        <r>
          <rPr>
            <sz val="9"/>
            <color indexed="81"/>
            <rFont val="Tahoma"/>
            <charset val="1"/>
          </rPr>
          <t>Stability=25,Expiration=11/30/2018</t>
        </r>
      </text>
    </comment>
    <comment ref="O54" authorId="0" shapeId="0" xr:uid="{00000000-0006-0000-0200-00008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4" authorId="0" shapeId="0" xr:uid="{00000000-0006-0000-0200-000088140000}">
      <text>
        <r>
          <rPr>
            <sz val="9"/>
            <color indexed="81"/>
            <rFont val="Tahoma"/>
            <charset val="1"/>
          </rPr>
          <t>Stability=11,Expiration=1/29/2020</t>
        </r>
      </text>
    </comment>
    <comment ref="Q54" authorId="0" shapeId="0" xr:uid="{00000000-0006-0000-0200-000089140000}">
      <text>
        <r>
          <rPr>
            <sz val="9"/>
            <color indexed="81"/>
            <rFont val="Tahoma"/>
            <charset val="1"/>
          </rPr>
          <t>Stability=25,Expiration=5/31/2019</t>
        </r>
      </text>
    </comment>
    <comment ref="R54" authorId="0" shapeId="0" xr:uid="{00000000-0006-0000-0200-00008A140000}">
      <text>
        <r>
          <rPr>
            <sz val="9"/>
            <color indexed="81"/>
            <rFont val="Tahoma"/>
            <charset val="1"/>
          </rPr>
          <t>Stability=55,Expiration=7/14/2018</t>
        </r>
      </text>
    </comment>
    <comment ref="S54" authorId="0" shapeId="0" xr:uid="{00000000-0006-0000-0200-00008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4" authorId="0" shapeId="0" xr:uid="{00000000-0006-0000-0200-00008C140000}">
      <text>
        <r>
          <rPr>
            <sz val="9"/>
            <color indexed="81"/>
            <rFont val="Tahoma"/>
            <charset val="1"/>
          </rPr>
          <t>Stability=7,Expiration=8/14/2018</t>
        </r>
      </text>
    </comment>
    <comment ref="U54" authorId="0" shapeId="0" xr:uid="{00000000-0006-0000-0200-00008D140000}">
      <text>
        <r>
          <rPr>
            <sz val="9"/>
            <color indexed="81"/>
            <rFont val="Tahoma"/>
            <charset val="1"/>
          </rPr>
          <t>Stability=23,Expiration=1/11/2019</t>
        </r>
      </text>
    </comment>
    <comment ref="V54" authorId="0" shapeId="0" xr:uid="{00000000-0006-0000-0200-00008E140000}">
      <text>
        <r>
          <rPr>
            <sz val="9"/>
            <color indexed="81"/>
            <rFont val="Tahoma"/>
            <charset val="1"/>
          </rPr>
          <t>Stability=27,Expiration=12/6/2018</t>
        </r>
      </text>
    </comment>
    <comment ref="W54" authorId="0" shapeId="0" xr:uid="{00000000-0006-0000-0200-00008F140000}">
      <text>
        <r>
          <rPr>
            <sz val="9"/>
            <color indexed="81"/>
            <rFont val="Tahoma"/>
            <charset val="1"/>
          </rPr>
          <t>Stability=16,Expiration=6/30/2019</t>
        </r>
      </text>
    </comment>
    <comment ref="X54" authorId="0" shapeId="0" xr:uid="{00000000-0006-0000-0200-000090140000}">
      <text>
        <r>
          <rPr>
            <sz val="9"/>
            <color indexed="81"/>
            <rFont val="Tahoma"/>
            <charset val="1"/>
          </rPr>
          <t>Stability=19,Expiration=11/4/2018</t>
        </r>
      </text>
    </comment>
    <comment ref="Y54" authorId="0" shapeId="0" xr:uid="{00000000-0006-0000-0200-000091140000}">
      <text>
        <r>
          <rPr>
            <sz val="9"/>
            <color indexed="81"/>
            <rFont val="Tahoma"/>
            <charset val="1"/>
          </rPr>
          <t>Stability=14,Expiration=6/6/2019</t>
        </r>
      </text>
    </comment>
    <comment ref="Z54" authorId="0" shapeId="0" xr:uid="{00000000-0006-0000-0200-000092140000}">
      <text>
        <r>
          <rPr>
            <sz val="9"/>
            <color indexed="81"/>
            <rFont val="Tahoma"/>
            <charset val="1"/>
          </rPr>
          <t>Stability=22,Expiration=1/31/2019</t>
        </r>
      </text>
    </comment>
    <comment ref="AA54" authorId="0" shapeId="0" xr:uid="{00000000-0006-0000-0200-000093140000}">
      <text>
        <r>
          <rPr>
            <sz val="9"/>
            <color indexed="81"/>
            <rFont val="Tahoma"/>
            <charset val="1"/>
          </rPr>
          <t>Stability=4,Expiration=3/14/2019</t>
        </r>
      </text>
    </comment>
    <comment ref="AB54" authorId="0" shapeId="0" xr:uid="{00000000-0006-0000-0200-00009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4" authorId="0" shapeId="0" xr:uid="{00000000-0006-0000-0200-00009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4" authorId="0" shapeId="0" xr:uid="{00000000-0006-0000-0200-00009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4" authorId="0" shapeId="0" xr:uid="{00000000-0006-0000-0200-00009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4" authorId="0" shapeId="0" xr:uid="{00000000-0006-0000-0200-00009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4" authorId="0" shapeId="0" xr:uid="{00000000-0006-0000-0200-00009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4" authorId="0" shapeId="0" xr:uid="{00000000-0006-0000-0200-00009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4" authorId="0" shapeId="0" xr:uid="{00000000-0006-0000-0200-00009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4" authorId="0" shapeId="0" xr:uid="{00000000-0006-0000-0200-00009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4" authorId="0" shapeId="0" xr:uid="{00000000-0006-0000-0200-00009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4" authorId="0" shapeId="0" xr:uid="{00000000-0006-0000-0200-00009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4" authorId="0" shapeId="0" xr:uid="{00000000-0006-0000-0200-00009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4" authorId="0" shapeId="0" xr:uid="{00000000-0006-0000-0200-0000A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4" authorId="0" shapeId="0" xr:uid="{00000000-0006-0000-0200-0000A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4" authorId="0" shapeId="0" xr:uid="{00000000-0006-0000-0200-0000A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4" authorId="0" shapeId="0" xr:uid="{00000000-0006-0000-0200-0000A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4" authorId="0" shapeId="0" xr:uid="{00000000-0006-0000-0200-0000A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4" authorId="0" shapeId="0" xr:uid="{00000000-0006-0000-0200-0000A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4" authorId="0" shapeId="0" xr:uid="{00000000-0006-0000-0200-0000A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4" authorId="0" shapeId="0" xr:uid="{00000000-0006-0000-0200-0000A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4" authorId="0" shapeId="0" xr:uid="{00000000-0006-0000-0200-0000A8140000}">
      <text>
        <r>
          <rPr>
            <sz val="9"/>
            <color indexed="81"/>
            <rFont val="Tahoma"/>
            <charset val="1"/>
          </rPr>
          <t>Stability=21,Expiration=9/25/2018</t>
        </r>
      </text>
    </comment>
    <comment ref="A55" authorId="0" shapeId="0" xr:uid="{00000000-0006-0000-0200-0000A9140000}">
      <text>
        <r>
          <rPr>
            <sz val="9"/>
            <color indexed="81"/>
            <rFont val="Tahoma"/>
            <charset val="1"/>
          </rPr>
          <t>Date macro run: 5/17/2018 10:25:34 PM</t>
        </r>
      </text>
    </comment>
    <comment ref="B55" authorId="0" shapeId="0" xr:uid="{00000000-0006-0000-0200-0000AA140000}">
      <text>
        <r>
          <rPr>
            <sz val="9"/>
            <color indexed="81"/>
            <rFont val="Tahoma"/>
            <charset val="1"/>
          </rPr>
          <t>Stability=25,Expiration=5/9/2019</t>
        </r>
      </text>
    </comment>
    <comment ref="C55" authorId="0" shapeId="0" xr:uid="{00000000-0006-0000-0200-0000AB140000}">
      <text>
        <r>
          <rPr>
            <sz val="9"/>
            <color indexed="81"/>
            <rFont val="Tahoma"/>
            <charset val="1"/>
          </rPr>
          <t>Stability=6,Expiration=2/24/2019</t>
        </r>
      </text>
    </comment>
    <comment ref="D55" authorId="0" shapeId="0" xr:uid="{00000000-0006-0000-0200-0000AC140000}">
      <text>
        <r>
          <rPr>
            <sz val="9"/>
            <color indexed="81"/>
            <rFont val="Tahoma"/>
            <charset val="1"/>
          </rPr>
          <t>Stability=24,Expiration=11/23/2018</t>
        </r>
      </text>
    </comment>
    <comment ref="E55" authorId="0" shapeId="0" xr:uid="{00000000-0006-0000-0200-0000AD140000}">
      <text>
        <r>
          <rPr>
            <sz val="9"/>
            <color indexed="81"/>
            <rFont val="Tahoma"/>
            <charset val="1"/>
          </rPr>
          <t>Stability=12,Expiration=12/31/2018</t>
        </r>
      </text>
    </comment>
    <comment ref="F55" authorId="0" shapeId="0" xr:uid="{00000000-0006-0000-0200-0000AE140000}">
      <text>
        <r>
          <rPr>
            <sz val="9"/>
            <color indexed="81"/>
            <rFont val="Tahoma"/>
            <charset val="1"/>
          </rPr>
          <t>Stability=22,Expiration=12/27/2018</t>
        </r>
      </text>
    </comment>
    <comment ref="G55" authorId="0" shapeId="0" xr:uid="{00000000-0006-0000-0200-0000AF14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55" authorId="0" shapeId="0" xr:uid="{00000000-0006-0000-0200-0000B014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55" authorId="0" shapeId="0" xr:uid="{00000000-0006-0000-0200-0000B1140000}">
      <text>
        <r>
          <rPr>
            <sz val="9"/>
            <color indexed="81"/>
            <rFont val="Tahoma"/>
            <charset val="1"/>
          </rPr>
          <t>Stability=20,Expiration=7/18/2018</t>
        </r>
      </text>
    </comment>
    <comment ref="J55" authorId="0" shapeId="0" xr:uid="{00000000-0006-0000-0200-0000B2140000}">
      <text>
        <r>
          <rPr>
            <sz val="9"/>
            <color indexed="81"/>
            <rFont val="Tahoma"/>
            <charset val="1"/>
          </rPr>
          <t>Stability=4,Expiration=7/3/2018</t>
        </r>
      </text>
    </comment>
    <comment ref="K55" authorId="0" shapeId="0" xr:uid="{00000000-0006-0000-0200-0000B314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55" authorId="0" shapeId="0" xr:uid="{00000000-0006-0000-0200-0000B4140000}">
      <text>
        <r>
          <rPr>
            <sz val="9"/>
            <color indexed="81"/>
            <rFont val="Tahoma"/>
            <charset val="1"/>
          </rPr>
          <t>Stability=4,Expiration=5/13/2019</t>
        </r>
      </text>
    </comment>
    <comment ref="M55" authorId="0" shapeId="0" xr:uid="{00000000-0006-0000-0200-0000B5140000}">
      <text>
        <r>
          <rPr>
            <sz val="9"/>
            <color indexed="81"/>
            <rFont val="Tahoma"/>
            <charset val="1"/>
          </rPr>
          <t>Stability=43,Expiration=10/31/2018</t>
        </r>
      </text>
    </comment>
    <comment ref="N55" authorId="0" shapeId="0" xr:uid="{00000000-0006-0000-0200-0000B6140000}">
      <text>
        <r>
          <rPr>
            <sz val="9"/>
            <color indexed="81"/>
            <rFont val="Tahoma"/>
            <charset val="1"/>
          </rPr>
          <t>Stability=23,Expiration=11/30/2018</t>
        </r>
      </text>
    </comment>
    <comment ref="O55" authorId="0" shapeId="0" xr:uid="{00000000-0006-0000-0200-0000B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5" authorId="0" shapeId="0" xr:uid="{00000000-0006-0000-0200-0000B8140000}">
      <text>
        <r>
          <rPr>
            <sz val="9"/>
            <color indexed="81"/>
            <rFont val="Tahoma"/>
            <charset val="1"/>
          </rPr>
          <t>Stability=10,Expiration=1/29/2020</t>
        </r>
      </text>
    </comment>
    <comment ref="Q55" authorId="0" shapeId="0" xr:uid="{00000000-0006-0000-0200-0000B9140000}">
      <text>
        <r>
          <rPr>
            <sz val="9"/>
            <color indexed="81"/>
            <rFont val="Tahoma"/>
            <charset val="1"/>
          </rPr>
          <t>Stability=24,Expiration=5/31/2019</t>
        </r>
      </text>
    </comment>
    <comment ref="R55" authorId="0" shapeId="0" xr:uid="{00000000-0006-0000-0200-0000BA140000}">
      <text>
        <r>
          <rPr>
            <sz val="9"/>
            <color indexed="81"/>
            <rFont val="Tahoma"/>
            <charset val="1"/>
          </rPr>
          <t>Stability=54,Expiration=7/14/2018</t>
        </r>
      </text>
    </comment>
    <comment ref="S55" authorId="0" shapeId="0" xr:uid="{00000000-0006-0000-0200-0000B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5" authorId="0" shapeId="0" xr:uid="{00000000-0006-0000-0200-0000BC140000}">
      <text>
        <r>
          <rPr>
            <sz val="9"/>
            <color indexed="81"/>
            <rFont val="Tahoma"/>
            <charset val="1"/>
          </rPr>
          <t>Stability=6,Expiration=8/14/2018</t>
        </r>
      </text>
    </comment>
    <comment ref="U55" authorId="0" shapeId="0" xr:uid="{00000000-0006-0000-0200-0000BD140000}">
      <text>
        <r>
          <rPr>
            <sz val="9"/>
            <color indexed="81"/>
            <rFont val="Tahoma"/>
            <charset val="1"/>
          </rPr>
          <t>Stability=22,Expiration=1/11/2019</t>
        </r>
      </text>
    </comment>
    <comment ref="V55" authorId="0" shapeId="0" xr:uid="{00000000-0006-0000-0200-0000BE140000}">
      <text>
        <r>
          <rPr>
            <sz val="9"/>
            <color indexed="81"/>
            <rFont val="Tahoma"/>
            <charset val="1"/>
          </rPr>
          <t>Stability=26,Expiration=12/6/2018</t>
        </r>
      </text>
    </comment>
    <comment ref="W55" authorId="0" shapeId="0" xr:uid="{00000000-0006-0000-0200-0000BF140000}">
      <text>
        <r>
          <rPr>
            <sz val="9"/>
            <color indexed="81"/>
            <rFont val="Tahoma"/>
            <charset val="1"/>
          </rPr>
          <t>Stability=15,Expiration=6/30/2019</t>
        </r>
      </text>
    </comment>
    <comment ref="X55" authorId="0" shapeId="0" xr:uid="{00000000-0006-0000-0200-0000C0140000}">
      <text>
        <r>
          <rPr>
            <sz val="9"/>
            <color indexed="81"/>
            <rFont val="Tahoma"/>
            <charset val="1"/>
          </rPr>
          <t>Stability=18,Expiration=11/4/2018</t>
        </r>
      </text>
    </comment>
    <comment ref="Y55" authorId="0" shapeId="0" xr:uid="{00000000-0006-0000-0200-0000C1140000}">
      <text>
        <r>
          <rPr>
            <sz val="9"/>
            <color indexed="81"/>
            <rFont val="Tahoma"/>
            <charset val="1"/>
          </rPr>
          <t>Stability=12,Expiration=6/6/2019</t>
        </r>
      </text>
    </comment>
    <comment ref="Z55" authorId="0" shapeId="0" xr:uid="{00000000-0006-0000-0200-0000C2140000}">
      <text>
        <r>
          <rPr>
            <sz val="9"/>
            <color indexed="81"/>
            <rFont val="Tahoma"/>
            <charset val="1"/>
          </rPr>
          <t>Stability=21,Expiration=1/31/2019</t>
        </r>
      </text>
    </comment>
    <comment ref="AA55" authorId="0" shapeId="0" xr:uid="{00000000-0006-0000-0200-0000C3140000}">
      <text>
        <r>
          <rPr>
            <sz val="9"/>
            <color indexed="81"/>
            <rFont val="Tahoma"/>
            <charset val="1"/>
          </rPr>
          <t>Stability=2,Expiration=3/14/2019</t>
        </r>
      </text>
    </comment>
    <comment ref="AB55" authorId="0" shapeId="0" xr:uid="{00000000-0006-0000-0200-0000C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5" authorId="0" shapeId="0" xr:uid="{00000000-0006-0000-0200-0000C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5" authorId="0" shapeId="0" xr:uid="{00000000-0006-0000-0200-0000C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5" authorId="0" shapeId="0" xr:uid="{00000000-0006-0000-0200-0000C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5" authorId="0" shapeId="0" xr:uid="{00000000-0006-0000-0200-0000C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5" authorId="0" shapeId="0" xr:uid="{00000000-0006-0000-0200-0000C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5" authorId="0" shapeId="0" xr:uid="{00000000-0006-0000-0200-0000C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5" authorId="0" shapeId="0" xr:uid="{00000000-0006-0000-0200-0000C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5" authorId="0" shapeId="0" xr:uid="{00000000-0006-0000-0200-0000C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5" authorId="0" shapeId="0" xr:uid="{00000000-0006-0000-0200-0000C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5" authorId="0" shapeId="0" xr:uid="{00000000-0006-0000-0200-0000C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5" authorId="0" shapeId="0" xr:uid="{00000000-0006-0000-0200-0000C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5" authorId="0" shapeId="0" xr:uid="{00000000-0006-0000-0200-0000D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5" authorId="0" shapeId="0" xr:uid="{00000000-0006-0000-0200-0000D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5" authorId="0" shapeId="0" xr:uid="{00000000-0006-0000-0200-0000D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5" authorId="0" shapeId="0" xr:uid="{00000000-0006-0000-0200-0000D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5" authorId="0" shapeId="0" xr:uid="{00000000-0006-0000-0200-0000D414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5" authorId="0" shapeId="0" xr:uid="{00000000-0006-0000-0200-0000D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5" authorId="0" shapeId="0" xr:uid="{00000000-0006-0000-0200-0000D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5" authorId="0" shapeId="0" xr:uid="{00000000-0006-0000-0200-0000D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5" authorId="0" shapeId="0" xr:uid="{00000000-0006-0000-0200-0000D814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56" authorId="0" shapeId="0" xr:uid="{00000000-0006-0000-0200-0000D9140000}">
      <text>
        <r>
          <rPr>
            <sz val="9"/>
            <color indexed="81"/>
            <rFont val="Tahoma"/>
            <charset val="1"/>
          </rPr>
          <t>Date macro run: 5/21/2018 10:35:42 PM</t>
        </r>
      </text>
    </comment>
    <comment ref="B56" authorId="0" shapeId="0" xr:uid="{00000000-0006-0000-0200-0000DA140000}">
      <text>
        <r>
          <rPr>
            <sz val="9"/>
            <color indexed="81"/>
            <rFont val="Tahoma"/>
            <charset val="1"/>
          </rPr>
          <t>Stability=21,Expiration=5/9/2019</t>
        </r>
      </text>
    </comment>
    <comment ref="C56" authorId="0" shapeId="0" xr:uid="{00000000-0006-0000-0200-0000DB14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56" authorId="0" shapeId="0" xr:uid="{00000000-0006-0000-0200-0000DC14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56" authorId="0" shapeId="0" xr:uid="{00000000-0006-0000-0200-0000DD140000}">
      <text>
        <r>
          <rPr>
            <sz val="9"/>
            <color indexed="81"/>
            <rFont val="Tahoma"/>
            <charset val="1"/>
          </rPr>
          <t>Stability=8,Expiration=12/31/2018</t>
        </r>
      </text>
    </comment>
    <comment ref="F56" authorId="0" shapeId="0" xr:uid="{00000000-0006-0000-0200-0000DE140000}">
      <text>
        <r>
          <rPr>
            <sz val="9"/>
            <color indexed="81"/>
            <rFont val="Tahoma"/>
            <charset val="1"/>
          </rPr>
          <t>Stability=18,Expiration=12/27/2018</t>
        </r>
      </text>
    </comment>
    <comment ref="G56" authorId="0" shapeId="0" xr:uid="{00000000-0006-0000-0200-0000DF140000}">
      <text>
        <r>
          <rPr>
            <sz val="9"/>
            <color indexed="81"/>
            <rFont val="Tahoma"/>
            <charset val="1"/>
          </rPr>
          <t>Stability=8,Expiration=10/31/2018</t>
        </r>
      </text>
    </comment>
    <comment ref="H56" authorId="0" shapeId="0" xr:uid="{00000000-0006-0000-0200-0000E0140000}">
      <text>
        <r>
          <rPr>
            <sz val="9"/>
            <color indexed="81"/>
            <rFont val="Tahoma"/>
            <charset val="1"/>
          </rPr>
          <t>Stability=14,Expiration=6/30/2019</t>
        </r>
      </text>
    </comment>
    <comment ref="I56" authorId="0" shapeId="0" xr:uid="{00000000-0006-0000-0200-0000E1140000}">
      <text>
        <r>
          <rPr>
            <sz val="9"/>
            <color indexed="81"/>
            <rFont val="Tahoma"/>
            <charset val="1"/>
          </rPr>
          <t>Stability=16,Expiration=7/18/2018</t>
        </r>
      </text>
    </comment>
    <comment ref="J56" authorId="0" shapeId="0" xr:uid="{00000000-0006-0000-0200-0000E2140000}">
      <text>
        <r>
          <rPr>
            <sz val="9"/>
            <color indexed="81"/>
            <rFont val="Tahoma"/>
            <charset val="1"/>
          </rPr>
          <t>Stability=29,Expiration=7/3/2018</t>
        </r>
      </text>
    </comment>
    <comment ref="K56" authorId="0" shapeId="0" xr:uid="{00000000-0006-0000-0200-0000E3140000}">
      <text>
        <r>
          <rPr>
            <sz val="9"/>
            <color indexed="81"/>
            <rFont val="Tahoma"/>
            <charset val="1"/>
          </rPr>
          <t>Stability=9,Expiration=7/31/2018</t>
        </r>
      </text>
    </comment>
    <comment ref="L56" authorId="0" shapeId="0" xr:uid="{00000000-0006-0000-0200-0000E414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56" authorId="0" shapeId="0" xr:uid="{00000000-0006-0000-0200-0000E5140000}">
      <text>
        <r>
          <rPr>
            <sz val="9"/>
            <color indexed="81"/>
            <rFont val="Tahoma"/>
            <charset val="1"/>
          </rPr>
          <t>Stability=39,Expiration=10/31/2018</t>
        </r>
      </text>
    </comment>
    <comment ref="N56" authorId="0" shapeId="0" xr:uid="{00000000-0006-0000-0200-0000E6140000}">
      <text>
        <r>
          <rPr>
            <sz val="9"/>
            <color indexed="81"/>
            <rFont val="Tahoma"/>
            <charset val="1"/>
          </rPr>
          <t>Stability=19,Expiration=11/30/2018</t>
        </r>
      </text>
    </comment>
    <comment ref="O56" authorId="0" shapeId="0" xr:uid="{00000000-0006-0000-0200-0000E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6" authorId="0" shapeId="0" xr:uid="{00000000-0006-0000-0200-0000E8140000}">
      <text>
        <r>
          <rPr>
            <sz val="9"/>
            <color indexed="81"/>
            <rFont val="Tahoma"/>
            <charset val="1"/>
          </rPr>
          <t>Stability=6,Expiration=1/29/2020</t>
        </r>
      </text>
    </comment>
    <comment ref="Q56" authorId="0" shapeId="0" xr:uid="{00000000-0006-0000-0200-0000E9140000}">
      <text>
        <r>
          <rPr>
            <sz val="9"/>
            <color indexed="81"/>
            <rFont val="Tahoma"/>
            <charset val="1"/>
          </rPr>
          <t>Stability=20,Expiration=5/31/2019</t>
        </r>
      </text>
    </comment>
    <comment ref="R56" authorId="0" shapeId="0" xr:uid="{00000000-0006-0000-0200-0000EA140000}">
      <text>
        <r>
          <rPr>
            <sz val="9"/>
            <color indexed="81"/>
            <rFont val="Tahoma"/>
            <charset val="1"/>
          </rPr>
          <t>Stability=50,Expiration=7/14/2018</t>
        </r>
      </text>
    </comment>
    <comment ref="S56" authorId="0" shapeId="0" xr:uid="{00000000-0006-0000-0200-0000E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6" authorId="0" shapeId="0" xr:uid="{00000000-0006-0000-0200-0000EC140000}">
      <text>
        <r>
          <rPr>
            <sz val="9"/>
            <color indexed="81"/>
            <rFont val="Tahoma"/>
            <charset val="1"/>
          </rPr>
          <t>Stability=2,Expiration=8/14/2018</t>
        </r>
      </text>
    </comment>
    <comment ref="U56" authorId="0" shapeId="0" xr:uid="{00000000-0006-0000-0200-0000ED140000}">
      <text>
        <r>
          <rPr>
            <sz val="9"/>
            <color indexed="81"/>
            <rFont val="Tahoma"/>
            <charset val="1"/>
          </rPr>
          <t>Stability=18,Expiration=1/11/2019</t>
        </r>
      </text>
    </comment>
    <comment ref="V56" authorId="0" shapeId="0" xr:uid="{00000000-0006-0000-0200-0000EE140000}">
      <text>
        <r>
          <rPr>
            <sz val="9"/>
            <color indexed="81"/>
            <rFont val="Tahoma"/>
            <charset val="1"/>
          </rPr>
          <t>Stability=22,Expiration=12/6/2018</t>
        </r>
      </text>
    </comment>
    <comment ref="W56" authorId="0" shapeId="0" xr:uid="{00000000-0006-0000-0200-0000EF140000}">
      <text>
        <r>
          <rPr>
            <sz val="9"/>
            <color indexed="81"/>
            <rFont val="Tahoma"/>
            <charset val="1"/>
          </rPr>
          <t>Stability=11,Expiration=6/30/2019</t>
        </r>
      </text>
    </comment>
    <comment ref="X56" authorId="0" shapeId="0" xr:uid="{00000000-0006-0000-0200-0000F0140000}">
      <text>
        <r>
          <rPr>
            <sz val="9"/>
            <color indexed="81"/>
            <rFont val="Tahoma"/>
            <charset val="1"/>
          </rPr>
          <t>Stability=14,Expiration=11/4/2018</t>
        </r>
      </text>
    </comment>
    <comment ref="Y56" authorId="0" shapeId="0" xr:uid="{00000000-0006-0000-0200-0000F1140000}">
      <text>
        <r>
          <rPr>
            <sz val="9"/>
            <color indexed="81"/>
            <rFont val="Tahoma"/>
            <charset val="1"/>
          </rPr>
          <t>Stability=8,Expiration=6/6/2019</t>
        </r>
      </text>
    </comment>
    <comment ref="Z56" authorId="0" shapeId="0" xr:uid="{00000000-0006-0000-0200-0000F2140000}">
      <text>
        <r>
          <rPr>
            <sz val="9"/>
            <color indexed="81"/>
            <rFont val="Tahoma"/>
            <charset val="1"/>
          </rPr>
          <t>Stability=17,Expiration=1/31/2019</t>
        </r>
      </text>
    </comment>
    <comment ref="AA56" authorId="0" shapeId="0" xr:uid="{00000000-0006-0000-0200-0000F3140000}">
      <text>
        <r>
          <rPr>
            <sz val="9"/>
            <color indexed="81"/>
            <rFont val="Tahoma"/>
            <charset val="1"/>
          </rPr>
          <t>Stability=28,Expiration=3/14/2019</t>
        </r>
      </text>
    </comment>
    <comment ref="AB56" authorId="0" shapeId="0" xr:uid="{00000000-0006-0000-0200-0000F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6" authorId="0" shapeId="0" xr:uid="{00000000-0006-0000-0200-0000F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6" authorId="0" shapeId="0" xr:uid="{00000000-0006-0000-0200-0000F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6" authorId="0" shapeId="0" xr:uid="{00000000-0006-0000-0200-0000F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6" authorId="0" shapeId="0" xr:uid="{00000000-0006-0000-0200-0000F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6" authorId="0" shapeId="0" xr:uid="{00000000-0006-0000-0200-0000F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6" authorId="0" shapeId="0" xr:uid="{00000000-0006-0000-0200-0000F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6" authorId="0" shapeId="0" xr:uid="{00000000-0006-0000-0200-0000F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6" authorId="0" shapeId="0" xr:uid="{00000000-0006-0000-0200-0000F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6" authorId="0" shapeId="0" xr:uid="{00000000-0006-0000-0200-0000F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6" authorId="0" shapeId="0" xr:uid="{00000000-0006-0000-0200-0000F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6" authorId="0" shapeId="0" xr:uid="{00000000-0006-0000-0200-0000F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6" authorId="0" shapeId="0" xr:uid="{00000000-0006-0000-0200-00000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6" authorId="0" shapeId="0" xr:uid="{00000000-0006-0000-0200-00000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6" authorId="0" shapeId="0" xr:uid="{00000000-0006-0000-0200-00000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6" authorId="0" shapeId="0" xr:uid="{00000000-0006-0000-0200-00000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6" authorId="0" shapeId="0" xr:uid="{00000000-0006-0000-0200-00000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6" authorId="0" shapeId="0" xr:uid="{00000000-0006-0000-0200-00000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6" authorId="0" shapeId="0" xr:uid="{00000000-0006-0000-0200-00000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6" authorId="0" shapeId="0" xr:uid="{00000000-0006-0000-0200-00000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6" authorId="0" shapeId="0" xr:uid="{00000000-0006-0000-0200-00000815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57" authorId="0" shapeId="0" xr:uid="{00000000-0006-0000-0200-000009150000}">
      <text>
        <r>
          <rPr>
            <sz val="9"/>
            <color indexed="81"/>
            <rFont val="Tahoma"/>
            <charset val="1"/>
          </rPr>
          <t>Date macro run: 5/23/2018 8:57:00 PM</t>
        </r>
      </text>
    </comment>
    <comment ref="B57" authorId="0" shapeId="0" xr:uid="{00000000-0006-0000-0200-00000A150000}">
      <text>
        <r>
          <rPr>
            <sz val="9"/>
            <color indexed="81"/>
            <rFont val="Tahoma"/>
            <charset val="1"/>
          </rPr>
          <t>Stability=19,Expiration=5/9/2019</t>
        </r>
      </text>
    </comment>
    <comment ref="C57" authorId="0" shapeId="0" xr:uid="{00000000-0006-0000-0200-00000B15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57" authorId="0" shapeId="0" xr:uid="{00000000-0006-0000-0200-00000C150000}">
      <text>
        <r>
          <rPr>
            <sz val="9"/>
            <color indexed="81"/>
            <rFont val="Tahoma"/>
            <charset val="1"/>
          </rPr>
          <t>Stability=18,Expiration=11/23/2018</t>
        </r>
      </text>
    </comment>
    <comment ref="E57" authorId="0" shapeId="0" xr:uid="{00000000-0006-0000-0200-00000D150000}">
      <text>
        <r>
          <rPr>
            <sz val="9"/>
            <color indexed="81"/>
            <rFont val="Tahoma"/>
            <charset val="1"/>
          </rPr>
          <t>Stability=14,Expiration=12/31/2018</t>
        </r>
      </text>
    </comment>
    <comment ref="F57" authorId="0" shapeId="0" xr:uid="{00000000-0006-0000-0200-00000E150000}">
      <text>
        <r>
          <rPr>
            <sz val="9"/>
            <color indexed="81"/>
            <rFont val="Tahoma"/>
            <charset val="1"/>
          </rPr>
          <t>Stability=16,Expiration=12/27/2018</t>
        </r>
      </text>
    </comment>
    <comment ref="G57" authorId="0" shapeId="0" xr:uid="{00000000-0006-0000-0200-00000F150000}">
      <text>
        <r>
          <rPr>
            <sz val="9"/>
            <color indexed="81"/>
            <rFont val="Tahoma"/>
            <charset val="1"/>
          </rPr>
          <t>Stability=6,Expiration=10/31/2018</t>
        </r>
      </text>
    </comment>
    <comment ref="H57" authorId="0" shapeId="0" xr:uid="{00000000-0006-0000-0200-000010150000}">
      <text>
        <r>
          <rPr>
            <sz val="9"/>
            <color indexed="81"/>
            <rFont val="Tahoma"/>
            <charset val="1"/>
          </rPr>
          <t>Stability=13,Expiration=6/30/2019</t>
        </r>
      </text>
    </comment>
    <comment ref="I57" authorId="0" shapeId="0" xr:uid="{00000000-0006-0000-0200-000011150000}">
      <text>
        <r>
          <rPr>
            <sz val="9"/>
            <color indexed="81"/>
            <rFont val="Tahoma"/>
            <charset val="1"/>
          </rPr>
          <t>Stability=27,Expiration=7/18/2018</t>
        </r>
      </text>
    </comment>
    <comment ref="J57" authorId="0" shapeId="0" xr:uid="{00000000-0006-0000-0200-000012150000}">
      <text>
        <r>
          <rPr>
            <sz val="9"/>
            <color indexed="81"/>
            <rFont val="Tahoma"/>
            <charset val="1"/>
          </rPr>
          <t>Stability=27,Expiration=7/3/2018</t>
        </r>
      </text>
    </comment>
    <comment ref="K57" authorId="0" shapeId="0" xr:uid="{00000000-0006-0000-0200-000013150000}">
      <text>
        <r>
          <rPr>
            <sz val="9"/>
            <color indexed="81"/>
            <rFont val="Tahoma"/>
            <charset val="1"/>
          </rPr>
          <t>Stability=8,Expiration=7/31/2018</t>
        </r>
      </text>
    </comment>
    <comment ref="L57" authorId="0" shapeId="0" xr:uid="{00000000-0006-0000-0200-00001415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57" authorId="0" shapeId="0" xr:uid="{00000000-0006-0000-0200-000015150000}">
      <text>
        <r>
          <rPr>
            <sz val="9"/>
            <color indexed="81"/>
            <rFont val="Tahoma"/>
            <charset val="1"/>
          </rPr>
          <t>Stability=37,Expiration=10/31/2018</t>
        </r>
      </text>
    </comment>
    <comment ref="N57" authorId="0" shapeId="0" xr:uid="{00000000-0006-0000-0200-000016150000}">
      <text>
        <r>
          <rPr>
            <sz val="9"/>
            <color indexed="81"/>
            <rFont val="Tahoma"/>
            <charset val="1"/>
          </rPr>
          <t>Stability=18,Expiration=11/30/2018</t>
        </r>
      </text>
    </comment>
    <comment ref="O57" authorId="0" shapeId="0" xr:uid="{00000000-0006-0000-0200-00001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7" authorId="0" shapeId="0" xr:uid="{00000000-0006-0000-0200-000018150000}">
      <text>
        <r>
          <rPr>
            <sz val="9"/>
            <color indexed="81"/>
            <rFont val="Tahoma"/>
            <charset val="1"/>
          </rPr>
          <t>Stability=21,Expiration=1/29/2020</t>
        </r>
      </text>
    </comment>
    <comment ref="Q57" authorId="0" shapeId="0" xr:uid="{00000000-0006-0000-0200-000019150000}">
      <text>
        <r>
          <rPr>
            <sz val="9"/>
            <color indexed="81"/>
            <rFont val="Tahoma"/>
            <charset val="1"/>
          </rPr>
          <t>Stability=18,Expiration=5/31/2019</t>
        </r>
      </text>
    </comment>
    <comment ref="R57" authorId="0" shapeId="0" xr:uid="{00000000-0006-0000-0200-00001A150000}">
      <text>
        <r>
          <rPr>
            <sz val="9"/>
            <color indexed="81"/>
            <rFont val="Tahoma"/>
            <charset val="1"/>
          </rPr>
          <t>Stability=48,Expiration=7/14/2018</t>
        </r>
      </text>
    </comment>
    <comment ref="S57" authorId="0" shapeId="0" xr:uid="{00000000-0006-0000-0200-00001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7" authorId="0" shapeId="0" xr:uid="{00000000-0006-0000-0200-00001C150000}">
      <text>
        <r>
          <rPr>
            <sz val="9"/>
            <color indexed="81"/>
            <rFont val="Tahoma"/>
            <charset val="1"/>
          </rPr>
          <t>Stability=1,Expiration=8/14/2018</t>
        </r>
      </text>
    </comment>
    <comment ref="U57" authorId="0" shapeId="0" xr:uid="{00000000-0006-0000-0200-00001D150000}">
      <text>
        <r>
          <rPr>
            <sz val="9"/>
            <color indexed="81"/>
            <rFont val="Tahoma"/>
            <charset val="1"/>
          </rPr>
          <t>Stability=16,Expiration=1/11/2019</t>
        </r>
      </text>
    </comment>
    <comment ref="V57" authorId="0" shapeId="0" xr:uid="{00000000-0006-0000-0200-00001E150000}">
      <text>
        <r>
          <rPr>
            <sz val="9"/>
            <color indexed="81"/>
            <rFont val="Tahoma"/>
            <charset val="1"/>
          </rPr>
          <t>Stability=20,Expiration=12/6/2018</t>
        </r>
      </text>
    </comment>
    <comment ref="W57" authorId="0" shapeId="0" xr:uid="{00000000-0006-0000-0200-00001F150000}">
      <text>
        <r>
          <rPr>
            <sz val="9"/>
            <color indexed="81"/>
            <rFont val="Tahoma"/>
            <charset val="1"/>
          </rPr>
          <t>Stability=9,Expiration=6/30/2019</t>
        </r>
      </text>
    </comment>
    <comment ref="X57" authorId="0" shapeId="0" xr:uid="{00000000-0006-0000-0200-000020150000}">
      <text>
        <r>
          <rPr>
            <sz val="9"/>
            <color indexed="81"/>
            <rFont val="Tahoma"/>
            <charset val="1"/>
          </rPr>
          <t>Stability=29,Expiration=11/4/2018</t>
        </r>
      </text>
    </comment>
    <comment ref="Y57" authorId="0" shapeId="0" xr:uid="{00000000-0006-0000-0200-000021150000}">
      <text>
        <r>
          <rPr>
            <sz val="9"/>
            <color indexed="81"/>
            <rFont val="Tahoma"/>
            <charset val="1"/>
          </rPr>
          <t>Stability=29,Expiration=6/6/2019</t>
        </r>
      </text>
    </comment>
    <comment ref="Z57" authorId="0" shapeId="0" xr:uid="{00000000-0006-0000-0200-000022150000}">
      <text>
        <r>
          <rPr>
            <sz val="9"/>
            <color indexed="81"/>
            <rFont val="Tahoma"/>
            <charset val="1"/>
          </rPr>
          <t>Stability=15,Expiration=1/31/2019</t>
        </r>
      </text>
    </comment>
    <comment ref="AA57" authorId="0" shapeId="0" xr:uid="{00000000-0006-0000-0200-000023150000}">
      <text>
        <r>
          <rPr>
            <sz val="9"/>
            <color indexed="81"/>
            <rFont val="Tahoma"/>
            <charset val="1"/>
          </rPr>
          <t>Stability=26,Expiration=3/14/2019</t>
        </r>
      </text>
    </comment>
    <comment ref="AB57" authorId="0" shapeId="0" xr:uid="{00000000-0006-0000-0200-00002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7" authorId="0" shapeId="0" xr:uid="{00000000-0006-0000-0200-00002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7" authorId="0" shapeId="0" xr:uid="{00000000-0006-0000-0200-00002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7" authorId="0" shapeId="0" xr:uid="{00000000-0006-0000-0200-00002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7" authorId="0" shapeId="0" xr:uid="{00000000-0006-0000-0200-00002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7" authorId="0" shapeId="0" xr:uid="{00000000-0006-0000-0200-00002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7" authorId="0" shapeId="0" xr:uid="{00000000-0006-0000-0200-00002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7" authorId="0" shapeId="0" xr:uid="{00000000-0006-0000-0200-00002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7" authorId="0" shapeId="0" xr:uid="{00000000-0006-0000-0200-00002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7" authorId="0" shapeId="0" xr:uid="{00000000-0006-0000-0200-00002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7" authorId="0" shapeId="0" xr:uid="{00000000-0006-0000-0200-00002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7" authorId="0" shapeId="0" xr:uid="{00000000-0006-0000-0200-00002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7" authorId="0" shapeId="0" xr:uid="{00000000-0006-0000-0200-00003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7" authorId="0" shapeId="0" xr:uid="{00000000-0006-0000-0200-00003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7" authorId="0" shapeId="0" xr:uid="{00000000-0006-0000-0200-00003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7" authorId="0" shapeId="0" xr:uid="{00000000-0006-0000-0200-00003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7" authorId="0" shapeId="0" xr:uid="{00000000-0006-0000-0200-00003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7" authorId="0" shapeId="0" xr:uid="{00000000-0006-0000-0200-00003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7" authorId="0" shapeId="0" xr:uid="{00000000-0006-0000-0200-00003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7" authorId="0" shapeId="0" xr:uid="{00000000-0006-0000-0200-00003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7" authorId="0" shapeId="0" xr:uid="{00000000-0006-0000-0200-00003815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58" authorId="0" shapeId="0" xr:uid="{00000000-0006-0000-0200-000039150000}">
      <text>
        <r>
          <rPr>
            <sz val="9"/>
            <color indexed="81"/>
            <rFont val="Tahoma"/>
            <charset val="1"/>
          </rPr>
          <t>Date macro run: 5/25/2018 6:35:44 PM</t>
        </r>
      </text>
    </comment>
    <comment ref="B58" authorId="0" shapeId="0" xr:uid="{00000000-0006-0000-0200-00003A150000}">
      <text>
        <r>
          <rPr>
            <sz val="9"/>
            <color indexed="81"/>
            <rFont val="Tahoma"/>
            <charset val="1"/>
          </rPr>
          <t>Stability=18,Expiration=5/9/2019</t>
        </r>
      </text>
    </comment>
    <comment ref="C58" authorId="0" shapeId="0" xr:uid="{00000000-0006-0000-0200-00003B150000}">
      <text>
        <r>
          <rPr>
            <sz val="9"/>
            <color indexed="81"/>
            <rFont val="Tahoma"/>
            <charset val="1"/>
          </rPr>
          <t>Stability=7,Expiration=2/24/2019</t>
        </r>
      </text>
    </comment>
    <comment ref="D58" authorId="0" shapeId="0" xr:uid="{00000000-0006-0000-0200-00003C150000}">
      <text>
        <r>
          <rPr>
            <sz val="9"/>
            <color indexed="81"/>
            <rFont val="Tahoma"/>
            <charset val="1"/>
          </rPr>
          <t>Stability=17,Expiration=11/23/2018</t>
        </r>
      </text>
    </comment>
    <comment ref="E58" authorId="0" shapeId="0" xr:uid="{00000000-0006-0000-0200-00003D150000}">
      <text>
        <r>
          <rPr>
            <sz val="9"/>
            <color indexed="81"/>
            <rFont val="Tahoma"/>
            <charset val="1"/>
          </rPr>
          <t>Stability=13,Expiration=12/31/2018</t>
        </r>
      </text>
    </comment>
    <comment ref="F58" authorId="0" shapeId="0" xr:uid="{00000000-0006-0000-0200-00003E150000}">
      <text>
        <r>
          <rPr>
            <sz val="9"/>
            <color indexed="81"/>
            <rFont val="Tahoma"/>
            <charset val="1"/>
          </rPr>
          <t>Stability=15,Expiration=12/27/2018</t>
        </r>
      </text>
    </comment>
    <comment ref="G58" authorId="0" shapeId="0" xr:uid="{00000000-0006-0000-0200-00003F150000}">
      <text>
        <r>
          <rPr>
            <sz val="9"/>
            <color indexed="81"/>
            <rFont val="Tahoma"/>
            <charset val="1"/>
          </rPr>
          <t>Stability=5,Expiration=10/31/2018</t>
        </r>
      </text>
    </comment>
    <comment ref="H58" authorId="0" shapeId="0" xr:uid="{00000000-0006-0000-0200-000040150000}">
      <text>
        <r>
          <rPr>
            <sz val="9"/>
            <color indexed="81"/>
            <rFont val="Tahoma"/>
            <charset val="1"/>
          </rPr>
          <t>Stability=11,Expiration=6/30/2019</t>
        </r>
      </text>
    </comment>
    <comment ref="I58" authorId="0" shapeId="0" xr:uid="{00000000-0006-0000-0200-000041150000}">
      <text>
        <r>
          <rPr>
            <sz val="9"/>
            <color indexed="81"/>
            <rFont val="Tahoma"/>
            <charset val="1"/>
          </rPr>
          <t>Stability=26,Expiration=7/18/2018</t>
        </r>
      </text>
    </comment>
    <comment ref="J58" authorId="0" shapeId="0" xr:uid="{00000000-0006-0000-0200-000042150000}">
      <text>
        <r>
          <rPr>
            <sz val="9"/>
            <color indexed="81"/>
            <rFont val="Tahoma"/>
            <charset val="1"/>
          </rPr>
          <t>Stability=26,Expiration=7/3/2018</t>
        </r>
      </text>
    </comment>
    <comment ref="K58" authorId="0" shapeId="0" xr:uid="{00000000-0006-0000-0200-00004315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58" authorId="0" shapeId="0" xr:uid="{00000000-0006-0000-0200-00004415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58" authorId="0" shapeId="0" xr:uid="{00000000-0006-0000-0200-000045150000}">
      <text>
        <r>
          <rPr>
            <sz val="9"/>
            <color indexed="81"/>
            <rFont val="Tahoma"/>
            <charset val="1"/>
          </rPr>
          <t>Stability=35,Expiration=10/31/2018</t>
        </r>
      </text>
    </comment>
    <comment ref="N58" authorId="0" shapeId="0" xr:uid="{00000000-0006-0000-0200-00004615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O58" authorId="0" shapeId="0" xr:uid="{00000000-0006-0000-0200-00004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8" authorId="0" shapeId="0" xr:uid="{00000000-0006-0000-0200-000048150000}">
      <text>
        <r>
          <rPr>
            <sz val="9"/>
            <color indexed="81"/>
            <rFont val="Tahoma"/>
            <charset val="1"/>
          </rPr>
          <t>Stability=19,Expiration=1/29/2020</t>
        </r>
      </text>
    </comment>
    <comment ref="Q58" authorId="0" shapeId="0" xr:uid="{00000000-0006-0000-0200-000049150000}">
      <text>
        <r>
          <rPr>
            <sz val="9"/>
            <color indexed="81"/>
            <rFont val="Tahoma"/>
            <charset val="1"/>
          </rPr>
          <t>Stability=17,Expiration=5/31/2019</t>
        </r>
      </text>
    </comment>
    <comment ref="R58" authorId="0" shapeId="0" xr:uid="{00000000-0006-0000-0200-00004A150000}">
      <text>
        <r>
          <rPr>
            <sz val="9"/>
            <color indexed="81"/>
            <rFont val="Tahoma"/>
            <charset val="1"/>
          </rPr>
          <t>Stability=46,Expiration=7/14/2018</t>
        </r>
      </text>
    </comment>
    <comment ref="S58" authorId="0" shapeId="0" xr:uid="{00000000-0006-0000-0200-00004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8" authorId="0" shapeId="0" xr:uid="{00000000-0006-0000-0200-00004C150000}">
      <text>
        <r>
          <rPr>
            <sz val="9"/>
            <color indexed="81"/>
            <rFont val="Tahoma"/>
            <charset val="1"/>
          </rPr>
          <t>Stability=22,Expiration=8/14/2018</t>
        </r>
      </text>
    </comment>
    <comment ref="U58" authorId="0" shapeId="0" xr:uid="{00000000-0006-0000-0200-00004D150000}">
      <text>
        <r>
          <rPr>
            <sz val="9"/>
            <color indexed="81"/>
            <rFont val="Tahoma"/>
            <charset val="1"/>
          </rPr>
          <t>Stability=15,Expiration=1/11/2019</t>
        </r>
      </text>
    </comment>
    <comment ref="V58" authorId="0" shapeId="0" xr:uid="{00000000-0006-0000-0200-00004E150000}">
      <text>
        <r>
          <rPr>
            <sz val="9"/>
            <color indexed="81"/>
            <rFont val="Tahoma"/>
            <charset val="1"/>
          </rPr>
          <t>Stability=18,Expiration=12/6/2018</t>
        </r>
      </text>
    </comment>
    <comment ref="W58" authorId="0" shapeId="0" xr:uid="{00000000-0006-0000-0200-00004F150000}">
      <text>
        <r>
          <rPr>
            <sz val="9"/>
            <color indexed="81"/>
            <rFont val="Tahoma"/>
            <charset val="1"/>
          </rPr>
          <t>Stability=8,Expiration=6/30/2019</t>
        </r>
      </text>
    </comment>
    <comment ref="X58" authorId="0" shapeId="0" xr:uid="{00000000-0006-0000-0200-000050150000}">
      <text>
        <r>
          <rPr>
            <sz val="9"/>
            <color indexed="81"/>
            <rFont val="Tahoma"/>
            <charset val="1"/>
          </rPr>
          <t>Stability=28,Expiration=11/4/2018</t>
        </r>
      </text>
    </comment>
    <comment ref="Y58" authorId="0" shapeId="0" xr:uid="{00000000-0006-0000-0200-000051150000}">
      <text>
        <r>
          <rPr>
            <sz val="9"/>
            <color indexed="81"/>
            <rFont val="Tahoma"/>
            <charset val="1"/>
          </rPr>
          <t>Stability=27,Expiration=6/6/2019</t>
        </r>
      </text>
    </comment>
    <comment ref="Z58" authorId="0" shapeId="0" xr:uid="{00000000-0006-0000-0200-000052150000}">
      <text>
        <r>
          <rPr>
            <sz val="9"/>
            <color indexed="81"/>
            <rFont val="Tahoma"/>
            <charset val="1"/>
          </rPr>
          <t>Stability=14,Expiration=1/31/2019</t>
        </r>
      </text>
    </comment>
    <comment ref="AA58" authorId="0" shapeId="0" xr:uid="{00000000-0006-0000-0200-000053150000}">
      <text>
        <r>
          <rPr>
            <sz val="9"/>
            <color indexed="81"/>
            <rFont val="Tahoma"/>
            <charset val="1"/>
          </rPr>
          <t>Stability=24,Expiration=3/14/2019</t>
        </r>
      </text>
    </comment>
    <comment ref="AB58" authorId="0" shapeId="0" xr:uid="{00000000-0006-0000-0200-00005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8" authorId="0" shapeId="0" xr:uid="{00000000-0006-0000-0200-00005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8" authorId="0" shapeId="0" xr:uid="{00000000-0006-0000-0200-00005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8" authorId="0" shapeId="0" xr:uid="{00000000-0006-0000-0200-00005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8" authorId="0" shapeId="0" xr:uid="{00000000-0006-0000-0200-00005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8" authorId="0" shapeId="0" xr:uid="{00000000-0006-0000-0200-00005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8" authorId="0" shapeId="0" xr:uid="{00000000-0006-0000-0200-00005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8" authorId="0" shapeId="0" xr:uid="{00000000-0006-0000-0200-00005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8" authorId="0" shapeId="0" xr:uid="{00000000-0006-0000-0200-00005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8" authorId="0" shapeId="0" xr:uid="{00000000-0006-0000-0200-00005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8" authorId="0" shapeId="0" xr:uid="{00000000-0006-0000-0200-00005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8" authorId="0" shapeId="0" xr:uid="{00000000-0006-0000-0200-00005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8" authorId="0" shapeId="0" xr:uid="{00000000-0006-0000-0200-00006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8" authorId="0" shapeId="0" xr:uid="{00000000-0006-0000-0200-00006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8" authorId="0" shapeId="0" xr:uid="{00000000-0006-0000-0200-00006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8" authorId="0" shapeId="0" xr:uid="{00000000-0006-0000-0200-00006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8" authorId="0" shapeId="0" xr:uid="{00000000-0006-0000-0200-00006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8" authorId="0" shapeId="0" xr:uid="{00000000-0006-0000-0200-00006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8" authorId="0" shapeId="0" xr:uid="{00000000-0006-0000-0200-00006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8" authorId="0" shapeId="0" xr:uid="{00000000-0006-0000-0200-00006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8" authorId="0" shapeId="0" xr:uid="{00000000-0006-0000-0200-000068150000}">
      <text>
        <r>
          <rPr>
            <sz val="9"/>
            <color indexed="81"/>
            <rFont val="Tahoma"/>
            <charset val="1"/>
          </rPr>
          <t>Stability=13,Expiration=9/25/2018</t>
        </r>
      </text>
    </comment>
    <comment ref="A59" authorId="0" shapeId="0" xr:uid="{00000000-0006-0000-0200-000069150000}">
      <text>
        <r>
          <rPr>
            <sz val="9"/>
            <color indexed="81"/>
            <rFont val="Tahoma"/>
            <charset val="1"/>
          </rPr>
          <t>Date macro run: 5/29/2018 10:32:36 PM</t>
        </r>
      </text>
    </comment>
    <comment ref="B59" authorId="0" shapeId="0" xr:uid="{00000000-0006-0000-0200-00006A150000}">
      <text>
        <r>
          <rPr>
            <sz val="9"/>
            <color indexed="81"/>
            <rFont val="Tahoma"/>
            <charset val="1"/>
          </rPr>
          <t>Stability=13,Expiration=5/9/2019</t>
        </r>
      </text>
    </comment>
    <comment ref="C59" authorId="0" shapeId="0" xr:uid="{00000000-0006-0000-0200-00006B15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59" authorId="0" shapeId="0" xr:uid="{00000000-0006-0000-0200-00006C150000}">
      <text>
        <r>
          <rPr>
            <sz val="9"/>
            <color indexed="81"/>
            <rFont val="Tahoma"/>
            <charset val="1"/>
          </rPr>
          <t>Stability=12,Expiration=11/23/2018</t>
        </r>
      </text>
    </comment>
    <comment ref="E59" authorId="0" shapeId="0" xr:uid="{00000000-0006-0000-0200-00006D150000}">
      <text>
        <r>
          <rPr>
            <sz val="9"/>
            <color indexed="81"/>
            <rFont val="Tahoma"/>
            <charset val="1"/>
          </rPr>
          <t>Stability=8,Expiration=4/30/2019</t>
        </r>
      </text>
    </comment>
    <comment ref="F59" authorId="0" shapeId="0" xr:uid="{00000000-0006-0000-0200-00006E150000}">
      <text>
        <r>
          <rPr>
            <sz val="9"/>
            <color indexed="81"/>
            <rFont val="Tahoma"/>
            <charset val="1"/>
          </rPr>
          <t>Stability=10,Expiration=12/27/2018</t>
        </r>
      </text>
    </comment>
    <comment ref="G59" authorId="0" shapeId="0" xr:uid="{00000000-0006-0000-0200-00006F150000}">
      <text>
        <r>
          <rPr>
            <sz val="9"/>
            <color indexed="81"/>
            <rFont val="Tahoma"/>
            <charset val="1"/>
          </rPr>
          <t>Stability=27,Expiration=10/31/2018</t>
        </r>
      </text>
    </comment>
    <comment ref="H59" authorId="0" shapeId="0" xr:uid="{00000000-0006-0000-0200-000070150000}">
      <text>
        <r>
          <rPr>
            <sz val="9"/>
            <color indexed="81"/>
            <rFont val="Tahoma"/>
            <charset val="1"/>
          </rPr>
          <t>Stability=6,Expiration=6/30/2019</t>
        </r>
      </text>
    </comment>
    <comment ref="I59" authorId="0" shapeId="0" xr:uid="{00000000-0006-0000-0200-000071150000}">
      <text>
        <r>
          <rPr>
            <sz val="9"/>
            <color indexed="81"/>
            <rFont val="Tahoma"/>
            <charset val="1"/>
          </rPr>
          <t>Stability=21,Expiration=7/18/2018</t>
        </r>
      </text>
    </comment>
    <comment ref="J59" authorId="0" shapeId="0" xr:uid="{00000000-0006-0000-0200-00007215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59" authorId="0" shapeId="0" xr:uid="{00000000-0006-0000-0200-00007315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59" authorId="0" shapeId="0" xr:uid="{00000000-0006-0000-0200-00007415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59" authorId="0" shapeId="0" xr:uid="{00000000-0006-0000-0200-000075150000}">
      <text>
        <r>
          <rPr>
            <sz val="9"/>
            <color indexed="81"/>
            <rFont val="Tahoma"/>
            <charset val="1"/>
          </rPr>
          <t>Stability=31,Expiration=10/31/2018</t>
        </r>
      </text>
    </comment>
    <comment ref="N59" authorId="0" shapeId="0" xr:uid="{00000000-0006-0000-0200-000076150000}">
      <text>
        <r>
          <rPr>
            <sz val="9"/>
            <color indexed="81"/>
            <rFont val="Tahoma"/>
            <charset val="1"/>
          </rPr>
          <t>Stability=23,Expiration=11/30/2018</t>
        </r>
      </text>
    </comment>
    <comment ref="O59" authorId="0" shapeId="0" xr:uid="{00000000-0006-0000-0200-00007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59" authorId="0" shapeId="0" xr:uid="{00000000-0006-0000-0200-000078150000}">
      <text>
        <r>
          <rPr>
            <sz val="9"/>
            <color indexed="81"/>
            <rFont val="Tahoma"/>
            <charset val="1"/>
          </rPr>
          <t>Stability=14,Expiration=1/29/2020</t>
        </r>
      </text>
    </comment>
    <comment ref="Q59" authorId="0" shapeId="0" xr:uid="{00000000-0006-0000-0200-000079150000}">
      <text>
        <r>
          <rPr>
            <sz val="9"/>
            <color indexed="81"/>
            <rFont val="Tahoma"/>
            <charset val="1"/>
          </rPr>
          <t>Stability=12,Expiration=2/6/2019</t>
        </r>
      </text>
    </comment>
    <comment ref="R59" authorId="0" shapeId="0" xr:uid="{00000000-0006-0000-0200-00007A150000}">
      <text>
        <r>
          <rPr>
            <sz val="9"/>
            <color indexed="81"/>
            <rFont val="Tahoma"/>
            <charset val="1"/>
          </rPr>
          <t>Stability=42,Expiration=7/14/2018</t>
        </r>
      </text>
    </comment>
    <comment ref="S59" authorId="0" shapeId="0" xr:uid="{00000000-0006-0000-0200-00007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59" authorId="0" shapeId="0" xr:uid="{00000000-0006-0000-0200-00007C150000}">
      <text>
        <r>
          <rPr>
            <sz val="9"/>
            <color indexed="81"/>
            <rFont val="Tahoma"/>
            <charset val="1"/>
          </rPr>
          <t>Stability=17,Expiration=8/14/2018</t>
        </r>
      </text>
    </comment>
    <comment ref="U59" authorId="0" shapeId="0" xr:uid="{00000000-0006-0000-0200-00007D150000}">
      <text>
        <r>
          <rPr>
            <sz val="9"/>
            <color indexed="81"/>
            <rFont val="Tahoma"/>
            <charset val="1"/>
          </rPr>
          <t>Stability=10,Expiration=1/11/2019</t>
        </r>
      </text>
    </comment>
    <comment ref="V59" authorId="0" shapeId="0" xr:uid="{00000000-0006-0000-0200-00007E150000}">
      <text>
        <r>
          <rPr>
            <sz val="9"/>
            <color indexed="81"/>
            <rFont val="Tahoma"/>
            <charset val="1"/>
          </rPr>
          <t>Stability=14,Expiration=12/6/2018</t>
        </r>
      </text>
    </comment>
    <comment ref="W59" authorId="0" shapeId="0" xr:uid="{00000000-0006-0000-0200-00007F150000}">
      <text>
        <r>
          <rPr>
            <sz val="9"/>
            <color indexed="81"/>
            <rFont val="Tahoma"/>
            <charset val="1"/>
          </rPr>
          <t>Stability=3,Expiration=6/30/2019</t>
        </r>
      </text>
    </comment>
    <comment ref="X59" authorId="0" shapeId="0" xr:uid="{00000000-0006-0000-0200-000080150000}">
      <text>
        <r>
          <rPr>
            <sz val="9"/>
            <color indexed="81"/>
            <rFont val="Tahoma"/>
            <charset val="1"/>
          </rPr>
          <t>Stability=23,Expiration=11/4/2018</t>
        </r>
      </text>
    </comment>
    <comment ref="Y59" authorId="0" shapeId="0" xr:uid="{00000000-0006-0000-0200-000081150000}">
      <text>
        <r>
          <rPr>
            <sz val="9"/>
            <color indexed="81"/>
            <rFont val="Tahoma"/>
            <charset val="1"/>
          </rPr>
          <t>Stability=22,Expiration=6/6/2019</t>
        </r>
      </text>
    </comment>
    <comment ref="Z59" authorId="0" shapeId="0" xr:uid="{00000000-0006-0000-0200-000082150000}">
      <text>
        <r>
          <rPr>
            <sz val="9"/>
            <color indexed="81"/>
            <rFont val="Tahoma"/>
            <charset val="1"/>
          </rPr>
          <t>Stability=9,Expiration=1/31/2019</t>
        </r>
      </text>
    </comment>
    <comment ref="AA59" authorId="0" shapeId="0" xr:uid="{00000000-0006-0000-0200-000083150000}">
      <text>
        <r>
          <rPr>
            <sz val="9"/>
            <color indexed="81"/>
            <rFont val="Tahoma"/>
            <charset val="1"/>
          </rPr>
          <t>Stability=20,Expiration=3/14/2019</t>
        </r>
      </text>
    </comment>
    <comment ref="AB59" authorId="0" shapeId="0" xr:uid="{00000000-0006-0000-0200-00008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59" authorId="0" shapeId="0" xr:uid="{00000000-0006-0000-0200-00008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59" authorId="0" shapeId="0" xr:uid="{00000000-0006-0000-0200-00008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59" authorId="0" shapeId="0" xr:uid="{00000000-0006-0000-0200-00008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59" authorId="0" shapeId="0" xr:uid="{00000000-0006-0000-0200-00008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59" authorId="0" shapeId="0" xr:uid="{00000000-0006-0000-0200-00008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59" authorId="0" shapeId="0" xr:uid="{00000000-0006-0000-0200-00008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59" authorId="0" shapeId="0" xr:uid="{00000000-0006-0000-0200-00008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59" authorId="0" shapeId="0" xr:uid="{00000000-0006-0000-0200-00008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59" authorId="0" shapeId="0" xr:uid="{00000000-0006-0000-0200-00008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9" authorId="0" shapeId="0" xr:uid="{00000000-0006-0000-0200-00008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9" authorId="0" shapeId="0" xr:uid="{00000000-0006-0000-0200-00008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9" authorId="0" shapeId="0" xr:uid="{00000000-0006-0000-0200-00009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9" authorId="0" shapeId="0" xr:uid="{00000000-0006-0000-0200-00009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9" authorId="0" shapeId="0" xr:uid="{00000000-0006-0000-0200-00009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9" authorId="0" shapeId="0" xr:uid="{00000000-0006-0000-0200-00009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59" authorId="0" shapeId="0" xr:uid="{00000000-0006-0000-0200-00009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59" authorId="0" shapeId="0" xr:uid="{00000000-0006-0000-0200-00009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9" authorId="0" shapeId="0" xr:uid="{00000000-0006-0000-0200-00009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59" authorId="0" shapeId="0" xr:uid="{00000000-0006-0000-0200-00009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9" authorId="0" shapeId="0" xr:uid="{00000000-0006-0000-0200-000098150000}">
      <text>
        <r>
          <rPr>
            <sz val="9"/>
            <color indexed="81"/>
            <rFont val="Tahoma"/>
            <charset val="1"/>
          </rPr>
          <t>Stability=8,Expiration=9/25/2018</t>
        </r>
      </text>
    </comment>
    <comment ref="A60" authorId="0" shapeId="0" xr:uid="{00000000-0006-0000-0200-000099150000}">
      <text>
        <r>
          <rPr>
            <sz val="9"/>
            <color indexed="81"/>
            <rFont val="Tahoma"/>
            <charset val="1"/>
          </rPr>
          <t>Date macro run: 5/30/2018 9:39:04 PM</t>
        </r>
      </text>
    </comment>
    <comment ref="B60" authorId="0" shapeId="0" xr:uid="{00000000-0006-0000-0200-00009A150000}">
      <text>
        <r>
          <rPr>
            <sz val="9"/>
            <color indexed="81"/>
            <rFont val="Tahoma"/>
            <charset val="1"/>
          </rPr>
          <t>Stability=12,Expiration=5/9/2019</t>
        </r>
      </text>
    </comment>
    <comment ref="C60" authorId="0" shapeId="0" xr:uid="{00000000-0006-0000-0200-00009B15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60" authorId="0" shapeId="0" xr:uid="{00000000-0006-0000-0200-00009C150000}">
      <text>
        <r>
          <rPr>
            <sz val="9"/>
            <color indexed="81"/>
            <rFont val="Tahoma"/>
            <charset val="1"/>
          </rPr>
          <t>Stability=11,Expiration=11/23/2018</t>
        </r>
      </text>
    </comment>
    <comment ref="E60" authorId="0" shapeId="0" xr:uid="{00000000-0006-0000-0200-00009D15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F60" authorId="0" shapeId="0" xr:uid="{00000000-0006-0000-0200-00009E150000}">
      <text>
        <r>
          <rPr>
            <sz val="9"/>
            <color indexed="81"/>
            <rFont val="Tahoma"/>
            <charset val="1"/>
          </rPr>
          <t>Stability=9,Expiration=12/27/2018</t>
        </r>
      </text>
    </comment>
    <comment ref="G60" authorId="0" shapeId="0" xr:uid="{00000000-0006-0000-0200-00009F150000}">
      <text>
        <r>
          <rPr>
            <sz val="9"/>
            <color indexed="81"/>
            <rFont val="Tahoma"/>
            <charset val="1"/>
          </rPr>
          <t>Stability=26,Expiration=10/31/2018</t>
        </r>
      </text>
    </comment>
    <comment ref="H60" authorId="0" shapeId="0" xr:uid="{00000000-0006-0000-0200-0000A0150000}">
      <text>
        <r>
          <rPr>
            <sz val="9"/>
            <color indexed="81"/>
            <rFont val="Tahoma"/>
            <charset val="1"/>
          </rPr>
          <t>Stability=6,Expiration=6/30/2019</t>
        </r>
      </text>
    </comment>
    <comment ref="I60" authorId="0" shapeId="0" xr:uid="{00000000-0006-0000-0200-0000A1150000}">
      <text>
        <r>
          <rPr>
            <sz val="9"/>
            <color indexed="81"/>
            <rFont val="Tahoma"/>
            <charset val="1"/>
          </rPr>
          <t>Stability=20,Expiration=7/18/2018</t>
        </r>
      </text>
    </comment>
    <comment ref="J60" authorId="0" shapeId="0" xr:uid="{00000000-0006-0000-0200-0000A2150000}">
      <text>
        <r>
          <rPr>
            <sz val="9"/>
            <color indexed="81"/>
            <rFont val="Tahoma"/>
            <charset val="1"/>
          </rPr>
          <t>Stability=20,Expiration=7/3/2018</t>
        </r>
      </text>
    </comment>
    <comment ref="K60" authorId="0" shapeId="0" xr:uid="{00000000-0006-0000-0200-0000A315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60" authorId="0" shapeId="0" xr:uid="{00000000-0006-0000-0200-0000A415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60" authorId="0" shapeId="0" xr:uid="{00000000-0006-0000-0200-0000A5150000}">
      <text>
        <r>
          <rPr>
            <sz val="9"/>
            <color indexed="81"/>
            <rFont val="Tahoma"/>
            <charset val="1"/>
          </rPr>
          <t>Stability=30,Expiration=10/31/2018</t>
        </r>
      </text>
    </comment>
    <comment ref="N60" authorId="0" shapeId="0" xr:uid="{00000000-0006-0000-0200-0000A615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60" authorId="0" shapeId="0" xr:uid="{00000000-0006-0000-0200-0000A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0" authorId="0" shapeId="0" xr:uid="{00000000-0006-0000-0200-0000A8150000}">
      <text>
        <r>
          <rPr>
            <sz val="9"/>
            <color indexed="81"/>
            <rFont val="Tahoma"/>
            <charset val="1"/>
          </rPr>
          <t>Stability=13,Expiration=1/29/2020</t>
        </r>
      </text>
    </comment>
    <comment ref="Q60" authorId="0" shapeId="0" xr:uid="{00000000-0006-0000-0200-0000A9150000}">
      <text>
        <r>
          <rPr>
            <sz val="9"/>
            <color indexed="81"/>
            <rFont val="Tahoma"/>
            <charset val="1"/>
          </rPr>
          <t>Stability=11,Expiration=2/6/2019</t>
        </r>
      </text>
    </comment>
    <comment ref="R60" authorId="0" shapeId="0" xr:uid="{00000000-0006-0000-0200-0000AA150000}">
      <text>
        <r>
          <rPr>
            <sz val="9"/>
            <color indexed="81"/>
            <rFont val="Tahoma"/>
            <charset val="1"/>
          </rPr>
          <t>Stability=42,Expiration=7/14/2018</t>
        </r>
      </text>
    </comment>
    <comment ref="S60" authorId="0" shapeId="0" xr:uid="{00000000-0006-0000-0200-0000A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0" authorId="0" shapeId="0" xr:uid="{00000000-0006-0000-0200-0000AC150000}">
      <text>
        <r>
          <rPr>
            <sz val="9"/>
            <color indexed="81"/>
            <rFont val="Tahoma"/>
            <charset val="1"/>
          </rPr>
          <t>Stability=16,Expiration=8/14/2018</t>
        </r>
      </text>
    </comment>
    <comment ref="U60" authorId="0" shapeId="0" xr:uid="{00000000-0006-0000-0200-0000AD150000}">
      <text>
        <r>
          <rPr>
            <sz val="9"/>
            <color indexed="81"/>
            <rFont val="Tahoma"/>
            <charset val="1"/>
          </rPr>
          <t>Stability=9,Expiration=1/11/2019</t>
        </r>
      </text>
    </comment>
    <comment ref="V60" authorId="0" shapeId="0" xr:uid="{00000000-0006-0000-0200-0000AE150000}">
      <text>
        <r>
          <rPr>
            <sz val="9"/>
            <color indexed="81"/>
            <rFont val="Tahoma"/>
            <charset val="1"/>
          </rPr>
          <t>Stability=13,Expiration=12/6/2018</t>
        </r>
      </text>
    </comment>
    <comment ref="W60" authorId="0" shapeId="0" xr:uid="{00000000-0006-0000-0200-0000AF150000}">
      <text>
        <r>
          <rPr>
            <sz val="9"/>
            <color indexed="81"/>
            <rFont val="Tahoma"/>
            <charset val="1"/>
          </rPr>
          <t>Stability=2,Expiration=6/30/2019</t>
        </r>
      </text>
    </comment>
    <comment ref="X60" authorId="0" shapeId="0" xr:uid="{00000000-0006-0000-0200-0000B0150000}">
      <text>
        <r>
          <rPr>
            <sz val="9"/>
            <color indexed="81"/>
            <rFont val="Tahoma"/>
            <charset val="1"/>
          </rPr>
          <t>Stability=22,Expiration=11/4/2018</t>
        </r>
      </text>
    </comment>
    <comment ref="Y60" authorId="0" shapeId="0" xr:uid="{00000000-0006-0000-0200-0000B1150000}">
      <text>
        <r>
          <rPr>
            <sz val="9"/>
            <color indexed="81"/>
            <rFont val="Tahoma"/>
            <charset val="1"/>
          </rPr>
          <t>Stability=22,Expiration=6/6/2019</t>
        </r>
      </text>
    </comment>
    <comment ref="Z60" authorId="0" shapeId="0" xr:uid="{00000000-0006-0000-0200-0000B2150000}">
      <text>
        <r>
          <rPr>
            <sz val="9"/>
            <color indexed="81"/>
            <rFont val="Tahoma"/>
            <charset val="1"/>
          </rPr>
          <t>Stability=8,Expiration=1/31/2019</t>
        </r>
      </text>
    </comment>
    <comment ref="AA60" authorId="0" shapeId="0" xr:uid="{00000000-0006-0000-0200-0000B3150000}">
      <text>
        <r>
          <rPr>
            <sz val="9"/>
            <color indexed="81"/>
            <rFont val="Tahoma"/>
            <charset val="1"/>
          </rPr>
          <t>Stability=19,Expiration=3/14/2019</t>
        </r>
      </text>
    </comment>
    <comment ref="AB60" authorId="0" shapeId="0" xr:uid="{00000000-0006-0000-0200-0000B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0" authorId="0" shapeId="0" xr:uid="{00000000-0006-0000-0200-0000B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0" authorId="0" shapeId="0" xr:uid="{00000000-0006-0000-0200-0000B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0" authorId="0" shapeId="0" xr:uid="{00000000-0006-0000-0200-0000B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0" authorId="0" shapeId="0" xr:uid="{00000000-0006-0000-0200-0000B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0" authorId="0" shapeId="0" xr:uid="{00000000-0006-0000-0200-0000B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0" authorId="0" shapeId="0" xr:uid="{00000000-0006-0000-0200-0000B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0" authorId="0" shapeId="0" xr:uid="{00000000-0006-0000-0200-0000B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0" authorId="0" shapeId="0" xr:uid="{00000000-0006-0000-0200-0000B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0" authorId="0" shapeId="0" xr:uid="{00000000-0006-0000-0200-0000B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0" authorId="0" shapeId="0" xr:uid="{00000000-0006-0000-0200-0000B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0" authorId="0" shapeId="0" xr:uid="{00000000-0006-0000-0200-0000B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0" authorId="0" shapeId="0" xr:uid="{00000000-0006-0000-0200-0000C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0" authorId="0" shapeId="0" xr:uid="{00000000-0006-0000-0200-0000C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0" authorId="0" shapeId="0" xr:uid="{00000000-0006-0000-0200-0000C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0" authorId="0" shapeId="0" xr:uid="{00000000-0006-0000-0200-0000C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0" authorId="0" shapeId="0" xr:uid="{00000000-0006-0000-0200-0000C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0" authorId="0" shapeId="0" xr:uid="{00000000-0006-0000-0200-0000C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0" authorId="0" shapeId="0" xr:uid="{00000000-0006-0000-0200-0000C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0" authorId="0" shapeId="0" xr:uid="{00000000-0006-0000-0200-0000C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0" authorId="0" shapeId="0" xr:uid="{00000000-0006-0000-0200-0000C815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61" authorId="0" shapeId="0" xr:uid="{00000000-0006-0000-0200-0000C9150000}">
      <text>
        <r>
          <rPr>
            <sz val="9"/>
            <color indexed="81"/>
            <rFont val="Tahoma"/>
            <charset val="1"/>
          </rPr>
          <t>Date macro run: 5/31/2018 8:51:38 PM</t>
        </r>
      </text>
    </comment>
    <comment ref="B61" authorId="0" shapeId="0" xr:uid="{00000000-0006-0000-0200-0000CA150000}">
      <text>
        <r>
          <rPr>
            <sz val="9"/>
            <color indexed="81"/>
            <rFont val="Tahoma"/>
            <charset val="1"/>
          </rPr>
          <t>Stability=11,Expiration=5/9/2019</t>
        </r>
      </text>
    </comment>
    <comment ref="C61" authorId="0" shapeId="0" xr:uid="{00000000-0006-0000-0200-0000CB15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61" authorId="0" shapeId="0" xr:uid="{00000000-0006-0000-0200-0000CC150000}">
      <text>
        <r>
          <rPr>
            <sz val="9"/>
            <color indexed="81"/>
            <rFont val="Tahoma"/>
            <charset val="1"/>
          </rPr>
          <t>Stability=10,Expiration=11/23/2018</t>
        </r>
      </text>
    </comment>
    <comment ref="E61" authorId="0" shapeId="0" xr:uid="{00000000-0006-0000-0200-0000CD150000}">
      <text>
        <r>
          <rPr>
            <sz val="9"/>
            <color indexed="81"/>
            <rFont val="Tahoma"/>
            <charset val="1"/>
          </rPr>
          <t>Stability=6,Expiration=4/30/2019</t>
        </r>
      </text>
    </comment>
    <comment ref="F61" authorId="0" shapeId="0" xr:uid="{00000000-0006-0000-0200-0000CE150000}">
      <text>
        <r>
          <rPr>
            <sz val="9"/>
            <color indexed="81"/>
            <rFont val="Tahoma"/>
            <charset val="1"/>
          </rPr>
          <t>Stability=8,Expiration=12/27/2018</t>
        </r>
      </text>
    </comment>
    <comment ref="G61" authorId="0" shapeId="0" xr:uid="{00000000-0006-0000-0200-0000CF15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61" authorId="0" shapeId="0" xr:uid="{00000000-0006-0000-0200-0000D0150000}">
      <text>
        <r>
          <rPr>
            <sz val="9"/>
            <color indexed="81"/>
            <rFont val="Tahoma"/>
            <charset val="1"/>
          </rPr>
          <t>Stability=5,Expiration=6/30/2019</t>
        </r>
      </text>
    </comment>
    <comment ref="I61" authorId="0" shapeId="0" xr:uid="{00000000-0006-0000-0200-0000D1150000}">
      <text>
        <r>
          <rPr>
            <sz val="9"/>
            <color indexed="81"/>
            <rFont val="Tahoma"/>
            <charset val="1"/>
          </rPr>
          <t>Stability=19,Expiration=7/18/2018</t>
        </r>
      </text>
    </comment>
    <comment ref="J61" authorId="0" shapeId="0" xr:uid="{00000000-0006-0000-0200-0000D2150000}">
      <text>
        <r>
          <rPr>
            <sz val="9"/>
            <color indexed="81"/>
            <rFont val="Tahoma"/>
            <charset val="1"/>
          </rPr>
          <t>Stability=19,Expiration=7/3/2018</t>
        </r>
      </text>
    </comment>
    <comment ref="K61" authorId="0" shapeId="0" xr:uid="{00000000-0006-0000-0200-0000D315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61" authorId="0" shapeId="0" xr:uid="{00000000-0006-0000-0200-0000D4150000}">
      <text>
        <r>
          <rPr>
            <sz val="9"/>
            <color indexed="81"/>
            <rFont val="Tahoma"/>
            <charset val="1"/>
          </rPr>
          <t>Stability=5,Expiration=5/13/2019</t>
        </r>
      </text>
    </comment>
    <comment ref="M61" authorId="0" shapeId="0" xr:uid="{00000000-0006-0000-0200-0000D5150000}">
      <text>
        <r>
          <rPr>
            <sz val="9"/>
            <color indexed="81"/>
            <rFont val="Tahoma"/>
            <charset val="1"/>
          </rPr>
          <t>Stability=29,Expiration=10/31/2018</t>
        </r>
      </text>
    </comment>
    <comment ref="N61" authorId="0" shapeId="0" xr:uid="{00000000-0006-0000-0200-0000D615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O61" authorId="0" shapeId="0" xr:uid="{00000000-0006-0000-0200-0000D7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1" authorId="0" shapeId="0" xr:uid="{00000000-0006-0000-0200-0000D8150000}">
      <text>
        <r>
          <rPr>
            <sz val="9"/>
            <color indexed="81"/>
            <rFont val="Tahoma"/>
            <charset val="1"/>
          </rPr>
          <t>Stability=13,Expiration=1/29/2020</t>
        </r>
      </text>
    </comment>
    <comment ref="Q61" authorId="0" shapeId="0" xr:uid="{00000000-0006-0000-0200-0000D9150000}">
      <text>
        <r>
          <rPr>
            <sz val="9"/>
            <color indexed="81"/>
            <rFont val="Tahoma"/>
            <charset val="1"/>
          </rPr>
          <t>Stability=10,Expiration=2/6/2019</t>
        </r>
      </text>
    </comment>
    <comment ref="R61" authorId="0" shapeId="0" xr:uid="{00000000-0006-0000-0200-0000DA150000}">
      <text>
        <r>
          <rPr>
            <sz val="9"/>
            <color indexed="81"/>
            <rFont val="Tahoma"/>
            <charset val="1"/>
          </rPr>
          <t>Stability=40,Expiration=7/14/2018</t>
        </r>
      </text>
    </comment>
    <comment ref="S61" authorId="0" shapeId="0" xr:uid="{00000000-0006-0000-0200-0000D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1" authorId="0" shapeId="0" xr:uid="{00000000-0006-0000-0200-0000DC150000}">
      <text>
        <r>
          <rPr>
            <sz val="9"/>
            <color indexed="81"/>
            <rFont val="Tahoma"/>
            <charset val="1"/>
          </rPr>
          <t>Stability=15,Expiration=8/14/2018</t>
        </r>
      </text>
    </comment>
    <comment ref="U61" authorId="0" shapeId="0" xr:uid="{00000000-0006-0000-0200-0000DD150000}">
      <text>
        <r>
          <rPr>
            <sz val="9"/>
            <color indexed="81"/>
            <rFont val="Tahoma"/>
            <charset val="1"/>
          </rPr>
          <t>Stability=8,Expiration=1/11/2019</t>
        </r>
      </text>
    </comment>
    <comment ref="V61" authorId="0" shapeId="0" xr:uid="{00000000-0006-0000-0200-0000DE150000}">
      <text>
        <r>
          <rPr>
            <sz val="9"/>
            <color indexed="81"/>
            <rFont val="Tahoma"/>
            <charset val="1"/>
          </rPr>
          <t>Stability=12,Expiration=12/6/2018</t>
        </r>
      </text>
    </comment>
    <comment ref="W61" authorId="0" shapeId="0" xr:uid="{00000000-0006-0000-0200-0000DF150000}">
      <text>
        <r>
          <rPr>
            <sz val="9"/>
            <color indexed="81"/>
            <rFont val="Tahoma"/>
            <charset val="1"/>
          </rPr>
          <t>Stability=1,Expiration=6/30/2019</t>
        </r>
      </text>
    </comment>
    <comment ref="X61" authorId="0" shapeId="0" xr:uid="{00000000-0006-0000-0200-0000E0150000}">
      <text>
        <r>
          <rPr>
            <sz val="9"/>
            <color indexed="81"/>
            <rFont val="Tahoma"/>
            <charset val="1"/>
          </rPr>
          <t>Stability=21,Expiration=11/4/2018</t>
        </r>
      </text>
    </comment>
    <comment ref="Y61" authorId="0" shapeId="0" xr:uid="{00000000-0006-0000-0200-0000E1150000}">
      <text>
        <r>
          <rPr>
            <sz val="9"/>
            <color indexed="81"/>
            <rFont val="Tahoma"/>
            <charset val="1"/>
          </rPr>
          <t>Stability=21,Expiration=6/6/2019</t>
        </r>
      </text>
    </comment>
    <comment ref="Z61" authorId="0" shapeId="0" xr:uid="{00000000-0006-0000-0200-0000E2150000}">
      <text>
        <r>
          <rPr>
            <sz val="9"/>
            <color indexed="81"/>
            <rFont val="Tahoma"/>
            <charset val="1"/>
          </rPr>
          <t>Stability=7,Expiration=1/31/2019</t>
        </r>
      </text>
    </comment>
    <comment ref="AA61" authorId="0" shapeId="0" xr:uid="{00000000-0006-0000-0200-0000E3150000}">
      <text>
        <r>
          <rPr>
            <sz val="9"/>
            <color indexed="81"/>
            <rFont val="Tahoma"/>
            <charset val="1"/>
          </rPr>
          <t>Stability=18,Expiration=3/14/2019</t>
        </r>
      </text>
    </comment>
    <comment ref="AB61" authorId="0" shapeId="0" xr:uid="{00000000-0006-0000-0200-0000E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1" authorId="0" shapeId="0" xr:uid="{00000000-0006-0000-0200-0000E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1" authorId="0" shapeId="0" xr:uid="{00000000-0006-0000-0200-0000E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1" authorId="0" shapeId="0" xr:uid="{00000000-0006-0000-0200-0000E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1" authorId="0" shapeId="0" xr:uid="{00000000-0006-0000-0200-0000E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1" authorId="0" shapeId="0" xr:uid="{00000000-0006-0000-0200-0000E9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1" authorId="0" shapeId="0" xr:uid="{00000000-0006-0000-0200-0000E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1" authorId="0" shapeId="0" xr:uid="{00000000-0006-0000-0200-0000E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1" authorId="0" shapeId="0" xr:uid="{00000000-0006-0000-0200-0000E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1" authorId="0" shapeId="0" xr:uid="{00000000-0006-0000-0200-0000E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1" authorId="0" shapeId="0" xr:uid="{00000000-0006-0000-0200-0000E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1" authorId="0" shapeId="0" xr:uid="{00000000-0006-0000-0200-0000E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1" authorId="0" shapeId="0" xr:uid="{00000000-0006-0000-0200-0000F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1" authorId="0" shapeId="0" xr:uid="{00000000-0006-0000-0200-0000F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1" authorId="0" shapeId="0" xr:uid="{00000000-0006-0000-0200-0000F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1" authorId="0" shapeId="0" xr:uid="{00000000-0006-0000-0200-0000F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1" authorId="0" shapeId="0" xr:uid="{00000000-0006-0000-0200-0000F415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1" authorId="0" shapeId="0" xr:uid="{00000000-0006-0000-0200-0000F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1" authorId="0" shapeId="0" xr:uid="{00000000-0006-0000-0200-0000F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1" authorId="0" shapeId="0" xr:uid="{00000000-0006-0000-0200-0000F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1" authorId="0" shapeId="0" xr:uid="{00000000-0006-0000-0200-0000F8150000}">
      <text>
        <r>
          <rPr>
            <sz val="9"/>
            <color indexed="81"/>
            <rFont val="Tahoma"/>
            <charset val="1"/>
          </rPr>
          <t>Stability=6,Expiration=9/25/2018</t>
        </r>
      </text>
    </comment>
    <comment ref="A62" authorId="0" shapeId="0" xr:uid="{00000000-0006-0000-0200-0000F9150000}">
      <text>
        <r>
          <rPr>
            <sz val="9"/>
            <color indexed="81"/>
            <rFont val="Tahoma"/>
            <charset val="1"/>
          </rPr>
          <t>Date macro run: 6/4/2018 10:14:11 PM</t>
        </r>
      </text>
    </comment>
    <comment ref="B62" authorId="0" shapeId="0" xr:uid="{00000000-0006-0000-0200-0000FA150000}">
      <text>
        <r>
          <rPr>
            <sz val="9"/>
            <color indexed="81"/>
            <rFont val="Tahoma"/>
            <charset val="1"/>
          </rPr>
          <t>Stability=7,Expiration=5/9/2019</t>
        </r>
      </text>
    </comment>
    <comment ref="C62" authorId="0" shapeId="0" xr:uid="{00000000-0006-0000-0200-0000FB15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62" authorId="0" shapeId="0" xr:uid="{00000000-0006-0000-0200-0000FC150000}">
      <text>
        <r>
          <rPr>
            <sz val="9"/>
            <color indexed="81"/>
            <rFont val="Tahoma"/>
            <charset val="1"/>
          </rPr>
          <t>Stability=6,Expiration=11/23/2018</t>
        </r>
      </text>
    </comment>
    <comment ref="E62" authorId="0" shapeId="0" xr:uid="{00000000-0006-0000-0200-0000FD150000}">
      <text>
        <r>
          <rPr>
            <sz val="9"/>
            <color indexed="81"/>
            <rFont val="Tahoma"/>
            <charset val="1"/>
          </rPr>
          <t>Stability=11,Expiration=4/30/2019</t>
        </r>
      </text>
    </comment>
    <comment ref="F62" authorId="0" shapeId="0" xr:uid="{00000000-0006-0000-0200-0000FE150000}">
      <text>
        <r>
          <rPr>
            <sz val="9"/>
            <color indexed="81"/>
            <rFont val="Tahoma"/>
            <charset val="1"/>
          </rPr>
          <t>Stability=4,Expiration=12/27/2018</t>
        </r>
      </text>
    </comment>
    <comment ref="G62" authorId="0" shapeId="0" xr:uid="{00000000-0006-0000-0200-0000FF150000}">
      <text>
        <r>
          <rPr>
            <sz val="9"/>
            <color indexed="81"/>
            <rFont val="Tahoma"/>
            <charset val="1"/>
          </rPr>
          <t>Stability=21,Expiration=10/31/2018</t>
        </r>
      </text>
    </comment>
    <comment ref="H62" authorId="0" shapeId="0" xr:uid="{00000000-0006-0000-0200-000000160000}">
      <text>
        <r>
          <rPr>
            <sz val="9"/>
            <color indexed="81"/>
            <rFont val="Tahoma"/>
            <charset val="1"/>
          </rPr>
          <t>Stability=1,Expiration=6/30/2019</t>
        </r>
      </text>
    </comment>
    <comment ref="I62" authorId="0" shapeId="0" xr:uid="{00000000-0006-0000-0200-000001160000}">
      <text>
        <r>
          <rPr>
            <sz val="9"/>
            <color indexed="81"/>
            <rFont val="Tahoma"/>
            <charset val="1"/>
          </rPr>
          <t>Stability=15,Expiration=7/18/2018</t>
        </r>
      </text>
    </comment>
    <comment ref="J62" authorId="0" shapeId="0" xr:uid="{00000000-0006-0000-0200-000002160000}">
      <text>
        <r>
          <rPr>
            <sz val="9"/>
            <color indexed="81"/>
            <rFont val="Tahoma"/>
            <charset val="1"/>
          </rPr>
          <t>Stability=15,Expiration=7/3/2018</t>
        </r>
      </text>
    </comment>
    <comment ref="K62" authorId="0" shapeId="0" xr:uid="{00000000-0006-0000-0200-000003160000}">
      <text>
        <r>
          <rPr>
            <sz val="9"/>
            <color indexed="81"/>
            <rFont val="Tahoma"/>
            <charset val="1"/>
          </rPr>
          <t>Stability=8,Expiration=7/31/2018</t>
        </r>
      </text>
    </comment>
    <comment ref="L62" authorId="0" shapeId="0" xr:uid="{00000000-0006-0000-0200-000004160000}">
      <text>
        <r>
          <rPr>
            <sz val="9"/>
            <color indexed="81"/>
            <rFont val="Tahoma"/>
            <charset val="1"/>
          </rPr>
          <t>Stability=4,Expiration=5/13/2019</t>
        </r>
      </text>
    </comment>
    <comment ref="M62" authorId="0" shapeId="0" xr:uid="{00000000-0006-0000-0200-00000516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N62" authorId="0" shapeId="0" xr:uid="{00000000-0006-0000-0200-00000616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62" authorId="0" shapeId="0" xr:uid="{00000000-0006-0000-0200-00000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2" authorId="0" shapeId="0" xr:uid="{00000000-0006-0000-0200-000008160000}">
      <text>
        <r>
          <rPr>
            <sz val="9"/>
            <color indexed="81"/>
            <rFont val="Tahoma"/>
            <charset val="1"/>
          </rPr>
          <t>Stability=8,Expiration=1/29/2020</t>
        </r>
      </text>
    </comment>
    <comment ref="Q62" authorId="0" shapeId="0" xr:uid="{00000000-0006-0000-0200-000009160000}">
      <text>
        <r>
          <rPr>
            <sz val="9"/>
            <color indexed="81"/>
            <rFont val="Tahoma"/>
            <charset val="1"/>
          </rPr>
          <t>Stability=6,Expiration=2/6/2019</t>
        </r>
      </text>
    </comment>
    <comment ref="R62" authorId="0" shapeId="0" xr:uid="{00000000-0006-0000-0200-00000A160000}">
      <text>
        <r>
          <rPr>
            <sz val="9"/>
            <color indexed="81"/>
            <rFont val="Tahoma"/>
            <charset val="1"/>
          </rPr>
          <t>Stability=36,Expiration=7/14/2018</t>
        </r>
      </text>
    </comment>
    <comment ref="S62" authorId="0" shapeId="0" xr:uid="{00000000-0006-0000-0200-00000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2" authorId="0" shapeId="0" xr:uid="{00000000-0006-0000-0200-00000C160000}">
      <text>
        <r>
          <rPr>
            <sz val="9"/>
            <color indexed="81"/>
            <rFont val="Tahoma"/>
            <charset val="1"/>
          </rPr>
          <t>Stability=11,Expiration=8/14/2018</t>
        </r>
      </text>
    </comment>
    <comment ref="U62" authorId="0" shapeId="0" xr:uid="{00000000-0006-0000-0200-00000D160000}">
      <text>
        <r>
          <rPr>
            <sz val="9"/>
            <color indexed="81"/>
            <rFont val="Tahoma"/>
            <charset val="1"/>
          </rPr>
          <t>Stability=4,Expiration=1/11/2019</t>
        </r>
      </text>
    </comment>
    <comment ref="V62" authorId="0" shapeId="0" xr:uid="{00000000-0006-0000-0200-00000E160000}">
      <text>
        <r>
          <rPr>
            <sz val="9"/>
            <color indexed="81"/>
            <rFont val="Tahoma"/>
            <charset val="1"/>
          </rPr>
          <t>Stability=8,Expiration=12/6/2018</t>
        </r>
      </text>
    </comment>
    <comment ref="W62" authorId="0" shapeId="0" xr:uid="{00000000-0006-0000-0200-00000F160000}">
      <text>
        <r>
          <rPr>
            <sz val="9"/>
            <color indexed="81"/>
            <rFont val="Tahoma"/>
            <charset val="1"/>
          </rPr>
          <t>Stability=26,Expiration=6/30/2019</t>
        </r>
      </text>
    </comment>
    <comment ref="X62" authorId="0" shapeId="0" xr:uid="{00000000-0006-0000-0200-000010160000}">
      <text>
        <r>
          <rPr>
            <sz val="9"/>
            <color indexed="81"/>
            <rFont val="Tahoma"/>
            <charset val="1"/>
          </rPr>
          <t>Stability=17,Expiration=11/4/2018</t>
        </r>
      </text>
    </comment>
    <comment ref="Y62" authorId="0" shapeId="0" xr:uid="{00000000-0006-0000-0200-000011160000}">
      <text>
        <r>
          <rPr>
            <sz val="9"/>
            <color indexed="81"/>
            <rFont val="Tahoma"/>
            <charset val="1"/>
          </rPr>
          <t>Stability=16,Expiration=6/6/2019</t>
        </r>
      </text>
    </comment>
    <comment ref="Z62" authorId="0" shapeId="0" xr:uid="{00000000-0006-0000-0200-000012160000}">
      <text>
        <r>
          <rPr>
            <sz val="9"/>
            <color indexed="81"/>
            <rFont val="Tahoma"/>
            <charset val="1"/>
          </rPr>
          <t>Stability=4,Expiration=1/31/2019</t>
        </r>
      </text>
    </comment>
    <comment ref="AA62" authorId="0" shapeId="0" xr:uid="{00000000-0006-0000-0200-000013160000}">
      <text>
        <r>
          <rPr>
            <sz val="9"/>
            <color indexed="81"/>
            <rFont val="Tahoma"/>
            <charset val="1"/>
          </rPr>
          <t>Stability=14,Expiration=3/14/2019</t>
        </r>
      </text>
    </comment>
    <comment ref="AB62" authorId="0" shapeId="0" xr:uid="{00000000-0006-0000-0200-00001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2" authorId="0" shapeId="0" xr:uid="{00000000-0006-0000-0200-00001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2" authorId="0" shapeId="0" xr:uid="{00000000-0006-0000-0200-00001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2" authorId="0" shapeId="0" xr:uid="{00000000-0006-0000-0200-00001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2" authorId="0" shapeId="0" xr:uid="{00000000-0006-0000-0200-00001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2" authorId="0" shapeId="0" xr:uid="{00000000-0006-0000-0200-00001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2" authorId="0" shapeId="0" xr:uid="{00000000-0006-0000-0200-00001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2" authorId="0" shapeId="0" xr:uid="{00000000-0006-0000-0200-00001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2" authorId="0" shapeId="0" xr:uid="{00000000-0006-0000-0200-00001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2" authorId="0" shapeId="0" xr:uid="{00000000-0006-0000-0200-00001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2" authorId="0" shapeId="0" xr:uid="{00000000-0006-0000-0200-00001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2" authorId="0" shapeId="0" xr:uid="{00000000-0006-0000-0200-00001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2" authorId="0" shapeId="0" xr:uid="{00000000-0006-0000-0200-00002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2" authorId="0" shapeId="0" xr:uid="{00000000-0006-0000-0200-00002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2" authorId="0" shapeId="0" xr:uid="{00000000-0006-0000-0200-00002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2" authorId="0" shapeId="0" xr:uid="{00000000-0006-0000-0200-00002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2" authorId="0" shapeId="0" xr:uid="{00000000-0006-0000-0200-00002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2" authorId="0" shapeId="0" xr:uid="{00000000-0006-0000-0200-00002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2" authorId="0" shapeId="0" xr:uid="{00000000-0006-0000-0200-00002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2" authorId="0" shapeId="0" xr:uid="{00000000-0006-0000-0200-00002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2" authorId="0" shapeId="0" xr:uid="{00000000-0006-0000-0200-000028160000}">
      <text>
        <r>
          <rPr>
            <sz val="9"/>
            <color indexed="81"/>
            <rFont val="Tahoma"/>
            <charset val="1"/>
          </rPr>
          <t>Stability=23,Expiration=9/25/2018</t>
        </r>
      </text>
    </comment>
    <comment ref="A63" authorId="0" shapeId="0" xr:uid="{00000000-0006-0000-0200-000029160000}">
      <text>
        <r>
          <rPr>
            <sz val="9"/>
            <color indexed="81"/>
            <rFont val="Tahoma"/>
            <charset val="1"/>
          </rPr>
          <t>Date macro run: 6/6/2018 10:08:41 PM</t>
        </r>
      </text>
    </comment>
    <comment ref="B63" authorId="0" shapeId="0" xr:uid="{00000000-0006-0000-0200-00002A160000}">
      <text>
        <r>
          <rPr>
            <sz val="9"/>
            <color indexed="81"/>
            <rFont val="Tahoma"/>
            <charset val="1"/>
          </rPr>
          <t>Stability=5,Expiration=5/9/2019</t>
        </r>
      </text>
    </comment>
    <comment ref="C63" authorId="0" shapeId="0" xr:uid="{00000000-0006-0000-0200-00002B16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63" authorId="0" shapeId="0" xr:uid="{00000000-0006-0000-0200-00002C160000}">
      <text>
        <r>
          <rPr>
            <sz val="9"/>
            <color indexed="81"/>
            <rFont val="Tahoma"/>
            <charset val="1"/>
          </rPr>
          <t>Stability=4,Expiration=11/23/2018</t>
        </r>
      </text>
    </comment>
    <comment ref="E63" authorId="0" shapeId="0" xr:uid="{00000000-0006-0000-0200-00002D160000}">
      <text>
        <r>
          <rPr>
            <sz val="9"/>
            <color indexed="81"/>
            <rFont val="Tahoma"/>
            <charset val="1"/>
          </rPr>
          <t>Stability=9,Expiration=4/30/2019</t>
        </r>
      </text>
    </comment>
    <comment ref="F63" authorId="0" shapeId="0" xr:uid="{00000000-0006-0000-0200-00002E160000}">
      <text>
        <r>
          <rPr>
            <sz val="9"/>
            <color indexed="81"/>
            <rFont val="Tahoma"/>
            <charset val="1"/>
          </rPr>
          <t>Stability=2,Expiration=12/27/2018</t>
        </r>
      </text>
    </comment>
    <comment ref="G63" authorId="0" shapeId="0" xr:uid="{00000000-0006-0000-0200-00002F16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H63" authorId="0" shapeId="0" xr:uid="{00000000-0006-0000-0200-000030160000}">
      <text>
        <r>
          <rPr>
            <sz val="9"/>
            <color indexed="81"/>
            <rFont val="Tahoma"/>
            <charset val="1"/>
          </rPr>
          <t>Stability=19,Expiration=6/30/2019</t>
        </r>
      </text>
    </comment>
    <comment ref="I63" authorId="0" shapeId="0" xr:uid="{00000000-0006-0000-0200-000031160000}">
      <text>
        <r>
          <rPr>
            <sz val="9"/>
            <color indexed="81"/>
            <rFont val="Tahoma"/>
            <charset val="1"/>
          </rPr>
          <t>Stability=14,Expiration=7/18/2018</t>
        </r>
      </text>
    </comment>
    <comment ref="J63" authorId="0" shapeId="0" xr:uid="{00000000-0006-0000-0200-000032160000}">
      <text>
        <r>
          <rPr>
            <sz val="9"/>
            <color indexed="81"/>
            <rFont val="Tahoma"/>
            <charset val="1"/>
          </rPr>
          <t>Stability=13,Expiration=7/3/2018</t>
        </r>
      </text>
    </comment>
    <comment ref="K63" authorId="0" shapeId="0" xr:uid="{00000000-0006-0000-0200-000033160000}">
      <text>
        <r>
          <rPr>
            <sz val="9"/>
            <color indexed="81"/>
            <rFont val="Tahoma"/>
            <charset val="1"/>
          </rPr>
          <t>Stability=6,Expiration=7/31/2018</t>
        </r>
      </text>
    </comment>
    <comment ref="L63" authorId="0" shapeId="0" xr:uid="{00000000-0006-0000-0200-00003416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63" authorId="0" shapeId="0" xr:uid="{00000000-0006-0000-0200-000035160000}">
      <text>
        <r>
          <rPr>
            <sz val="9"/>
            <color indexed="81"/>
            <rFont val="Tahoma"/>
            <charset val="1"/>
          </rPr>
          <t>Stability=23,Expiration=10/31/2018</t>
        </r>
      </text>
    </comment>
    <comment ref="N63" authorId="0" shapeId="0" xr:uid="{00000000-0006-0000-0200-000036160000}">
      <text>
        <r>
          <rPr>
            <sz val="9"/>
            <color indexed="81"/>
            <rFont val="Tahoma"/>
            <charset val="1"/>
          </rPr>
          <t>Stability=29,Expiration=11/30/2018</t>
        </r>
      </text>
    </comment>
    <comment ref="O63" authorId="0" shapeId="0" xr:uid="{00000000-0006-0000-0200-00003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3" authorId="0" shapeId="0" xr:uid="{00000000-0006-0000-0200-000038160000}">
      <text>
        <r>
          <rPr>
            <sz val="9"/>
            <color indexed="81"/>
            <rFont val="Tahoma"/>
            <charset val="1"/>
          </rPr>
          <t>Stability=6,Expiration=1/29/2020</t>
        </r>
      </text>
    </comment>
    <comment ref="Q63" authorId="0" shapeId="0" xr:uid="{00000000-0006-0000-0200-000039160000}">
      <text>
        <r>
          <rPr>
            <sz val="9"/>
            <color indexed="81"/>
            <rFont val="Tahoma"/>
            <charset val="1"/>
          </rPr>
          <t>Stability=28,Expiration=2/6/2019</t>
        </r>
      </text>
    </comment>
    <comment ref="R63" authorId="0" shapeId="0" xr:uid="{00000000-0006-0000-0200-00003A160000}">
      <text>
        <r>
          <rPr>
            <sz val="9"/>
            <color indexed="81"/>
            <rFont val="Tahoma"/>
            <charset val="1"/>
          </rPr>
          <t>Stability=34,Expiration=7/14/2018</t>
        </r>
      </text>
    </comment>
    <comment ref="S63" authorId="0" shapeId="0" xr:uid="{00000000-0006-0000-0200-00003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3" authorId="0" shapeId="0" xr:uid="{00000000-0006-0000-0200-00003C16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63" authorId="0" shapeId="0" xr:uid="{00000000-0006-0000-0200-00003D160000}">
      <text>
        <r>
          <rPr>
            <sz val="9"/>
            <color indexed="81"/>
            <rFont val="Tahoma"/>
            <charset val="1"/>
          </rPr>
          <t>Stability=2,Expiration=1/11/2019</t>
        </r>
      </text>
    </comment>
    <comment ref="V63" authorId="0" shapeId="0" xr:uid="{00000000-0006-0000-0200-00003E160000}">
      <text>
        <r>
          <rPr>
            <sz val="9"/>
            <color indexed="81"/>
            <rFont val="Tahoma"/>
            <charset val="1"/>
          </rPr>
          <t>Stability=6,Expiration=12/6/2018</t>
        </r>
      </text>
    </comment>
    <comment ref="W63" authorId="0" shapeId="0" xr:uid="{00000000-0006-0000-0200-00003F160000}">
      <text>
        <r>
          <rPr>
            <sz val="9"/>
            <color indexed="81"/>
            <rFont val="Tahoma"/>
            <charset val="1"/>
          </rPr>
          <t>Stability=24,Expiration=6/30/2019</t>
        </r>
      </text>
    </comment>
    <comment ref="X63" authorId="0" shapeId="0" xr:uid="{00000000-0006-0000-0200-000040160000}">
      <text>
        <r>
          <rPr>
            <sz val="9"/>
            <color indexed="81"/>
            <rFont val="Tahoma"/>
            <charset val="1"/>
          </rPr>
          <t>Stability=15,Expiration=11/4/2018</t>
        </r>
      </text>
    </comment>
    <comment ref="Y63" authorId="0" shapeId="0" xr:uid="{00000000-0006-0000-0200-000041160000}">
      <text>
        <r>
          <rPr>
            <sz val="9"/>
            <color indexed="81"/>
            <rFont val="Tahoma"/>
            <charset val="1"/>
          </rPr>
          <t>Stability=14,Expiration=6/6/2019</t>
        </r>
      </text>
    </comment>
    <comment ref="Z63" authorId="0" shapeId="0" xr:uid="{00000000-0006-0000-0200-000042160000}">
      <text>
        <r>
          <rPr>
            <sz val="9"/>
            <color indexed="81"/>
            <rFont val="Tahoma"/>
            <charset val="1"/>
          </rPr>
          <t>Stability=29,Expiration=1/31/2019</t>
        </r>
      </text>
    </comment>
    <comment ref="AA63" authorId="0" shapeId="0" xr:uid="{00000000-0006-0000-0200-000043160000}">
      <text>
        <r>
          <rPr>
            <sz val="9"/>
            <color indexed="81"/>
            <rFont val="Tahoma"/>
            <charset val="1"/>
          </rPr>
          <t>Stability=12,Expiration=3/14/2019</t>
        </r>
      </text>
    </comment>
    <comment ref="AB63" authorId="0" shapeId="0" xr:uid="{00000000-0006-0000-0200-00004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3" authorId="0" shapeId="0" xr:uid="{00000000-0006-0000-0200-00004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3" authorId="0" shapeId="0" xr:uid="{00000000-0006-0000-0200-00004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3" authorId="0" shapeId="0" xr:uid="{00000000-0006-0000-0200-00004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3" authorId="0" shapeId="0" xr:uid="{00000000-0006-0000-0200-00004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3" authorId="0" shapeId="0" xr:uid="{00000000-0006-0000-0200-00004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3" authorId="0" shapeId="0" xr:uid="{00000000-0006-0000-0200-00004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3" authorId="0" shapeId="0" xr:uid="{00000000-0006-0000-0200-00004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3" authorId="0" shapeId="0" xr:uid="{00000000-0006-0000-0200-00004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3" authorId="0" shapeId="0" xr:uid="{00000000-0006-0000-0200-00004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3" authorId="0" shapeId="0" xr:uid="{00000000-0006-0000-0200-00004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3" authorId="0" shapeId="0" xr:uid="{00000000-0006-0000-0200-00004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3" authorId="0" shapeId="0" xr:uid="{00000000-0006-0000-0200-00005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3" authorId="0" shapeId="0" xr:uid="{00000000-0006-0000-0200-00005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3" authorId="0" shapeId="0" xr:uid="{00000000-0006-0000-0200-00005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3" authorId="0" shapeId="0" xr:uid="{00000000-0006-0000-0200-00005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3" authorId="0" shapeId="0" xr:uid="{00000000-0006-0000-0200-00005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3" authorId="0" shapeId="0" xr:uid="{00000000-0006-0000-0200-00005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3" authorId="0" shapeId="0" xr:uid="{00000000-0006-0000-0200-00005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3" authorId="0" shapeId="0" xr:uid="{00000000-0006-0000-0200-00005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3" authorId="0" shapeId="0" xr:uid="{00000000-0006-0000-0200-000058160000}">
      <text>
        <r>
          <rPr>
            <sz val="9"/>
            <color indexed="81"/>
            <rFont val="Tahoma"/>
            <charset val="1"/>
          </rPr>
          <t>Stability=21,Expiration=9/25/2018</t>
        </r>
      </text>
    </comment>
    <comment ref="A64" authorId="0" shapeId="0" xr:uid="{00000000-0006-0000-0200-000059160000}">
      <text>
        <r>
          <rPr>
            <sz val="9"/>
            <color indexed="81"/>
            <rFont val="Tahoma"/>
            <charset val="1"/>
          </rPr>
          <t>Date macro run: 6/7/2018 10:18:26 PM</t>
        </r>
      </text>
    </comment>
    <comment ref="B64" authorId="0" shapeId="0" xr:uid="{00000000-0006-0000-0200-00005A160000}">
      <text>
        <r>
          <rPr>
            <sz val="9"/>
            <color indexed="81"/>
            <rFont val="Tahoma"/>
            <charset val="1"/>
          </rPr>
          <t>Stability=4,Expiration=5/9/2019</t>
        </r>
      </text>
    </comment>
    <comment ref="C64" authorId="0" shapeId="0" xr:uid="{00000000-0006-0000-0200-00005B16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64" authorId="0" shapeId="0" xr:uid="{00000000-0006-0000-0200-00005C160000}">
      <text>
        <r>
          <rPr>
            <sz val="9"/>
            <color indexed="81"/>
            <rFont val="Tahoma"/>
            <charset val="1"/>
          </rPr>
          <t>Stability=3,Expiration=11/23/2018</t>
        </r>
      </text>
    </comment>
    <comment ref="E64" authorId="0" shapeId="0" xr:uid="{00000000-0006-0000-0200-00005D160000}">
      <text>
        <r>
          <rPr>
            <sz val="9"/>
            <color indexed="81"/>
            <rFont val="Tahoma"/>
            <charset val="1"/>
          </rPr>
          <t>Stability=8,Expiration=4/30/2019</t>
        </r>
      </text>
    </comment>
    <comment ref="F64" authorId="0" shapeId="0" xr:uid="{00000000-0006-0000-0200-00005E160000}">
      <text>
        <r>
          <rPr>
            <sz val="9"/>
            <color indexed="81"/>
            <rFont val="Tahoma"/>
            <charset val="1"/>
          </rPr>
          <t>Stability=1,Expiration=12/27/2018</t>
        </r>
      </text>
    </comment>
    <comment ref="G64" authorId="0" shapeId="0" xr:uid="{00000000-0006-0000-0200-00005F160000}">
      <text>
        <r>
          <rPr>
            <sz val="9"/>
            <color indexed="81"/>
            <rFont val="Tahoma"/>
            <charset val="1"/>
          </rPr>
          <t>Stability=18,Expiration=10/31/2018</t>
        </r>
      </text>
    </comment>
    <comment ref="H64" authorId="0" shapeId="0" xr:uid="{00000000-0006-0000-0200-00006016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64" authorId="0" shapeId="0" xr:uid="{00000000-0006-0000-0200-000061160000}">
      <text>
        <r>
          <rPr>
            <sz val="9"/>
            <color indexed="81"/>
            <rFont val="Tahoma"/>
            <charset val="1"/>
          </rPr>
          <t>Stability=13,Expiration=7/18/2018</t>
        </r>
      </text>
    </comment>
    <comment ref="J64" authorId="0" shapeId="0" xr:uid="{00000000-0006-0000-0200-000062160000}">
      <text>
        <r>
          <rPr>
            <sz val="9"/>
            <color indexed="81"/>
            <rFont val="Tahoma"/>
            <charset val="1"/>
          </rPr>
          <t>Stability=12,Expiration=7/3/2018</t>
        </r>
      </text>
    </comment>
    <comment ref="K64" authorId="0" shapeId="0" xr:uid="{00000000-0006-0000-0200-00006316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64" authorId="0" shapeId="0" xr:uid="{00000000-0006-0000-0200-00006416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64" authorId="0" shapeId="0" xr:uid="{00000000-0006-0000-0200-000065160000}">
      <text>
        <r>
          <rPr>
            <sz val="9"/>
            <color indexed="81"/>
            <rFont val="Tahoma"/>
            <charset val="1"/>
          </rPr>
          <t>Stability=22,Expiration=10/31/2018</t>
        </r>
      </text>
    </comment>
    <comment ref="N64" authorId="0" shapeId="0" xr:uid="{00000000-0006-0000-0200-000066160000}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O64" authorId="0" shapeId="0" xr:uid="{00000000-0006-0000-0200-00006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4" authorId="0" shapeId="0" xr:uid="{00000000-0006-0000-0200-000068160000}">
      <text>
        <r>
          <rPr>
            <sz val="9"/>
            <color indexed="81"/>
            <rFont val="Tahoma"/>
            <charset val="1"/>
          </rPr>
          <t>Stability=21,Expiration=1/29/2020</t>
        </r>
      </text>
    </comment>
    <comment ref="Q64" authorId="0" shapeId="0" xr:uid="{00000000-0006-0000-0200-000069160000}">
      <text>
        <r>
          <rPr>
            <sz val="9"/>
            <color indexed="81"/>
            <rFont val="Tahoma"/>
            <charset val="1"/>
          </rPr>
          <t>Stability=27,Expiration=2/6/2019</t>
        </r>
      </text>
    </comment>
    <comment ref="R64" authorId="0" shapeId="0" xr:uid="{00000000-0006-0000-0200-00006A160000}">
      <text>
        <r>
          <rPr>
            <sz val="9"/>
            <color indexed="81"/>
            <rFont val="Tahoma"/>
            <charset val="1"/>
          </rPr>
          <t>Stability=33,Expiration=7/14/2018</t>
        </r>
      </text>
    </comment>
    <comment ref="S64" authorId="0" shapeId="0" xr:uid="{00000000-0006-0000-0200-00006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4" authorId="0" shapeId="0" xr:uid="{00000000-0006-0000-0200-00006C160000}">
      <text>
        <r>
          <rPr>
            <sz val="9"/>
            <color indexed="81"/>
            <rFont val="Tahoma"/>
            <charset val="1"/>
          </rPr>
          <t>Stability=8,Expiration=8/14/2018</t>
        </r>
      </text>
    </comment>
    <comment ref="U64" authorId="0" shapeId="0" xr:uid="{00000000-0006-0000-0200-00006D160000}">
      <text>
        <r>
          <rPr>
            <sz val="9"/>
            <color indexed="81"/>
            <rFont val="Tahoma"/>
            <charset val="1"/>
          </rPr>
          <t>Stability=1,Expiration=1/11/2019</t>
        </r>
      </text>
    </comment>
    <comment ref="V64" authorId="0" shapeId="0" xr:uid="{00000000-0006-0000-0200-00006E160000}">
      <text>
        <r>
          <rPr>
            <sz val="9"/>
            <color indexed="81"/>
            <rFont val="Tahoma"/>
            <charset val="1"/>
          </rPr>
          <t>Stability=30,Expiration=12/6/2018</t>
        </r>
      </text>
    </comment>
    <comment ref="W64" authorId="0" shapeId="0" xr:uid="{00000000-0006-0000-0200-00006F160000}">
      <text>
        <r>
          <rPr>
            <sz val="9"/>
            <color indexed="81"/>
            <rFont val="Tahoma"/>
            <charset val="1"/>
          </rPr>
          <t>Stability=23,Expiration=6/30/2019</t>
        </r>
      </text>
    </comment>
    <comment ref="X64" authorId="0" shapeId="0" xr:uid="{00000000-0006-0000-0200-000070160000}">
      <text>
        <r>
          <rPr>
            <sz val="9"/>
            <color indexed="81"/>
            <rFont val="Tahoma"/>
            <charset val="1"/>
          </rPr>
          <t>Stability=14,Expiration=11/4/2018</t>
        </r>
      </text>
    </comment>
    <comment ref="Y64" authorId="0" shapeId="0" xr:uid="{00000000-0006-0000-0200-000071160000}">
      <text>
        <r>
          <rPr>
            <sz val="9"/>
            <color indexed="81"/>
            <rFont val="Tahoma"/>
            <charset val="1"/>
          </rPr>
          <t>Stability=13,Expiration=6/6/2019</t>
        </r>
      </text>
    </comment>
    <comment ref="Z64" authorId="0" shapeId="0" xr:uid="{00000000-0006-0000-0200-000072160000}">
      <text>
        <r>
          <rPr>
            <sz val="9"/>
            <color indexed="81"/>
            <rFont val="Tahoma"/>
            <charset val="1"/>
          </rPr>
          <t>Stability=28,Expiration=1/31/2019</t>
        </r>
      </text>
    </comment>
    <comment ref="AA64" authorId="0" shapeId="0" xr:uid="{00000000-0006-0000-0200-000073160000}">
      <text>
        <r>
          <rPr>
            <sz val="9"/>
            <color indexed="81"/>
            <rFont val="Tahoma"/>
            <charset val="1"/>
          </rPr>
          <t>Stability=11,Expiration=3/14/2019</t>
        </r>
      </text>
    </comment>
    <comment ref="AB64" authorId="0" shapeId="0" xr:uid="{00000000-0006-0000-0200-00007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4" authorId="0" shapeId="0" xr:uid="{00000000-0006-0000-0200-00007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4" authorId="0" shapeId="0" xr:uid="{00000000-0006-0000-0200-00007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4" authorId="0" shapeId="0" xr:uid="{00000000-0006-0000-0200-00007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4" authorId="0" shapeId="0" xr:uid="{00000000-0006-0000-0200-00007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4" authorId="0" shapeId="0" xr:uid="{00000000-0006-0000-0200-00007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4" authorId="0" shapeId="0" xr:uid="{00000000-0006-0000-0200-00007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4" authorId="0" shapeId="0" xr:uid="{00000000-0006-0000-0200-00007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4" authorId="0" shapeId="0" xr:uid="{00000000-0006-0000-0200-00007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4" authorId="0" shapeId="0" xr:uid="{00000000-0006-0000-0200-00007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4" authorId="0" shapeId="0" xr:uid="{00000000-0006-0000-0200-00007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4" authorId="0" shapeId="0" xr:uid="{00000000-0006-0000-0200-00007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4" authorId="0" shapeId="0" xr:uid="{00000000-0006-0000-0200-00008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4" authorId="0" shapeId="0" xr:uid="{00000000-0006-0000-0200-00008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4" authorId="0" shapeId="0" xr:uid="{00000000-0006-0000-0200-00008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4" authorId="0" shapeId="0" xr:uid="{00000000-0006-0000-0200-00008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4" authorId="0" shapeId="0" xr:uid="{00000000-0006-0000-0200-00008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4" authorId="0" shapeId="0" xr:uid="{00000000-0006-0000-0200-00008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4" authorId="0" shapeId="0" xr:uid="{00000000-0006-0000-0200-00008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4" authorId="0" shapeId="0" xr:uid="{00000000-0006-0000-0200-00008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4" authorId="0" shapeId="0" xr:uid="{00000000-0006-0000-0200-00008816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65" authorId="0" shapeId="0" xr:uid="{00000000-0006-0000-0200-000089160000}">
      <text>
        <r>
          <rPr>
            <sz val="9"/>
            <color indexed="81"/>
            <rFont val="Tahoma"/>
            <charset val="1"/>
          </rPr>
          <t>Date macro run: 6/11/2018 9:57:56 PM</t>
        </r>
      </text>
    </comment>
    <comment ref="B65" authorId="0" shapeId="0" xr:uid="{00000000-0006-0000-0200-00008A160000}">
      <text>
        <r>
          <rPr>
            <sz val="9"/>
            <color indexed="81"/>
            <rFont val="Tahoma"/>
            <charset val="1"/>
          </rPr>
          <t>Stability=41,Expiration=5/9/2019</t>
        </r>
      </text>
    </comment>
    <comment ref="C65" authorId="0" shapeId="0" xr:uid="{00000000-0006-0000-0200-00008B16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65" authorId="0" shapeId="0" xr:uid="{00000000-0006-0000-0200-00008C160000}">
      <text>
        <r>
          <rPr>
            <sz val="9"/>
            <color indexed="81"/>
            <rFont val="Tahoma"/>
            <charset val="1"/>
          </rPr>
          <t>Stability=26,Expiration=11/23/2018</t>
        </r>
      </text>
    </comment>
    <comment ref="E65" authorId="0" shapeId="0" xr:uid="{00000000-0006-0000-0200-00008D16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F65" authorId="0" shapeId="0" xr:uid="{00000000-0006-0000-0200-00008E160000}">
      <text>
        <r>
          <rPr>
            <sz val="9"/>
            <color indexed="81"/>
            <rFont val="Tahoma"/>
            <charset val="1"/>
          </rPr>
          <t>Stability=26,Expiration=12/27/2018</t>
        </r>
      </text>
    </comment>
    <comment ref="G65" authorId="0" shapeId="0" xr:uid="{00000000-0006-0000-0200-00008F160000}">
      <text>
        <r>
          <rPr>
            <sz val="9"/>
            <color indexed="81"/>
            <rFont val="Tahoma"/>
            <charset val="1"/>
          </rPr>
          <t>Stability=14,Expiration=10/31/2018</t>
        </r>
      </text>
    </comment>
    <comment ref="H65" authorId="0" shapeId="0" xr:uid="{00000000-0006-0000-0200-000090160000}">
      <text>
        <r>
          <rPr>
            <sz val="9"/>
            <color indexed="81"/>
            <rFont val="Tahoma"/>
            <charset val="1"/>
          </rPr>
          <t>Stability=14,Expiration=6/30/2019</t>
        </r>
      </text>
    </comment>
    <comment ref="I65" authorId="0" shapeId="0" xr:uid="{00000000-0006-0000-0200-000091160000}">
      <text>
        <r>
          <rPr>
            <sz val="9"/>
            <color indexed="81"/>
            <rFont val="Tahoma"/>
            <charset val="1"/>
          </rPr>
          <t>Stability=9,Expiration=7/18/2018</t>
        </r>
      </text>
    </comment>
    <comment ref="J65" authorId="0" shapeId="0" xr:uid="{00000000-0006-0000-0200-000092160000}">
      <text>
        <r>
          <rPr>
            <sz val="9"/>
            <color indexed="81"/>
            <rFont val="Tahoma"/>
            <charset val="1"/>
          </rPr>
          <t>Stability=8,Expiration=7/3/2018</t>
        </r>
      </text>
    </comment>
    <comment ref="K65" authorId="0" shapeId="0" xr:uid="{00000000-0006-0000-0200-00009316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65" authorId="0" shapeId="0" xr:uid="{00000000-0006-0000-0200-00009416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65" authorId="0" shapeId="0" xr:uid="{00000000-0006-0000-0200-000095160000}">
      <text>
        <r>
          <rPr>
            <sz val="9"/>
            <color indexed="81"/>
            <rFont val="Tahoma"/>
            <charset val="1"/>
          </rPr>
          <t>Stability=18,Expiration=10/31/2018</t>
        </r>
      </text>
    </comment>
    <comment ref="N65" authorId="0" shapeId="0" xr:uid="{00000000-0006-0000-0200-00009616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65" authorId="0" shapeId="0" xr:uid="{00000000-0006-0000-0200-00009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5" authorId="0" shapeId="0" xr:uid="{00000000-0006-0000-0200-000098160000}">
      <text>
        <r>
          <rPr>
            <sz val="9"/>
            <color indexed="81"/>
            <rFont val="Tahoma"/>
            <charset val="1"/>
          </rPr>
          <t>Stability=17,Expiration=1/29/2020</t>
        </r>
      </text>
    </comment>
    <comment ref="Q65" authorId="0" shapeId="0" xr:uid="{00000000-0006-0000-0200-00009916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65" authorId="0" shapeId="0" xr:uid="{00000000-0006-0000-0200-00009A160000}">
      <text>
        <r>
          <rPr>
            <sz val="9"/>
            <color indexed="81"/>
            <rFont val="Tahoma"/>
            <charset val="1"/>
          </rPr>
          <t>Stability=29,Expiration=7/14/2018</t>
        </r>
      </text>
    </comment>
    <comment ref="S65" authorId="0" shapeId="0" xr:uid="{00000000-0006-0000-0200-00009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5" authorId="0" shapeId="0" xr:uid="{00000000-0006-0000-0200-00009C160000}">
      <text>
        <r>
          <rPr>
            <sz val="9"/>
            <color indexed="81"/>
            <rFont val="Tahoma"/>
            <charset val="1"/>
          </rPr>
          <t>Stability=4,Expiration=8/14/2018</t>
        </r>
      </text>
    </comment>
    <comment ref="U65" authorId="0" shapeId="0" xr:uid="{00000000-0006-0000-0200-00009D160000}">
      <text>
        <r>
          <rPr>
            <sz val="9"/>
            <color indexed="81"/>
            <rFont val="Tahoma"/>
            <charset val="1"/>
          </rPr>
          <t>Stability=21,Expiration=1/11/2019</t>
        </r>
      </text>
    </comment>
    <comment ref="V65" authorId="0" shapeId="0" xr:uid="{00000000-0006-0000-0200-00009E160000}">
      <text>
        <r>
          <rPr>
            <sz val="9"/>
            <color indexed="81"/>
            <rFont val="Tahoma"/>
            <charset val="1"/>
          </rPr>
          <t>Stability=26,Expiration=12/6/2018</t>
        </r>
      </text>
    </comment>
    <comment ref="W65" authorId="0" shapeId="0" xr:uid="{00000000-0006-0000-0200-00009F160000}">
      <text>
        <r>
          <rPr>
            <sz val="9"/>
            <color indexed="81"/>
            <rFont val="Tahoma"/>
            <charset val="1"/>
          </rPr>
          <t>Stability=19,Expiration=6/30/2019</t>
        </r>
      </text>
    </comment>
    <comment ref="X65" authorId="0" shapeId="0" xr:uid="{00000000-0006-0000-0200-0000A0160000}">
      <text>
        <r>
          <rPr>
            <sz val="9"/>
            <color indexed="81"/>
            <rFont val="Tahoma"/>
            <charset val="1"/>
          </rPr>
          <t>Stability=28,Expiration=11/4/2018</t>
        </r>
      </text>
    </comment>
    <comment ref="Y65" authorId="0" shapeId="0" xr:uid="{00000000-0006-0000-0200-0000A1160000}">
      <text>
        <r>
          <rPr>
            <sz val="9"/>
            <color indexed="81"/>
            <rFont val="Tahoma"/>
            <charset val="1"/>
          </rPr>
          <t>Stability=10,Expiration=6/6/2019</t>
        </r>
      </text>
    </comment>
    <comment ref="Z65" authorId="0" shapeId="0" xr:uid="{00000000-0006-0000-0200-0000A2160000}">
      <text>
        <r>
          <rPr>
            <sz val="9"/>
            <color indexed="81"/>
            <rFont val="Tahoma"/>
            <charset val="1"/>
          </rPr>
          <t>Stability=24,Expiration=1/31/2019</t>
        </r>
      </text>
    </comment>
    <comment ref="AA65" authorId="0" shapeId="0" xr:uid="{00000000-0006-0000-0200-0000A3160000}">
      <text>
        <r>
          <rPr>
            <sz val="9"/>
            <color indexed="81"/>
            <rFont val="Tahoma"/>
            <charset val="1"/>
          </rPr>
          <t>Stability=7,Expiration=3/14/2019</t>
        </r>
      </text>
    </comment>
    <comment ref="AB65" authorId="0" shapeId="0" xr:uid="{00000000-0006-0000-0200-0000A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5" authorId="0" shapeId="0" xr:uid="{00000000-0006-0000-0200-0000A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5" authorId="0" shapeId="0" xr:uid="{00000000-0006-0000-0200-0000A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5" authorId="0" shapeId="0" xr:uid="{00000000-0006-0000-0200-0000A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5" authorId="0" shapeId="0" xr:uid="{00000000-0006-0000-0200-0000A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5" authorId="0" shapeId="0" xr:uid="{00000000-0006-0000-0200-0000A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5" authorId="0" shapeId="0" xr:uid="{00000000-0006-0000-0200-0000A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5" authorId="0" shapeId="0" xr:uid="{00000000-0006-0000-0200-0000A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5" authorId="0" shapeId="0" xr:uid="{00000000-0006-0000-0200-0000A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5" authorId="0" shapeId="0" xr:uid="{00000000-0006-0000-0200-0000A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5" authorId="0" shapeId="0" xr:uid="{00000000-0006-0000-0200-0000A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5" authorId="0" shapeId="0" xr:uid="{00000000-0006-0000-0200-0000A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5" authorId="0" shapeId="0" xr:uid="{00000000-0006-0000-0200-0000B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5" authorId="0" shapeId="0" xr:uid="{00000000-0006-0000-0200-0000B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5" authorId="0" shapeId="0" xr:uid="{00000000-0006-0000-0200-0000B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5" authorId="0" shapeId="0" xr:uid="{00000000-0006-0000-0200-0000B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5" authorId="0" shapeId="0" xr:uid="{00000000-0006-0000-0200-0000B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5" authorId="0" shapeId="0" xr:uid="{00000000-0006-0000-0200-0000B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5" authorId="0" shapeId="0" xr:uid="{00000000-0006-0000-0200-0000B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5" authorId="0" shapeId="0" xr:uid="{00000000-0006-0000-0200-0000B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5" authorId="0" shapeId="0" xr:uid="{00000000-0006-0000-0200-0000B816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66" authorId="0" shapeId="0" xr:uid="{00000000-0006-0000-0200-0000B9160000}">
      <text>
        <r>
          <rPr>
            <sz val="9"/>
            <color indexed="81"/>
            <rFont val="Tahoma"/>
            <charset val="1"/>
          </rPr>
          <t>Date macro run: 6/13/2018 9:15:24 PM</t>
        </r>
      </text>
    </comment>
    <comment ref="B66" authorId="0" shapeId="0" xr:uid="{00000000-0006-0000-0200-0000BA16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66" authorId="0" shapeId="0" xr:uid="{00000000-0006-0000-0200-0000BB16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66" authorId="0" shapeId="0" xr:uid="{00000000-0006-0000-0200-0000BC160000}">
      <text>
        <r>
          <rPr>
            <sz val="9"/>
            <color indexed="81"/>
            <rFont val="Tahoma"/>
            <charset val="1"/>
          </rPr>
          <t>Stability=24,Expiration=11/23/2018</t>
        </r>
      </text>
    </comment>
    <comment ref="E66" authorId="0" shapeId="0" xr:uid="{00000000-0006-0000-0200-0000BD16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66" authorId="0" shapeId="0" xr:uid="{00000000-0006-0000-0200-0000BE160000}">
      <text>
        <r>
          <rPr>
            <sz val="9"/>
            <color indexed="81"/>
            <rFont val="Tahoma"/>
            <charset val="1"/>
          </rPr>
          <t>Stability=24,Expiration=12/27/2018</t>
        </r>
      </text>
    </comment>
    <comment ref="G66" authorId="0" shapeId="0" xr:uid="{00000000-0006-0000-0200-0000BF16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66" authorId="0" shapeId="0" xr:uid="{00000000-0006-0000-0200-0000C0160000}">
      <text>
        <r>
          <rPr>
            <sz val="9"/>
            <color indexed="81"/>
            <rFont val="Tahoma"/>
            <charset val="1"/>
          </rPr>
          <t>Stability=12,Expiration=6/30/2019</t>
        </r>
      </text>
    </comment>
    <comment ref="I66" authorId="0" shapeId="0" xr:uid="{00000000-0006-0000-0200-0000C1160000}">
      <text>
        <r>
          <rPr>
            <sz val="9"/>
            <color indexed="81"/>
            <rFont val="Tahoma"/>
            <charset val="1"/>
          </rPr>
          <t>Stability=7,Expiration=7/18/2018</t>
        </r>
      </text>
    </comment>
    <comment ref="J66" authorId="0" shapeId="0" xr:uid="{00000000-0006-0000-0200-0000C2160000}">
      <text>
        <r>
          <rPr>
            <sz val="9"/>
            <color indexed="81"/>
            <rFont val="Tahoma"/>
            <charset val="1"/>
          </rPr>
          <t>Stability=6,Expiration=7/3/2018</t>
        </r>
      </text>
    </comment>
    <comment ref="K66" authorId="0" shapeId="0" xr:uid="{00000000-0006-0000-0200-0000C316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66" authorId="0" shapeId="0" xr:uid="{00000000-0006-0000-0200-0000C416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66" authorId="0" shapeId="0" xr:uid="{00000000-0006-0000-0200-0000C5160000}">
      <text>
        <r>
          <rPr>
            <sz val="9"/>
            <color indexed="81"/>
            <rFont val="Tahoma"/>
            <charset val="1"/>
          </rPr>
          <t>Stability=16,Expiration=10/31/2018</t>
        </r>
      </text>
    </comment>
    <comment ref="N66" authorId="0" shapeId="0" xr:uid="{00000000-0006-0000-0200-0000C616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66" authorId="0" shapeId="0" xr:uid="{00000000-0006-0000-0200-0000C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6" authorId="0" shapeId="0" xr:uid="{00000000-0006-0000-0200-0000C8160000}">
      <text>
        <r>
          <rPr>
            <sz val="9"/>
            <color indexed="81"/>
            <rFont val="Tahoma"/>
            <charset val="1"/>
          </rPr>
          <t>Stability=15,Expiration=1/29/2020</t>
        </r>
      </text>
    </comment>
    <comment ref="Q66" authorId="0" shapeId="0" xr:uid="{00000000-0006-0000-0200-0000C9160000}">
      <text>
        <r>
          <rPr>
            <sz val="9"/>
            <color indexed="81"/>
            <rFont val="Tahoma"/>
            <charset val="1"/>
          </rPr>
          <t>Stability=21,Expiration=2/6/2019</t>
        </r>
      </text>
    </comment>
    <comment ref="R66" authorId="0" shapeId="0" xr:uid="{00000000-0006-0000-0200-0000CA160000}">
      <text>
        <r>
          <rPr>
            <sz val="9"/>
            <color indexed="81"/>
            <rFont val="Tahoma"/>
            <charset val="1"/>
          </rPr>
          <t>Stability=27,Expiration=7/14/2018</t>
        </r>
      </text>
    </comment>
    <comment ref="S66" authorId="0" shapeId="0" xr:uid="{00000000-0006-0000-0200-0000C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6" authorId="0" shapeId="0" xr:uid="{00000000-0006-0000-0200-0000CC160000}">
      <text>
        <r>
          <rPr>
            <sz val="9"/>
            <color indexed="81"/>
            <rFont val="Tahoma"/>
            <charset val="1"/>
          </rPr>
          <t>Stability=2,Expiration=8/14/2018</t>
        </r>
      </text>
    </comment>
    <comment ref="U66" authorId="0" shapeId="0" xr:uid="{00000000-0006-0000-0200-0000CD160000}">
      <text>
        <r>
          <rPr>
            <sz val="9"/>
            <color indexed="81"/>
            <rFont val="Tahoma"/>
            <charset val="1"/>
          </rPr>
          <t>Stability=19,Expiration=1/11/2019</t>
        </r>
      </text>
    </comment>
    <comment ref="V66" authorId="0" shapeId="0" xr:uid="{00000000-0006-0000-0200-0000CE160000}">
      <text>
        <r>
          <rPr>
            <sz val="9"/>
            <color indexed="81"/>
            <rFont val="Tahoma"/>
            <charset val="1"/>
          </rPr>
          <t>Stability=24,Expiration=12/6/2018</t>
        </r>
      </text>
    </comment>
    <comment ref="W66" authorId="0" shapeId="0" xr:uid="{00000000-0006-0000-0200-0000CF160000}">
      <text>
        <r>
          <rPr>
            <sz val="9"/>
            <color indexed="81"/>
            <rFont val="Tahoma"/>
            <charset val="1"/>
          </rPr>
          <t>Stability=17,Expiration=6/30/2019</t>
        </r>
      </text>
    </comment>
    <comment ref="X66" authorId="0" shapeId="0" xr:uid="{00000000-0006-0000-0200-0000D0160000}">
      <text>
        <r>
          <rPr>
            <sz val="9"/>
            <color indexed="81"/>
            <rFont val="Tahoma"/>
            <charset val="1"/>
          </rPr>
          <t>Stability=26,Expiration=11/4/2018</t>
        </r>
      </text>
    </comment>
    <comment ref="Y66" authorId="0" shapeId="0" xr:uid="{00000000-0006-0000-0200-0000D1160000}">
      <text>
        <r>
          <rPr>
            <sz val="9"/>
            <color indexed="81"/>
            <rFont val="Tahoma"/>
            <charset val="1"/>
          </rPr>
          <t>Stability=8,Expiration=6/6/2019</t>
        </r>
      </text>
    </comment>
    <comment ref="Z66" authorId="0" shapeId="0" xr:uid="{00000000-0006-0000-0200-0000D2160000}">
      <text>
        <r>
          <rPr>
            <sz val="9"/>
            <color indexed="81"/>
            <rFont val="Tahoma"/>
            <charset val="1"/>
          </rPr>
          <t>Stability=22,Expiration=1/31/2019</t>
        </r>
      </text>
    </comment>
    <comment ref="AA66" authorId="0" shapeId="0" xr:uid="{00000000-0006-0000-0200-0000D3160000}">
      <text>
        <r>
          <rPr>
            <sz val="9"/>
            <color indexed="81"/>
            <rFont val="Tahoma"/>
            <charset val="1"/>
          </rPr>
          <t>Stability=5,Expiration=3/14/2019</t>
        </r>
      </text>
    </comment>
    <comment ref="AB66" authorId="0" shapeId="0" xr:uid="{00000000-0006-0000-0200-0000D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6" authorId="0" shapeId="0" xr:uid="{00000000-0006-0000-0200-0000D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6" authorId="0" shapeId="0" xr:uid="{00000000-0006-0000-0200-0000D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6" authorId="0" shapeId="0" xr:uid="{00000000-0006-0000-0200-0000D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6" authorId="0" shapeId="0" xr:uid="{00000000-0006-0000-0200-0000D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6" authorId="0" shapeId="0" xr:uid="{00000000-0006-0000-0200-0000D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6" authorId="0" shapeId="0" xr:uid="{00000000-0006-0000-0200-0000D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6" authorId="0" shapeId="0" xr:uid="{00000000-0006-0000-0200-0000D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6" authorId="0" shapeId="0" xr:uid="{00000000-0006-0000-0200-0000D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6" authorId="0" shapeId="0" xr:uid="{00000000-0006-0000-0200-0000D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6" authorId="0" shapeId="0" xr:uid="{00000000-0006-0000-0200-0000D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6" authorId="0" shapeId="0" xr:uid="{00000000-0006-0000-0200-0000D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6" authorId="0" shapeId="0" xr:uid="{00000000-0006-0000-0200-0000E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6" authorId="0" shapeId="0" xr:uid="{00000000-0006-0000-0200-0000E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6" authorId="0" shapeId="0" xr:uid="{00000000-0006-0000-0200-0000E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6" authorId="0" shapeId="0" xr:uid="{00000000-0006-0000-0200-0000E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6" authorId="0" shapeId="0" xr:uid="{00000000-0006-0000-0200-0000E416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6" authorId="0" shapeId="0" xr:uid="{00000000-0006-0000-0200-0000E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6" authorId="0" shapeId="0" xr:uid="{00000000-0006-0000-0200-0000E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6" authorId="0" shapeId="0" xr:uid="{00000000-0006-0000-0200-0000E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6" authorId="0" shapeId="0" xr:uid="{00000000-0006-0000-0200-0000E816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67" authorId="0" shapeId="0" xr:uid="{00000000-0006-0000-0200-0000E9160000}">
      <text>
        <r>
          <rPr>
            <sz val="9"/>
            <color indexed="81"/>
            <rFont val="Tahoma"/>
            <charset val="1"/>
          </rPr>
          <t>Date macro run: 6/14/2018 6:36:39 PM</t>
        </r>
      </text>
    </comment>
    <comment ref="B67" authorId="0" shapeId="0" xr:uid="{00000000-0006-0000-0200-0000EA16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67" authorId="0" shapeId="0" xr:uid="{00000000-0006-0000-0200-0000EB16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67" authorId="0" shapeId="0" xr:uid="{00000000-0006-0000-0200-0000EC160000}">
      <text>
        <r>
          <rPr>
            <sz val="9"/>
            <color indexed="81"/>
            <rFont val="Tahoma"/>
            <charset val="1"/>
          </rPr>
          <t>Stability=23,Expiration=11/23/2018</t>
        </r>
      </text>
    </comment>
    <comment ref="E67" authorId="0" shapeId="0" xr:uid="{00000000-0006-0000-0200-0000ED16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67" authorId="0" shapeId="0" xr:uid="{00000000-0006-0000-0200-0000EE160000}">
      <text>
        <r>
          <rPr>
            <sz val="9"/>
            <color indexed="81"/>
            <rFont val="Tahoma"/>
            <charset val="1"/>
          </rPr>
          <t>Stability=24,Expiration=12/27/2018</t>
        </r>
      </text>
    </comment>
    <comment ref="G67" authorId="0" shapeId="0" xr:uid="{00000000-0006-0000-0200-0000EF16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67" authorId="0" shapeId="0" xr:uid="{00000000-0006-0000-0200-0000F0160000}">
      <text>
        <r>
          <rPr>
            <sz val="9"/>
            <color indexed="81"/>
            <rFont val="Tahoma"/>
            <charset val="1"/>
          </rPr>
          <t>Stability=12,Expiration=6/30/2019</t>
        </r>
      </text>
    </comment>
    <comment ref="I67" authorId="0" shapeId="0" xr:uid="{00000000-0006-0000-0200-0000F1160000}">
      <text>
        <r>
          <rPr>
            <sz val="9"/>
            <color indexed="81"/>
            <rFont val="Tahoma"/>
            <charset val="1"/>
          </rPr>
          <t>Stability=7,Expiration=7/18/2018</t>
        </r>
      </text>
    </comment>
    <comment ref="J67" authorId="0" shapeId="0" xr:uid="{00000000-0006-0000-0200-0000F2160000}">
      <text>
        <r>
          <rPr>
            <sz val="9"/>
            <color indexed="81"/>
            <rFont val="Tahoma"/>
            <charset val="1"/>
          </rPr>
          <t>Stability=6,Expiration=7/3/2018</t>
        </r>
      </text>
    </comment>
    <comment ref="K67" authorId="0" shapeId="0" xr:uid="{00000000-0006-0000-0200-0000F316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67" authorId="0" shapeId="0" xr:uid="{00000000-0006-0000-0200-0000F416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67" authorId="0" shapeId="0" xr:uid="{00000000-0006-0000-0200-0000F516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N67" authorId="0" shapeId="0" xr:uid="{00000000-0006-0000-0200-0000F616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67" authorId="0" shapeId="0" xr:uid="{00000000-0006-0000-0200-0000F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7" authorId="0" shapeId="0" xr:uid="{00000000-0006-0000-0200-0000F8160000}">
      <text>
        <r>
          <rPr>
            <sz val="9"/>
            <color indexed="81"/>
            <rFont val="Tahoma"/>
            <charset val="1"/>
          </rPr>
          <t>Stability=14,Expiration=1/29/2020</t>
        </r>
      </text>
    </comment>
    <comment ref="Q67" authorId="0" shapeId="0" xr:uid="{00000000-0006-0000-0200-0000F9160000}">
      <text>
        <r>
          <rPr>
            <sz val="9"/>
            <color indexed="81"/>
            <rFont val="Tahoma"/>
            <charset val="1"/>
          </rPr>
          <t>Stability=21,Expiration=2/6/2019</t>
        </r>
      </text>
    </comment>
    <comment ref="R67" authorId="0" shapeId="0" xr:uid="{00000000-0006-0000-0200-0000FA160000}">
      <text>
        <r>
          <rPr>
            <sz val="9"/>
            <color indexed="81"/>
            <rFont val="Tahoma"/>
            <charset val="1"/>
          </rPr>
          <t>Stability=26,Expiration=7/14/2018</t>
        </r>
      </text>
    </comment>
    <comment ref="S67" authorId="0" shapeId="0" xr:uid="{00000000-0006-0000-0200-0000F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7" authorId="0" shapeId="0" xr:uid="{00000000-0006-0000-0200-0000FC160000}">
      <text>
        <r>
          <rPr>
            <sz val="9"/>
            <color indexed="81"/>
            <rFont val="Tahoma"/>
            <charset val="1"/>
          </rPr>
          <t>Stability=2,Expiration=8/14/2018</t>
        </r>
      </text>
    </comment>
    <comment ref="U67" authorId="0" shapeId="0" xr:uid="{00000000-0006-0000-0200-0000FD160000}">
      <text>
        <r>
          <rPr>
            <sz val="9"/>
            <color indexed="81"/>
            <rFont val="Tahoma"/>
            <charset val="1"/>
          </rPr>
          <t>Stability=19,Expiration=1/11/2019</t>
        </r>
      </text>
    </comment>
    <comment ref="V67" authorId="0" shapeId="0" xr:uid="{00000000-0006-0000-0200-0000FE160000}">
      <text>
        <r>
          <rPr>
            <sz val="9"/>
            <color indexed="81"/>
            <rFont val="Tahoma"/>
            <charset val="1"/>
          </rPr>
          <t>Stability=23,Expiration=12/6/2018</t>
        </r>
      </text>
    </comment>
    <comment ref="W67" authorId="0" shapeId="0" xr:uid="{00000000-0006-0000-0200-0000FF160000}">
      <text>
        <r>
          <rPr>
            <sz val="9"/>
            <color indexed="81"/>
            <rFont val="Tahoma"/>
            <charset val="1"/>
          </rPr>
          <t>Stability=17,Expiration=6/30/2019</t>
        </r>
      </text>
    </comment>
    <comment ref="X67" authorId="0" shapeId="0" xr:uid="{00000000-0006-0000-0200-000000170000}">
      <text>
        <r>
          <rPr>
            <sz val="9"/>
            <color indexed="81"/>
            <rFont val="Tahoma"/>
            <charset val="1"/>
          </rPr>
          <t>Stability=25,Expiration=11/4/2018</t>
        </r>
      </text>
    </comment>
    <comment ref="Y67" authorId="0" shapeId="0" xr:uid="{00000000-0006-0000-0200-000001170000}">
      <text>
        <r>
          <rPr>
            <sz val="9"/>
            <color indexed="81"/>
            <rFont val="Tahoma"/>
            <charset val="1"/>
          </rPr>
          <t>Stability=7,Expiration=6/6/2019</t>
        </r>
      </text>
    </comment>
    <comment ref="Z67" authorId="0" shapeId="0" xr:uid="{00000000-0006-0000-0200-000002170000}">
      <text>
        <r>
          <rPr>
            <sz val="9"/>
            <color indexed="81"/>
            <rFont val="Tahoma"/>
            <charset val="1"/>
          </rPr>
          <t>Stability=21,Expiration=1/31/2019</t>
        </r>
      </text>
    </comment>
    <comment ref="AA67" authorId="0" shapeId="0" xr:uid="{00000000-0006-0000-0200-000003170000}">
      <text>
        <r>
          <rPr>
            <sz val="9"/>
            <color indexed="81"/>
            <rFont val="Tahoma"/>
            <charset val="1"/>
          </rPr>
          <t>Stability=4,Expiration=3/14/2019</t>
        </r>
      </text>
    </comment>
    <comment ref="AB67" authorId="0" shapeId="0" xr:uid="{00000000-0006-0000-0200-00000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7" authorId="0" shapeId="0" xr:uid="{00000000-0006-0000-0200-00000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7" authorId="0" shapeId="0" xr:uid="{00000000-0006-0000-0200-00000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7" authorId="0" shapeId="0" xr:uid="{00000000-0006-0000-0200-00000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7" authorId="0" shapeId="0" xr:uid="{00000000-0006-0000-0200-00000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7" authorId="0" shapeId="0" xr:uid="{00000000-0006-0000-0200-00000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7" authorId="0" shapeId="0" xr:uid="{00000000-0006-0000-0200-00000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7" authorId="0" shapeId="0" xr:uid="{00000000-0006-0000-0200-00000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7" authorId="0" shapeId="0" xr:uid="{00000000-0006-0000-0200-00000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7" authorId="0" shapeId="0" xr:uid="{00000000-0006-0000-0200-00000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7" authorId="0" shapeId="0" xr:uid="{00000000-0006-0000-0200-00000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7" authorId="0" shapeId="0" xr:uid="{00000000-0006-0000-0200-00000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7" authorId="0" shapeId="0" xr:uid="{00000000-0006-0000-0200-00001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7" authorId="0" shapeId="0" xr:uid="{00000000-0006-0000-0200-00001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7" authorId="0" shapeId="0" xr:uid="{00000000-0006-0000-0200-00001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7" authorId="0" shapeId="0" xr:uid="{00000000-0006-0000-0200-00001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7" authorId="0" shapeId="0" xr:uid="{00000000-0006-0000-0200-00001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7" authorId="0" shapeId="0" xr:uid="{00000000-0006-0000-0200-00001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7" authorId="0" shapeId="0" xr:uid="{00000000-0006-0000-0200-00001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7" authorId="0" shapeId="0" xr:uid="{00000000-0006-0000-0200-00001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7" authorId="0" shapeId="0" xr:uid="{00000000-0006-0000-0200-000018170000}">
      <text>
        <r>
          <rPr>
            <sz val="9"/>
            <color indexed="81"/>
            <rFont val="Tahoma"/>
            <charset val="1"/>
          </rPr>
          <t>Stability=14,Expiration=9/25/2018</t>
        </r>
      </text>
    </comment>
    <comment ref="A68" authorId="0" shapeId="0" xr:uid="{00000000-0006-0000-0200-000019170000}">
      <text>
        <r>
          <rPr>
            <sz val="9"/>
            <color indexed="81"/>
            <rFont val="Tahoma"/>
            <charset val="1"/>
          </rPr>
          <t>Date macro run: 6/18/2018 9:46:24 PM</t>
        </r>
      </text>
    </comment>
    <comment ref="B68" authorId="0" shapeId="0" xr:uid="{00000000-0006-0000-0200-00001A170000}">
      <text>
        <r>
          <rPr>
            <sz val="9"/>
            <color indexed="81"/>
            <rFont val="Tahoma"/>
            <charset val="1"/>
          </rPr>
          <t>Stability=34,Expiration=5/9/2019</t>
        </r>
      </text>
    </comment>
    <comment ref="C68" authorId="0" shapeId="0" xr:uid="{00000000-0006-0000-0200-00001B17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68" authorId="0" shapeId="0" xr:uid="{00000000-0006-0000-0200-00001C170000}">
      <text>
        <r>
          <rPr>
            <sz val="9"/>
            <color indexed="81"/>
            <rFont val="Tahoma"/>
            <charset val="1"/>
          </rPr>
          <t>Stability=19,Expiration=11/23/2018</t>
        </r>
      </text>
    </comment>
    <comment ref="E68" authorId="0" shapeId="0" xr:uid="{00000000-0006-0000-0200-00001D17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F68" authorId="0" shapeId="0" xr:uid="{00000000-0006-0000-0200-00001E170000}">
      <text>
        <r>
          <rPr>
            <sz val="9"/>
            <color indexed="81"/>
            <rFont val="Tahoma"/>
            <charset val="1"/>
          </rPr>
          <t>Stability=19,Expiration=12/27/2018</t>
        </r>
      </text>
    </comment>
    <comment ref="G68" authorId="0" shapeId="0" xr:uid="{00000000-0006-0000-0200-00001F170000}">
      <text>
        <r>
          <rPr>
            <sz val="9"/>
            <color indexed="81"/>
            <rFont val="Tahoma"/>
            <charset val="1"/>
          </rPr>
          <t>Stability=7,Expiration=10/31/2018</t>
        </r>
      </text>
    </comment>
    <comment ref="H68" authorId="0" shapeId="0" xr:uid="{00000000-0006-0000-0200-000020170000}">
      <text>
        <r>
          <rPr>
            <sz val="9"/>
            <color indexed="81"/>
            <rFont val="Tahoma"/>
            <charset val="1"/>
          </rPr>
          <t>Stability=7,Expiration=6/30/2019</t>
        </r>
      </text>
    </comment>
    <comment ref="I68" authorId="0" shapeId="0" xr:uid="{00000000-0006-0000-0200-000021170000}">
      <text>
        <r>
          <rPr>
            <sz val="9"/>
            <color indexed="81"/>
            <rFont val="Tahoma"/>
            <charset val="1"/>
          </rPr>
          <t>Stability=2,Expiration=7/18/2018</t>
        </r>
      </text>
    </comment>
    <comment ref="J68" authorId="0" shapeId="0" xr:uid="{00000000-0006-0000-0200-000022170000}">
      <text>
        <r>
          <rPr>
            <sz val="9"/>
            <color indexed="81"/>
            <rFont val="Tahoma"/>
            <charset val="1"/>
          </rPr>
          <t>Stability=1,Expiration=7/3/2018</t>
        </r>
      </text>
    </comment>
    <comment ref="K68" authorId="0" shapeId="0" xr:uid="{00000000-0006-0000-0200-000023170000}">
      <text>
        <r>
          <rPr>
            <sz val="9"/>
            <color indexed="81"/>
            <rFont val="Tahoma"/>
            <charset val="1"/>
          </rPr>
          <t>Stability=7,Expiration=7/31/2018</t>
        </r>
      </text>
    </comment>
    <comment ref="L68" authorId="0" shapeId="0" xr:uid="{00000000-0006-0000-0200-00002417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68" authorId="0" shapeId="0" xr:uid="{00000000-0006-0000-0200-00002517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N68" authorId="0" shapeId="0" xr:uid="{00000000-0006-0000-0200-00002617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68" authorId="0" shapeId="0" xr:uid="{00000000-0006-0000-0200-00002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8" authorId="0" shapeId="0" xr:uid="{00000000-0006-0000-0200-000028170000}">
      <text>
        <r>
          <rPr>
            <sz val="9"/>
            <color indexed="81"/>
            <rFont val="Tahoma"/>
            <charset val="1"/>
          </rPr>
          <t>Stability=10,Expiration=1/29/2020</t>
        </r>
      </text>
    </comment>
    <comment ref="Q68" authorId="0" shapeId="0" xr:uid="{00000000-0006-0000-0200-000029170000}">
      <text>
        <r>
          <rPr>
            <sz val="9"/>
            <color indexed="81"/>
            <rFont val="Tahoma"/>
            <charset val="1"/>
          </rPr>
          <t>Stability=16,Expiration=2/6/2019</t>
        </r>
      </text>
    </comment>
    <comment ref="R68" authorId="0" shapeId="0" xr:uid="{00000000-0006-0000-0200-00002A170000}">
      <text>
        <r>
          <rPr>
            <sz val="9"/>
            <color indexed="81"/>
            <rFont val="Tahoma"/>
            <charset val="1"/>
          </rPr>
          <t>Stability=22,Expiration=7/14/2018</t>
        </r>
      </text>
    </comment>
    <comment ref="S68" authorId="0" shapeId="0" xr:uid="{00000000-0006-0000-0200-00002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8" authorId="0" shapeId="0" xr:uid="{00000000-0006-0000-0200-00002C170000}">
      <text>
        <r>
          <rPr>
            <sz val="9"/>
            <color indexed="81"/>
            <rFont val="Tahoma"/>
            <charset val="1"/>
          </rPr>
          <t>Stability=19,Expiration=8/14/2018</t>
        </r>
      </text>
    </comment>
    <comment ref="U68" authorId="0" shapeId="0" xr:uid="{00000000-0006-0000-0200-00002D170000}">
      <text>
        <r>
          <rPr>
            <sz val="9"/>
            <color indexed="81"/>
            <rFont val="Tahoma"/>
            <charset val="1"/>
          </rPr>
          <t>Stability=14,Expiration=1/11/2019</t>
        </r>
      </text>
    </comment>
    <comment ref="V68" authorId="0" shapeId="0" xr:uid="{00000000-0006-0000-0200-00002E170000}">
      <text>
        <r>
          <rPr>
            <sz val="9"/>
            <color indexed="81"/>
            <rFont val="Tahoma"/>
            <charset val="1"/>
          </rPr>
          <t>Stability=19,Expiration=12/6/2018</t>
        </r>
      </text>
    </comment>
    <comment ref="W68" authorId="0" shapeId="0" xr:uid="{00000000-0006-0000-0200-00002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68" authorId="0" shapeId="0" xr:uid="{00000000-0006-0000-0200-000030170000}">
      <text>
        <r>
          <rPr>
            <sz val="9"/>
            <color indexed="81"/>
            <rFont val="Tahoma"/>
            <charset val="1"/>
          </rPr>
          <t>Stability=21,Expiration=11/4/2018</t>
        </r>
      </text>
    </comment>
    <comment ref="Y68" authorId="0" shapeId="0" xr:uid="{00000000-0006-0000-0200-000031170000}">
      <text>
        <r>
          <rPr>
            <sz val="9"/>
            <color indexed="81"/>
            <rFont val="Tahoma"/>
            <charset val="1"/>
          </rPr>
          <t>Stability=27,Expiration=6/6/2019</t>
        </r>
      </text>
    </comment>
    <comment ref="Z68" authorId="0" shapeId="0" xr:uid="{00000000-0006-0000-0200-000032170000}">
      <text>
        <r>
          <rPr>
            <sz val="9"/>
            <color indexed="81"/>
            <rFont val="Tahoma"/>
            <charset val="1"/>
          </rPr>
          <t>Stability=17,Expiration=1/31/2019</t>
        </r>
      </text>
    </comment>
    <comment ref="AA68" authorId="0" shapeId="0" xr:uid="{00000000-0006-0000-0200-000033170000}">
      <text>
        <r>
          <rPr>
            <sz val="9"/>
            <color indexed="81"/>
            <rFont val="Tahoma"/>
            <charset val="1"/>
          </rPr>
          <t>Stability=27,Expiration=3/14/2019</t>
        </r>
      </text>
    </comment>
    <comment ref="AB68" authorId="0" shapeId="0" xr:uid="{00000000-0006-0000-0200-00003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8" authorId="0" shapeId="0" xr:uid="{00000000-0006-0000-0200-00003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8" authorId="0" shapeId="0" xr:uid="{00000000-0006-0000-0200-00003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8" authorId="0" shapeId="0" xr:uid="{00000000-0006-0000-0200-00003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8" authorId="0" shapeId="0" xr:uid="{00000000-0006-0000-0200-00003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8" authorId="0" shapeId="0" xr:uid="{00000000-0006-0000-0200-00003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8" authorId="0" shapeId="0" xr:uid="{00000000-0006-0000-0200-00003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8" authorId="0" shapeId="0" xr:uid="{00000000-0006-0000-0200-00003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8" authorId="0" shapeId="0" xr:uid="{00000000-0006-0000-0200-00003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8" authorId="0" shapeId="0" xr:uid="{00000000-0006-0000-0200-00003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8" authorId="0" shapeId="0" xr:uid="{00000000-0006-0000-0200-00003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8" authorId="0" shapeId="0" xr:uid="{00000000-0006-0000-0200-00003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8" authorId="0" shapeId="0" xr:uid="{00000000-0006-0000-0200-00004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8" authorId="0" shapeId="0" xr:uid="{00000000-0006-0000-0200-00004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8" authorId="0" shapeId="0" xr:uid="{00000000-0006-0000-0200-00004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8" authorId="0" shapeId="0" xr:uid="{00000000-0006-0000-0200-00004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8" authorId="0" shapeId="0" xr:uid="{00000000-0006-0000-0200-00004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8" authorId="0" shapeId="0" xr:uid="{00000000-0006-0000-0200-00004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8" authorId="0" shapeId="0" xr:uid="{00000000-0006-0000-0200-00004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8" authorId="0" shapeId="0" xr:uid="{00000000-0006-0000-0200-00004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8" authorId="0" shapeId="0" xr:uid="{00000000-0006-0000-0200-000048170000}">
      <text>
        <r>
          <rPr>
            <sz val="9"/>
            <color indexed="81"/>
            <rFont val="Tahoma"/>
            <charset val="1"/>
          </rPr>
          <t>Stability=9,Expiration=9/25/2018</t>
        </r>
      </text>
    </comment>
    <comment ref="A69" authorId="0" shapeId="0" xr:uid="{00000000-0006-0000-0200-000049170000}">
      <text>
        <r>
          <rPr>
            <sz val="9"/>
            <color indexed="81"/>
            <rFont val="Tahoma"/>
            <charset val="1"/>
          </rPr>
          <t>Date macro run: 6/20/2018 10:16:27 PM</t>
        </r>
      </text>
    </comment>
    <comment ref="B69" authorId="0" shapeId="0" xr:uid="{00000000-0006-0000-0200-00004A170000}">
      <text>
        <r>
          <rPr>
            <sz val="9"/>
            <color indexed="81"/>
            <rFont val="Tahoma"/>
            <charset val="1"/>
          </rPr>
          <t>Stability=32,Expiration=5/9/2019</t>
        </r>
      </text>
    </comment>
    <comment ref="C69" authorId="0" shapeId="0" xr:uid="{00000000-0006-0000-0200-00004B17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69" authorId="0" shapeId="0" xr:uid="{00000000-0006-0000-0200-00004C170000}">
      <text>
        <r>
          <rPr>
            <sz val="9"/>
            <color indexed="81"/>
            <rFont val="Tahoma"/>
            <charset val="1"/>
          </rPr>
          <t>Stability=16,Expiration=11/23/2018</t>
        </r>
      </text>
    </comment>
    <comment ref="E69" authorId="0" shapeId="0" xr:uid="{00000000-0006-0000-0200-00004D17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F69" authorId="0" shapeId="0" xr:uid="{00000000-0006-0000-0200-00004E170000}">
      <text>
        <r>
          <rPr>
            <sz val="9"/>
            <color indexed="81"/>
            <rFont val="Tahoma"/>
            <charset val="1"/>
          </rPr>
          <t>Stability=17,Expiration=12/27/2018</t>
        </r>
      </text>
    </comment>
    <comment ref="G69" authorId="0" shapeId="0" xr:uid="{00000000-0006-0000-0200-00004F170000}">
      <text>
        <r>
          <rPr>
            <sz val="9"/>
            <color indexed="81"/>
            <rFont val="Tahoma"/>
            <charset val="1"/>
          </rPr>
          <t>Stability=5,Expiration=10/31/2018</t>
        </r>
      </text>
    </comment>
    <comment ref="H69" authorId="0" shapeId="0" xr:uid="{00000000-0006-0000-0200-000050170000}">
      <text>
        <r>
          <rPr>
            <sz val="9"/>
            <color indexed="81"/>
            <rFont val="Tahoma"/>
            <charset val="1"/>
          </rPr>
          <t>Stability=5,Expiration=6/30/2019</t>
        </r>
      </text>
    </comment>
    <comment ref="I69" authorId="0" shapeId="0" xr:uid="{00000000-0006-0000-0200-000051170000}">
      <text>
        <r>
          <rPr>
            <sz val="9"/>
            <color indexed="81"/>
            <rFont val="Tahoma"/>
            <charset val="1"/>
          </rPr>
          <t>Stability=1,Expiration=7/18/2018</t>
        </r>
      </text>
    </comment>
    <comment ref="J69" authorId="0" shapeId="0" xr:uid="{00000000-0006-0000-0200-000052170000}">
      <text>
        <r>
          <rPr>
            <sz val="9"/>
            <color indexed="81"/>
            <rFont val="Tahoma"/>
            <charset val="1"/>
          </rPr>
          <t>Stability=29,Expiration=7/3/2018</t>
        </r>
      </text>
    </comment>
    <comment ref="K69" authorId="0" shapeId="0" xr:uid="{00000000-0006-0000-0200-00005317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69" authorId="0" shapeId="0" xr:uid="{00000000-0006-0000-0200-00005417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69" authorId="0" shapeId="0" xr:uid="{00000000-0006-0000-0200-000055170000}">
      <text>
        <r>
          <rPr>
            <sz val="9"/>
            <color indexed="81"/>
            <rFont val="Tahoma"/>
            <charset val="1"/>
          </rPr>
          <t>Stability=9,Expiration=10/31/2018</t>
        </r>
      </text>
    </comment>
    <comment ref="N69" authorId="0" shapeId="0" xr:uid="{00000000-0006-0000-0200-000056170000}">
      <text>
        <r>
          <rPr>
            <sz val="9"/>
            <color indexed="81"/>
            <rFont val="Tahoma"/>
            <charset val="1"/>
          </rPr>
          <t>Stability=15,Expiration=11/30/2018</t>
        </r>
      </text>
    </comment>
    <comment ref="O69" authorId="0" shapeId="0" xr:uid="{00000000-0006-0000-0200-00005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69" authorId="0" shapeId="0" xr:uid="{00000000-0006-0000-0200-000058170000}">
      <text>
        <r>
          <rPr>
            <sz val="9"/>
            <color indexed="81"/>
            <rFont val="Tahoma"/>
            <charset val="1"/>
          </rPr>
          <t>Stability=8,Expiration=1/29/2020</t>
        </r>
      </text>
    </comment>
    <comment ref="Q69" authorId="0" shapeId="0" xr:uid="{00000000-0006-0000-0200-000059170000}">
      <text>
        <r>
          <rPr>
            <sz val="9"/>
            <color indexed="81"/>
            <rFont val="Tahoma"/>
            <charset val="1"/>
          </rPr>
          <t>Stability=14,Expiration=2/6/2019</t>
        </r>
      </text>
    </comment>
    <comment ref="R69" authorId="0" shapeId="0" xr:uid="{00000000-0006-0000-0200-00005A170000}">
      <text>
        <r>
          <rPr>
            <sz val="9"/>
            <color indexed="81"/>
            <rFont val="Tahoma"/>
            <charset val="1"/>
          </rPr>
          <t>Stability=20,Expiration=7/14/2018</t>
        </r>
      </text>
    </comment>
    <comment ref="S69" authorId="0" shapeId="0" xr:uid="{00000000-0006-0000-0200-00005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69" authorId="0" shapeId="0" xr:uid="{00000000-0006-0000-0200-00005C170000}">
      <text>
        <r>
          <rPr>
            <sz val="9"/>
            <color indexed="81"/>
            <rFont val="Tahoma"/>
            <charset val="1"/>
          </rPr>
          <t>Stability=17,Expiration=8/14/2018</t>
        </r>
      </text>
    </comment>
    <comment ref="U69" authorId="0" shapeId="0" xr:uid="{00000000-0006-0000-0200-00005D170000}">
      <text>
        <r>
          <rPr>
            <sz val="9"/>
            <color indexed="81"/>
            <rFont val="Tahoma"/>
            <charset val="1"/>
          </rPr>
          <t>Stability=12,Expiration=1/11/2019</t>
        </r>
      </text>
    </comment>
    <comment ref="V69" authorId="0" shapeId="0" xr:uid="{00000000-0006-0000-0200-00005E170000}">
      <text>
        <r>
          <rPr>
            <sz val="9"/>
            <color indexed="81"/>
            <rFont val="Tahoma"/>
            <charset val="1"/>
          </rPr>
          <t>Stability=17,Expiration=12/6/2018</t>
        </r>
      </text>
    </comment>
    <comment ref="W69" authorId="0" shapeId="0" xr:uid="{00000000-0006-0000-0200-00005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69" authorId="0" shapeId="0" xr:uid="{00000000-0006-0000-0200-000060170000}">
      <text>
        <r>
          <rPr>
            <sz val="9"/>
            <color indexed="81"/>
            <rFont val="Tahoma"/>
            <charset val="1"/>
          </rPr>
          <t>Stability=19,Expiration=11/4/2018</t>
        </r>
      </text>
    </comment>
    <comment ref="Y69" authorId="0" shapeId="0" xr:uid="{00000000-0006-0000-0200-000061170000}">
      <text>
        <r>
          <rPr>
            <sz val="9"/>
            <color indexed="81"/>
            <rFont val="Tahoma"/>
            <charset val="1"/>
          </rPr>
          <t>Stability=25,Expiration=6/6/2019</t>
        </r>
      </text>
    </comment>
    <comment ref="Z69" authorId="0" shapeId="0" xr:uid="{00000000-0006-0000-0200-000062170000}">
      <text>
        <r>
          <rPr>
            <sz val="9"/>
            <color indexed="81"/>
            <rFont val="Tahoma"/>
            <charset val="1"/>
          </rPr>
          <t>Stability=15,Expiration=1/31/2019</t>
        </r>
      </text>
    </comment>
    <comment ref="AA69" authorId="0" shapeId="0" xr:uid="{00000000-0006-0000-0200-000063170000}">
      <text>
        <r>
          <rPr>
            <sz val="9"/>
            <color indexed="81"/>
            <rFont val="Tahoma"/>
            <charset val="1"/>
          </rPr>
          <t>Stability=25,Expiration=3/14/2019</t>
        </r>
      </text>
    </comment>
    <comment ref="AB69" authorId="0" shapeId="0" xr:uid="{00000000-0006-0000-0200-00006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69" authorId="0" shapeId="0" xr:uid="{00000000-0006-0000-0200-00006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69" authorId="0" shapeId="0" xr:uid="{00000000-0006-0000-0200-00006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69" authorId="0" shapeId="0" xr:uid="{00000000-0006-0000-0200-00006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69" authorId="0" shapeId="0" xr:uid="{00000000-0006-0000-0200-00006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69" authorId="0" shapeId="0" xr:uid="{00000000-0006-0000-0200-00006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69" authorId="0" shapeId="0" xr:uid="{00000000-0006-0000-0200-00006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69" authorId="0" shapeId="0" xr:uid="{00000000-0006-0000-0200-00006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69" authorId="0" shapeId="0" xr:uid="{00000000-0006-0000-0200-00006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69" authorId="0" shapeId="0" xr:uid="{00000000-0006-0000-0200-00006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9" authorId="0" shapeId="0" xr:uid="{00000000-0006-0000-0200-00006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9" authorId="0" shapeId="0" xr:uid="{00000000-0006-0000-0200-00006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9" authorId="0" shapeId="0" xr:uid="{00000000-0006-0000-0200-00007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9" authorId="0" shapeId="0" xr:uid="{00000000-0006-0000-0200-00007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9" authorId="0" shapeId="0" xr:uid="{00000000-0006-0000-0200-00007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9" authorId="0" shapeId="0" xr:uid="{00000000-0006-0000-0200-00007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69" authorId="0" shapeId="0" xr:uid="{00000000-0006-0000-0200-00007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69" authorId="0" shapeId="0" xr:uid="{00000000-0006-0000-0200-00007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9" authorId="0" shapeId="0" xr:uid="{00000000-0006-0000-0200-00007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69" authorId="0" shapeId="0" xr:uid="{00000000-0006-0000-0200-00007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9" authorId="0" shapeId="0" xr:uid="{00000000-0006-0000-0200-000078170000}">
      <text>
        <r>
          <rPr>
            <sz val="9"/>
            <color indexed="81"/>
            <rFont val="Tahoma"/>
            <charset val="1"/>
          </rPr>
          <t>Stability=7,Expiration=9/25/2018</t>
        </r>
      </text>
    </comment>
    <comment ref="A70" authorId="0" shapeId="0" xr:uid="{00000000-0006-0000-0200-000079170000}">
      <text>
        <r>
          <rPr>
            <sz val="9"/>
            <color indexed="81"/>
            <rFont val="Tahoma"/>
            <charset val="1"/>
          </rPr>
          <t>Date macro run: 6/22/2018 8:51:31 PM</t>
        </r>
      </text>
    </comment>
    <comment ref="B70" authorId="0" shapeId="0" xr:uid="{00000000-0006-0000-0200-00007A170000}">
      <text>
        <r>
          <rPr>
            <sz val="9"/>
            <color indexed="81"/>
            <rFont val="Tahoma"/>
            <charset val="1"/>
          </rPr>
          <t>Stability=30,Expiration=5/9/2019</t>
        </r>
      </text>
    </comment>
    <comment ref="C70" authorId="0" shapeId="0" xr:uid="{00000000-0006-0000-0200-00007B170000}">
      <text>
        <r>
          <rPr>
            <sz val="9"/>
            <color indexed="81"/>
            <rFont val="Tahoma"/>
            <charset val="1"/>
          </rPr>
          <t>Stability=8,Expiration=2/24/2019</t>
        </r>
      </text>
    </comment>
    <comment ref="D70" authorId="0" shapeId="0" xr:uid="{00000000-0006-0000-0200-00007C170000}">
      <text>
        <r>
          <rPr>
            <sz val="9"/>
            <color indexed="81"/>
            <rFont val="Tahoma"/>
            <charset val="1"/>
          </rPr>
          <t>Stability=15,Expiration=11/23/2018</t>
        </r>
      </text>
    </comment>
    <comment ref="E70" authorId="0" shapeId="0" xr:uid="{00000000-0006-0000-0200-00007D17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70" authorId="0" shapeId="0" xr:uid="{00000000-0006-0000-0200-00007E170000}">
      <text>
        <r>
          <rPr>
            <sz val="9"/>
            <color indexed="81"/>
            <rFont val="Tahoma"/>
            <charset val="1"/>
          </rPr>
          <t>Stability=16,Expiration=12/27/2018</t>
        </r>
      </text>
    </comment>
    <comment ref="G70" authorId="0" shapeId="0" xr:uid="{00000000-0006-0000-0200-00007F170000}">
      <text>
        <r>
          <rPr>
            <sz val="9"/>
            <color indexed="81"/>
            <rFont val="Tahoma"/>
            <charset val="1"/>
          </rPr>
          <t>Stability=3,Expiration=10/31/2018</t>
        </r>
      </text>
    </comment>
    <comment ref="H70" authorId="0" shapeId="0" xr:uid="{00000000-0006-0000-0200-000080170000}">
      <text>
        <r>
          <rPr>
            <sz val="9"/>
            <color indexed="81"/>
            <rFont val="Tahoma"/>
            <charset val="1"/>
          </rPr>
          <t>Stability=3,Expiration=6/30/2019</t>
        </r>
      </text>
    </comment>
    <comment ref="I70" authorId="0" shapeId="0" xr:uid="{00000000-0006-0000-0200-000081170000}">
      <text>
        <r>
          <rPr>
            <sz val="9"/>
            <color indexed="81"/>
            <rFont val="Tahoma"/>
            <charset val="1"/>
          </rPr>
          <t>Stability=28,Expiration=7/18/2018</t>
        </r>
      </text>
    </comment>
    <comment ref="J70" authorId="0" shapeId="0" xr:uid="{00000000-0006-0000-0200-000082170000}">
      <text>
        <r>
          <rPr>
            <sz val="9"/>
            <color indexed="81"/>
            <rFont val="Tahoma"/>
            <charset val="1"/>
          </rPr>
          <t>Stability=27,Expiration=7/3/2018</t>
        </r>
      </text>
    </comment>
    <comment ref="K70" authorId="0" shapeId="0" xr:uid="{00000000-0006-0000-0200-000083170000}">
      <text>
        <r>
          <rPr>
            <sz val="9"/>
            <color indexed="81"/>
            <rFont val="Tahoma"/>
            <charset val="1"/>
          </rPr>
          <t>Stability=3,Expiration=7/31/2018</t>
        </r>
      </text>
    </comment>
    <comment ref="L70" authorId="0" shapeId="0" xr:uid="{00000000-0006-0000-0200-00008417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70" authorId="0" shapeId="0" xr:uid="{00000000-0006-0000-0200-000085170000}">
      <text>
        <r>
          <rPr>
            <sz val="9"/>
            <color indexed="81"/>
            <rFont val="Tahoma"/>
            <charset val="1"/>
          </rPr>
          <t>Stability=7,Expiration=10/31/2018</t>
        </r>
      </text>
    </comment>
    <comment ref="N70" authorId="0" shapeId="0" xr:uid="{00000000-0006-0000-0200-00008617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O70" authorId="0" shapeId="0" xr:uid="{00000000-0006-0000-0200-00008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0" authorId="0" shapeId="0" xr:uid="{00000000-0006-0000-0200-000088170000}">
      <text>
        <r>
          <rPr>
            <sz val="9"/>
            <color indexed="81"/>
            <rFont val="Tahoma"/>
            <charset val="1"/>
          </rPr>
          <t>Stability=21,Expiration=1/29/2020</t>
        </r>
      </text>
    </comment>
    <comment ref="Q70" authorId="0" shapeId="0" xr:uid="{00000000-0006-0000-0200-000089170000}">
      <text>
        <r>
          <rPr>
            <sz val="9"/>
            <color indexed="81"/>
            <rFont val="Tahoma"/>
            <charset val="1"/>
          </rPr>
          <t>Stability=12,Expiration=2/6/2019</t>
        </r>
      </text>
    </comment>
    <comment ref="R70" authorId="0" shapeId="0" xr:uid="{00000000-0006-0000-0200-00008A170000}">
      <text>
        <r>
          <rPr>
            <sz val="9"/>
            <color indexed="81"/>
            <rFont val="Tahoma"/>
            <charset val="1"/>
          </rPr>
          <t>Stability=18,Expiration=7/14/2018</t>
        </r>
      </text>
    </comment>
    <comment ref="S70" authorId="0" shapeId="0" xr:uid="{00000000-0006-0000-0200-00008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0" authorId="0" shapeId="0" xr:uid="{00000000-0006-0000-0200-00008C170000}">
      <text>
        <r>
          <rPr>
            <sz val="9"/>
            <color indexed="81"/>
            <rFont val="Tahoma"/>
            <charset val="1"/>
          </rPr>
          <t>Stability=15,Expiration=8/14/2018</t>
        </r>
      </text>
    </comment>
    <comment ref="U70" authorId="0" shapeId="0" xr:uid="{00000000-0006-0000-0200-00008D170000}">
      <text>
        <r>
          <rPr>
            <sz val="9"/>
            <color indexed="81"/>
            <rFont val="Tahoma"/>
            <charset val="1"/>
          </rPr>
          <t>Stability=11,Expiration=1/11/2019</t>
        </r>
      </text>
    </comment>
    <comment ref="V70" authorId="0" shapeId="0" xr:uid="{00000000-0006-0000-0200-00008E170000}">
      <text>
        <r>
          <rPr>
            <sz val="9"/>
            <color indexed="81"/>
            <rFont val="Tahoma"/>
            <charset val="1"/>
          </rPr>
          <t>Stability=26,Expiration=12/6/2018</t>
        </r>
      </text>
    </comment>
    <comment ref="W70" authorId="0" shapeId="0" xr:uid="{00000000-0006-0000-0200-00008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0" authorId="0" shapeId="0" xr:uid="{00000000-0006-0000-0200-000090170000}">
      <text>
        <r>
          <rPr>
            <sz val="9"/>
            <color indexed="81"/>
            <rFont val="Tahoma"/>
            <charset val="1"/>
          </rPr>
          <t>Stability=17,Expiration=11/4/2018</t>
        </r>
      </text>
    </comment>
    <comment ref="Y70" authorId="0" shapeId="0" xr:uid="{00000000-0006-0000-0200-000091170000}">
      <text>
        <r>
          <rPr>
            <sz val="9"/>
            <color indexed="81"/>
            <rFont val="Tahoma"/>
            <charset val="1"/>
          </rPr>
          <t>Stability=23,Expiration=6/6/2019</t>
        </r>
      </text>
    </comment>
    <comment ref="Z70" authorId="0" shapeId="0" xr:uid="{00000000-0006-0000-0200-000092170000}">
      <text>
        <r>
          <rPr>
            <sz val="9"/>
            <color indexed="81"/>
            <rFont val="Tahoma"/>
            <charset val="1"/>
          </rPr>
          <t>Stability=13,Expiration=1/31/2019</t>
        </r>
      </text>
    </comment>
    <comment ref="AA70" authorId="0" shapeId="0" xr:uid="{00000000-0006-0000-0200-000093170000}">
      <text>
        <r>
          <rPr>
            <sz val="9"/>
            <color indexed="81"/>
            <rFont val="Tahoma"/>
            <charset val="1"/>
          </rPr>
          <t>Stability=23,Expiration=3/14/2019</t>
        </r>
      </text>
    </comment>
    <comment ref="AB70" authorId="0" shapeId="0" xr:uid="{00000000-0006-0000-0200-00009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0" authorId="0" shapeId="0" xr:uid="{00000000-0006-0000-0200-00009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0" authorId="0" shapeId="0" xr:uid="{00000000-0006-0000-0200-00009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0" authorId="0" shapeId="0" xr:uid="{00000000-0006-0000-0200-00009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0" authorId="0" shapeId="0" xr:uid="{00000000-0006-0000-0200-00009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0" authorId="0" shapeId="0" xr:uid="{00000000-0006-0000-0200-00009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0" authorId="0" shapeId="0" xr:uid="{00000000-0006-0000-0200-00009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0" authorId="0" shapeId="0" xr:uid="{00000000-0006-0000-0200-00009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0" authorId="0" shapeId="0" xr:uid="{00000000-0006-0000-0200-00009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0" authorId="0" shapeId="0" xr:uid="{00000000-0006-0000-0200-00009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0" authorId="0" shapeId="0" xr:uid="{00000000-0006-0000-0200-00009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0" authorId="0" shapeId="0" xr:uid="{00000000-0006-0000-0200-00009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0" authorId="0" shapeId="0" xr:uid="{00000000-0006-0000-0200-0000A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0" authorId="0" shapeId="0" xr:uid="{00000000-0006-0000-0200-0000A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0" authorId="0" shapeId="0" xr:uid="{00000000-0006-0000-0200-0000A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0" authorId="0" shapeId="0" xr:uid="{00000000-0006-0000-0200-0000A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0" authorId="0" shapeId="0" xr:uid="{00000000-0006-0000-0200-0000A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0" authorId="0" shapeId="0" xr:uid="{00000000-0006-0000-0200-0000A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0" authorId="0" shapeId="0" xr:uid="{00000000-0006-0000-0200-0000A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0" authorId="0" shapeId="0" xr:uid="{00000000-0006-0000-0200-0000A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0" authorId="0" shapeId="0" xr:uid="{00000000-0006-0000-0200-0000A8170000}">
      <text>
        <r>
          <rPr>
            <sz val="9"/>
            <color indexed="81"/>
            <rFont val="Tahoma"/>
            <charset val="1"/>
          </rPr>
          <t>Stability=6,Expiration=9/25/2018</t>
        </r>
      </text>
    </comment>
    <comment ref="A71" authorId="0" shapeId="0" xr:uid="{00000000-0006-0000-0200-0000A9170000}">
      <text>
        <r>
          <rPr>
            <sz val="9"/>
            <color indexed="81"/>
            <rFont val="Tahoma"/>
            <charset val="1"/>
          </rPr>
          <t>Date macro run: 6/25/2018 9:47:12 PM</t>
        </r>
      </text>
    </comment>
    <comment ref="B71" authorId="0" shapeId="0" xr:uid="{00000000-0006-0000-0200-0000AA170000}">
      <text>
        <r>
          <rPr>
            <sz val="9"/>
            <color indexed="81"/>
            <rFont val="Tahoma"/>
            <charset val="1"/>
          </rPr>
          <t>Stability=27,Expiration=5/9/2019</t>
        </r>
      </text>
    </comment>
    <comment ref="C71" authorId="0" shapeId="0" xr:uid="{00000000-0006-0000-0200-0000AB17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71" authorId="0" shapeId="0" xr:uid="{00000000-0006-0000-0200-0000AC170000}">
      <text>
        <r>
          <rPr>
            <sz val="9"/>
            <color indexed="81"/>
            <rFont val="Tahoma"/>
            <charset val="1"/>
          </rPr>
          <t>Stability=12,Expiration=11/23/2018</t>
        </r>
      </text>
    </comment>
    <comment ref="E71" authorId="0" shapeId="0" xr:uid="{00000000-0006-0000-0200-0000AD170000}">
      <text>
        <r>
          <rPr>
            <sz val="9"/>
            <color indexed="81"/>
            <rFont val="Tahoma"/>
            <charset val="1"/>
          </rPr>
          <t>Stability=9,Expiration=4/30/2019</t>
        </r>
      </text>
    </comment>
    <comment ref="F71" authorId="0" shapeId="0" xr:uid="{00000000-0006-0000-0200-0000AE170000}">
      <text>
        <r>
          <rPr>
            <sz val="9"/>
            <color indexed="81"/>
            <rFont val="Tahoma"/>
            <charset val="1"/>
          </rPr>
          <t>Stability=12,Expiration=12/27/2018</t>
        </r>
      </text>
    </comment>
    <comment ref="G71" authorId="0" shapeId="0" xr:uid="{00000000-0006-0000-0200-0000AF170000}">
      <text>
        <r>
          <rPr>
            <sz val="9"/>
            <color indexed="81"/>
            <rFont val="Tahoma"/>
            <charset val="1"/>
          </rPr>
          <t>Stability=1,Expiration=10/31/2018</t>
        </r>
      </text>
    </comment>
    <comment ref="H71" authorId="0" shapeId="0" xr:uid="{00000000-0006-0000-0200-0000B0170000}">
      <text>
        <r>
          <rPr>
            <sz val="9"/>
            <color indexed="81"/>
            <rFont val="Tahoma"/>
            <charset val="1"/>
          </rPr>
          <t>Stability=1,Expiration=6/30/2019</t>
        </r>
      </text>
    </comment>
    <comment ref="I71" authorId="0" shapeId="0" xr:uid="{00000000-0006-0000-0200-0000B1170000}">
      <text>
        <r>
          <rPr>
            <sz val="9"/>
            <color indexed="81"/>
            <rFont val="Tahoma"/>
            <charset val="1"/>
          </rPr>
          <t>Stability=25,Expiration=7/18/2018</t>
        </r>
      </text>
    </comment>
    <comment ref="J71" authorId="0" shapeId="0" xr:uid="{00000000-0006-0000-0200-0000B2170000}">
      <text>
        <r>
          <rPr>
            <sz val="9"/>
            <color indexed="81"/>
            <rFont val="Tahoma"/>
            <charset val="1"/>
          </rPr>
          <t>Stability=24,Expiration=7/3/2018</t>
        </r>
      </text>
    </comment>
    <comment ref="K71" authorId="0" shapeId="0" xr:uid="{00000000-0006-0000-0200-0000B317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71" authorId="0" shapeId="0" xr:uid="{00000000-0006-0000-0200-0000B417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71" authorId="0" shapeId="0" xr:uid="{00000000-0006-0000-0200-0000B5170000}">
      <text>
        <r>
          <rPr>
            <sz val="9"/>
            <color indexed="81"/>
            <rFont val="Tahoma"/>
            <charset val="1"/>
          </rPr>
          <t>Stability=58,Expiration=10/31/2018</t>
        </r>
      </text>
    </comment>
    <comment ref="N71" authorId="0" shapeId="0" xr:uid="{00000000-0006-0000-0200-0000B617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71" authorId="0" shapeId="0" xr:uid="{00000000-0006-0000-0200-0000B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1" authorId="0" shapeId="0" xr:uid="{00000000-0006-0000-0200-0000B8170000}">
      <text>
        <r>
          <rPr>
            <sz val="9"/>
            <color indexed="81"/>
            <rFont val="Tahoma"/>
            <charset val="1"/>
          </rPr>
          <t>Stability=18,Expiration=1/29/2020</t>
        </r>
      </text>
    </comment>
    <comment ref="Q71" authorId="0" shapeId="0" xr:uid="{00000000-0006-0000-0200-0000B9170000}">
      <text>
        <r>
          <rPr>
            <sz val="9"/>
            <color indexed="81"/>
            <rFont val="Tahoma"/>
            <charset val="1"/>
          </rPr>
          <t>Stability=28,Expiration=2/6/2019</t>
        </r>
      </text>
    </comment>
    <comment ref="R71" authorId="0" shapeId="0" xr:uid="{00000000-0006-0000-0200-0000BA170000}">
      <text>
        <r>
          <rPr>
            <sz val="9"/>
            <color indexed="81"/>
            <rFont val="Tahoma"/>
            <charset val="1"/>
          </rPr>
          <t>Stability=15,Expiration=7/14/2018</t>
        </r>
      </text>
    </comment>
    <comment ref="S71" authorId="0" shapeId="0" xr:uid="{00000000-0006-0000-0200-0000B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1" authorId="0" shapeId="0" xr:uid="{00000000-0006-0000-0200-0000BC170000}">
      <text>
        <r>
          <rPr>
            <sz val="9"/>
            <color indexed="81"/>
            <rFont val="Tahoma"/>
            <charset val="1"/>
          </rPr>
          <t>Stability=12,Expiration=8/14/2018</t>
        </r>
      </text>
    </comment>
    <comment ref="U71" authorId="0" shapeId="0" xr:uid="{00000000-0006-0000-0200-0000BD170000}">
      <text>
        <r>
          <rPr>
            <sz val="9"/>
            <color indexed="81"/>
            <rFont val="Tahoma"/>
            <charset val="1"/>
          </rPr>
          <t>Stability=7,Expiration=1/11/2019</t>
        </r>
      </text>
    </comment>
    <comment ref="V71" authorId="0" shapeId="0" xr:uid="{00000000-0006-0000-0200-0000BE170000}">
      <text>
        <r>
          <rPr>
            <sz val="9"/>
            <color indexed="81"/>
            <rFont val="Tahoma"/>
            <charset val="1"/>
          </rPr>
          <t>Stability=23,Expiration=12/6/2018</t>
        </r>
      </text>
    </comment>
    <comment ref="W71" authorId="0" shapeId="0" xr:uid="{00000000-0006-0000-0200-0000B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1" authorId="0" shapeId="0" xr:uid="{00000000-0006-0000-0200-0000C0170000}">
      <text>
        <r>
          <rPr>
            <sz val="9"/>
            <color indexed="81"/>
            <rFont val="Tahoma"/>
            <charset val="1"/>
          </rPr>
          <t>Stability=14,Expiration=11/4/2018</t>
        </r>
      </text>
    </comment>
    <comment ref="Y71" authorId="0" shapeId="0" xr:uid="{00000000-0006-0000-0200-0000C1170000}">
      <text>
        <r>
          <rPr>
            <sz val="9"/>
            <color indexed="81"/>
            <rFont val="Tahoma"/>
            <charset val="1"/>
          </rPr>
          <t>Stability=20,Expiration=6/6/2019</t>
        </r>
      </text>
    </comment>
    <comment ref="Z71" authorId="0" shapeId="0" xr:uid="{00000000-0006-0000-0200-0000C2170000}">
      <text>
        <r>
          <rPr>
            <sz val="9"/>
            <color indexed="81"/>
            <rFont val="Tahoma"/>
            <charset val="1"/>
          </rPr>
          <t>Stability=29,Expiration=1/31/2019</t>
        </r>
      </text>
    </comment>
    <comment ref="AA71" authorId="0" shapeId="0" xr:uid="{00000000-0006-0000-0200-0000C3170000}">
      <text>
        <r>
          <rPr>
            <sz val="9"/>
            <color indexed="81"/>
            <rFont val="Tahoma"/>
            <charset val="1"/>
          </rPr>
          <t>Stability=20,Expiration=3/14/2019</t>
        </r>
      </text>
    </comment>
    <comment ref="AB71" authorId="0" shapeId="0" xr:uid="{00000000-0006-0000-0200-0000C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1" authorId="0" shapeId="0" xr:uid="{00000000-0006-0000-0200-0000C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1" authorId="0" shapeId="0" xr:uid="{00000000-0006-0000-0200-0000C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1" authorId="0" shapeId="0" xr:uid="{00000000-0006-0000-0200-0000C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1" authorId="0" shapeId="0" xr:uid="{00000000-0006-0000-0200-0000C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1" authorId="0" shapeId="0" xr:uid="{00000000-0006-0000-0200-0000C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1" authorId="0" shapeId="0" xr:uid="{00000000-0006-0000-0200-0000C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1" authorId="0" shapeId="0" xr:uid="{00000000-0006-0000-0200-0000C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1" authorId="0" shapeId="0" xr:uid="{00000000-0006-0000-0200-0000C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1" authorId="0" shapeId="0" xr:uid="{00000000-0006-0000-0200-0000C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1" authorId="0" shapeId="0" xr:uid="{00000000-0006-0000-0200-0000C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1" authorId="0" shapeId="0" xr:uid="{00000000-0006-0000-0200-0000C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1" authorId="0" shapeId="0" xr:uid="{00000000-0006-0000-0200-0000D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1" authorId="0" shapeId="0" xr:uid="{00000000-0006-0000-0200-0000D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1" authorId="0" shapeId="0" xr:uid="{00000000-0006-0000-0200-0000D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1" authorId="0" shapeId="0" xr:uid="{00000000-0006-0000-0200-0000D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1" authorId="0" shapeId="0" xr:uid="{00000000-0006-0000-0200-0000D417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1" authorId="0" shapeId="0" xr:uid="{00000000-0006-0000-0200-0000D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1" authorId="0" shapeId="0" xr:uid="{00000000-0006-0000-0200-0000D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1" authorId="0" shapeId="0" xr:uid="{00000000-0006-0000-0200-0000D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1" authorId="0" shapeId="0" xr:uid="{00000000-0006-0000-0200-0000D8170000}">
      <text>
        <r>
          <rPr>
            <sz val="9"/>
            <color indexed="81"/>
            <rFont val="Tahoma"/>
            <charset val="1"/>
          </rPr>
          <t>Stability=29,Expiration=9/25/2018</t>
        </r>
      </text>
    </comment>
    <comment ref="A72" authorId="0" shapeId="0" xr:uid="{00000000-0006-0000-0200-0000D9170000}">
      <text>
        <r>
          <rPr>
            <sz val="9"/>
            <color indexed="81"/>
            <rFont val="Tahoma"/>
            <charset val="1"/>
          </rPr>
          <t>Date macro run: 6/27/2018 9:58:14 PM</t>
        </r>
      </text>
    </comment>
    <comment ref="B72" authorId="0" shapeId="0" xr:uid="{00000000-0006-0000-0200-0000DA170000}">
      <text>
        <r>
          <rPr>
            <sz val="9"/>
            <color indexed="81"/>
            <rFont val="Tahoma"/>
            <charset val="1"/>
          </rPr>
          <t>Stability=25,Expiration=5/9/2019</t>
        </r>
      </text>
    </comment>
    <comment ref="C72" authorId="0" shapeId="0" xr:uid="{00000000-0006-0000-0200-0000DB17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72" authorId="0" shapeId="0" xr:uid="{00000000-0006-0000-0200-0000DC170000}">
      <text>
        <r>
          <rPr>
            <sz val="9"/>
            <color indexed="81"/>
            <rFont val="Tahoma"/>
            <charset val="1"/>
          </rPr>
          <t>Stability=10,Expiration=11/23/2018</t>
        </r>
      </text>
    </comment>
    <comment ref="E72" authorId="0" shapeId="0" xr:uid="{00000000-0006-0000-0200-0000DD17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F72" authorId="0" shapeId="0" xr:uid="{00000000-0006-0000-0200-0000DE170000}">
      <text>
        <r>
          <rPr>
            <sz val="9"/>
            <color indexed="81"/>
            <rFont val="Tahoma"/>
            <charset val="1"/>
          </rPr>
          <t>Stability=10,Expiration=12/27/2018</t>
        </r>
      </text>
    </comment>
    <comment ref="G72" authorId="0" shapeId="0" xr:uid="{00000000-0006-0000-0200-0000DF170000}">
      <text>
        <r>
          <rPr>
            <sz val="9"/>
            <color indexed="81"/>
            <rFont val="Tahoma"/>
            <charset val="1"/>
          </rPr>
          <t>Stability=26,Expiration=10/31/2018</t>
        </r>
      </text>
    </comment>
    <comment ref="H72" authorId="0" shapeId="0" xr:uid="{00000000-0006-0000-0200-0000E0170000}">
      <text>
        <r>
          <rPr>
            <sz val="9"/>
            <color indexed="81"/>
            <rFont val="Tahoma"/>
            <charset val="1"/>
          </rPr>
          <t>Stability=19,Expiration=6/30/2019</t>
        </r>
      </text>
    </comment>
    <comment ref="I72" authorId="0" shapeId="0" xr:uid="{00000000-0006-0000-0200-0000E1170000}">
      <text>
        <r>
          <rPr>
            <sz val="9"/>
            <color indexed="81"/>
            <rFont val="Tahoma"/>
            <charset val="1"/>
          </rPr>
          <t>Stability=23,Expiration=7/18/2018</t>
        </r>
      </text>
    </comment>
    <comment ref="J72" authorId="0" shapeId="0" xr:uid="{00000000-0006-0000-0200-0000E2170000}">
      <text>
        <r>
          <rPr>
            <sz val="9"/>
            <color indexed="81"/>
            <rFont val="Tahoma"/>
            <charset val="1"/>
          </rPr>
          <t>Stability=22,Expiration=7/3/2018</t>
        </r>
      </text>
    </comment>
    <comment ref="K72" authorId="0" shapeId="0" xr:uid="{00000000-0006-0000-0200-0000E317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72" authorId="0" shapeId="0" xr:uid="{00000000-0006-0000-0200-0000E417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72" authorId="0" shapeId="0" xr:uid="{00000000-0006-0000-0200-0000E5170000}">
      <text>
        <r>
          <rPr>
            <sz val="9"/>
            <color indexed="81"/>
            <rFont val="Tahoma"/>
            <charset val="1"/>
          </rPr>
          <t>Stability=56,Expiration=10/31/2018</t>
        </r>
      </text>
    </comment>
    <comment ref="N72" authorId="0" shapeId="0" xr:uid="{00000000-0006-0000-0200-0000E6170000}">
      <text>
        <r>
          <rPr>
            <sz val="9"/>
            <color indexed="81"/>
            <rFont val="Tahoma"/>
            <charset val="1"/>
          </rPr>
          <t>Stability=22,Expiration=11/30/2018</t>
        </r>
      </text>
    </comment>
    <comment ref="O72" authorId="0" shapeId="0" xr:uid="{00000000-0006-0000-0200-0000E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2" authorId="0" shapeId="0" xr:uid="{00000000-0006-0000-0200-0000E8170000}">
      <text>
        <r>
          <rPr>
            <sz val="9"/>
            <color indexed="81"/>
            <rFont val="Tahoma"/>
            <charset val="1"/>
          </rPr>
          <t>Stability=16,Expiration=1/29/2020</t>
        </r>
      </text>
    </comment>
    <comment ref="Q72" authorId="0" shapeId="0" xr:uid="{00000000-0006-0000-0200-0000E9170000}">
      <text>
        <r>
          <rPr>
            <sz val="9"/>
            <color indexed="81"/>
            <rFont val="Tahoma"/>
            <charset val="1"/>
          </rPr>
          <t>Stability=26,Expiration=2/6/2019</t>
        </r>
      </text>
    </comment>
    <comment ref="R72" authorId="0" shapeId="0" xr:uid="{00000000-0006-0000-0200-0000EA170000}">
      <text>
        <r>
          <rPr>
            <sz val="9"/>
            <color indexed="81"/>
            <rFont val="Tahoma"/>
            <charset val="1"/>
          </rPr>
          <t>Stability=13,Expiration=7/14/2018</t>
        </r>
      </text>
    </comment>
    <comment ref="S72" authorId="0" shapeId="0" xr:uid="{00000000-0006-0000-0200-0000E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2" authorId="0" shapeId="0" xr:uid="{00000000-0006-0000-0200-0000EC170000}">
      <text>
        <r>
          <rPr>
            <sz val="9"/>
            <color indexed="81"/>
            <rFont val="Tahoma"/>
            <charset val="1"/>
          </rPr>
          <t>Stability=10,Expiration=8/14/2018</t>
        </r>
      </text>
    </comment>
    <comment ref="U72" authorId="0" shapeId="0" xr:uid="{00000000-0006-0000-0200-0000ED170000}">
      <text>
        <r>
          <rPr>
            <sz val="9"/>
            <color indexed="81"/>
            <rFont val="Tahoma"/>
            <charset val="1"/>
          </rPr>
          <t>Stability=5,Expiration=1/11/2019</t>
        </r>
      </text>
    </comment>
    <comment ref="V72" authorId="0" shapeId="0" xr:uid="{00000000-0006-0000-0200-0000EE170000}">
      <text>
        <r>
          <rPr>
            <sz val="9"/>
            <color indexed="81"/>
            <rFont val="Tahoma"/>
            <charset val="1"/>
          </rPr>
          <t>Stability=21,Expiration=12/6/2018</t>
        </r>
      </text>
    </comment>
    <comment ref="W72" authorId="0" shapeId="0" xr:uid="{00000000-0006-0000-0200-0000EF17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2" authorId="0" shapeId="0" xr:uid="{00000000-0006-0000-0200-0000F0170000}">
      <text>
        <r>
          <rPr>
            <sz val="9"/>
            <color indexed="81"/>
            <rFont val="Tahoma"/>
            <charset val="1"/>
          </rPr>
          <t>Stability=12,Expiration=11/4/2018</t>
        </r>
      </text>
    </comment>
    <comment ref="Y72" authorId="0" shapeId="0" xr:uid="{00000000-0006-0000-0200-0000F1170000}">
      <text>
        <r>
          <rPr>
            <sz val="9"/>
            <color indexed="81"/>
            <rFont val="Tahoma"/>
            <charset val="1"/>
          </rPr>
          <t>Stability=18,Expiration=6/6/2019</t>
        </r>
      </text>
    </comment>
    <comment ref="Z72" authorId="0" shapeId="0" xr:uid="{00000000-0006-0000-0200-0000F2170000}">
      <text>
        <r>
          <rPr>
            <sz val="9"/>
            <color indexed="81"/>
            <rFont val="Tahoma"/>
            <charset val="1"/>
          </rPr>
          <t>Stability=27,Expiration=1/31/2019</t>
        </r>
      </text>
    </comment>
    <comment ref="AA72" authorId="0" shapeId="0" xr:uid="{00000000-0006-0000-0200-0000F3170000}">
      <text>
        <r>
          <rPr>
            <sz val="9"/>
            <color indexed="81"/>
            <rFont val="Tahoma"/>
            <charset val="1"/>
          </rPr>
          <t>Stability=18,Expiration=3/14/2019</t>
        </r>
      </text>
    </comment>
    <comment ref="AB72" authorId="0" shapeId="0" xr:uid="{00000000-0006-0000-0200-0000F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2" authorId="0" shapeId="0" xr:uid="{00000000-0006-0000-0200-0000F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2" authorId="0" shapeId="0" xr:uid="{00000000-0006-0000-0200-0000F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2" authorId="0" shapeId="0" xr:uid="{00000000-0006-0000-0200-0000F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2" authorId="0" shapeId="0" xr:uid="{00000000-0006-0000-0200-0000F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2" authorId="0" shapeId="0" xr:uid="{00000000-0006-0000-0200-0000F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2" authorId="0" shapeId="0" xr:uid="{00000000-0006-0000-0200-0000F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2" authorId="0" shapeId="0" xr:uid="{00000000-0006-0000-0200-0000F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2" authorId="0" shapeId="0" xr:uid="{00000000-0006-0000-0200-0000F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2" authorId="0" shapeId="0" xr:uid="{00000000-0006-0000-0200-0000F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2" authorId="0" shapeId="0" xr:uid="{00000000-0006-0000-0200-0000F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2" authorId="0" shapeId="0" xr:uid="{00000000-0006-0000-0200-0000F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2" authorId="0" shapeId="0" xr:uid="{00000000-0006-0000-0200-00000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2" authorId="0" shapeId="0" xr:uid="{00000000-0006-0000-0200-00000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2" authorId="0" shapeId="0" xr:uid="{00000000-0006-0000-0200-00000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2" authorId="0" shapeId="0" xr:uid="{00000000-0006-0000-0200-00000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2" authorId="0" shapeId="0" xr:uid="{00000000-0006-0000-0200-00000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2" authorId="0" shapeId="0" xr:uid="{00000000-0006-0000-0200-00000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2" authorId="0" shapeId="0" xr:uid="{00000000-0006-0000-0200-00000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2" authorId="0" shapeId="0" xr:uid="{00000000-0006-0000-0200-00000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2" authorId="0" shapeId="0" xr:uid="{00000000-0006-0000-0200-00000818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73" authorId="0" shapeId="0" xr:uid="{00000000-0006-0000-0200-000009180000}">
      <text>
        <r>
          <rPr>
            <sz val="9"/>
            <color indexed="81"/>
            <rFont val="Tahoma"/>
            <charset val="1"/>
          </rPr>
          <t>Date macro run: 6/28/2018 8:59:40 PM</t>
        </r>
      </text>
    </comment>
    <comment ref="B73" authorId="0" shapeId="0" xr:uid="{00000000-0006-0000-0200-00000A180000}">
      <text>
        <r>
          <rPr>
            <sz val="9"/>
            <color indexed="81"/>
            <rFont val="Tahoma"/>
            <charset val="1"/>
          </rPr>
          <t>Stability=24,Expiration=5/9/2019</t>
        </r>
      </text>
    </comment>
    <comment ref="C73" authorId="0" shapeId="0" xr:uid="{00000000-0006-0000-0200-00000B18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73" authorId="0" shapeId="0" xr:uid="{00000000-0006-0000-0200-00000C180000}">
      <text>
        <r>
          <rPr>
            <sz val="9"/>
            <color indexed="81"/>
            <rFont val="Tahoma"/>
            <charset val="1"/>
          </rPr>
          <t>Stability=9,Expiration=11/23/2018</t>
        </r>
      </text>
    </comment>
    <comment ref="E73" authorId="0" shapeId="0" xr:uid="{00000000-0006-0000-0200-00000D180000}">
      <text>
        <r>
          <rPr>
            <sz val="9"/>
            <color indexed="81"/>
            <rFont val="Tahoma"/>
            <charset val="1"/>
          </rPr>
          <t>Stability=6,Expiration=4/30/2019</t>
        </r>
      </text>
    </comment>
    <comment ref="F73" authorId="0" shapeId="0" xr:uid="{00000000-0006-0000-0200-00000E180000}">
      <text>
        <r>
          <rPr>
            <sz val="9"/>
            <color indexed="81"/>
            <rFont val="Tahoma"/>
            <charset val="1"/>
          </rPr>
          <t>Stability=10,Expiration=12/27/2018</t>
        </r>
      </text>
    </comment>
    <comment ref="G73" authorId="0" shapeId="0" xr:uid="{00000000-0006-0000-0200-00000F18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73" authorId="0" shapeId="0" xr:uid="{00000000-0006-0000-0200-00001018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73" authorId="0" shapeId="0" xr:uid="{00000000-0006-0000-0200-00001118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73" authorId="0" shapeId="0" xr:uid="{00000000-0006-0000-0200-00001218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73" authorId="0" shapeId="0" xr:uid="{00000000-0006-0000-0200-00001318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73" authorId="0" shapeId="0" xr:uid="{00000000-0006-0000-0200-00001418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73" authorId="0" shapeId="0" xr:uid="{00000000-0006-0000-0200-000015180000}">
      <text>
        <r>
          <rPr>
            <sz val="9"/>
            <color indexed="81"/>
            <rFont val="Tahoma"/>
            <charset val="1"/>
          </rPr>
          <t>Stability=56,Expiration=10/31/2018</t>
        </r>
      </text>
    </comment>
    <comment ref="N73" authorId="0" shapeId="0" xr:uid="{00000000-0006-0000-0200-00001618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O73" authorId="0" shapeId="0" xr:uid="{00000000-0006-0000-0200-00001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3" authorId="0" shapeId="0" xr:uid="{00000000-0006-0000-0200-000018180000}">
      <text>
        <r>
          <rPr>
            <sz val="9"/>
            <color indexed="81"/>
            <rFont val="Tahoma"/>
            <charset val="1"/>
          </rPr>
          <t>Stability=15,Expiration=1/29/2020</t>
        </r>
      </text>
    </comment>
    <comment ref="Q73" authorId="0" shapeId="0" xr:uid="{00000000-0006-0000-0200-000019180000}">
      <text>
        <r>
          <rPr>
            <sz val="9"/>
            <color indexed="81"/>
            <rFont val="Tahoma"/>
            <charset val="1"/>
          </rPr>
          <t>Stability=26,Expiration=2/6/2019</t>
        </r>
      </text>
    </comment>
    <comment ref="R73" authorId="0" shapeId="0" xr:uid="{00000000-0006-0000-0200-00001A180000}">
      <text>
        <r>
          <rPr>
            <sz val="9"/>
            <color indexed="81"/>
            <rFont val="Tahoma"/>
            <charset val="1"/>
          </rPr>
          <t>Stability=12,Expiration=7/14/2018</t>
        </r>
      </text>
    </comment>
    <comment ref="S73" authorId="0" shapeId="0" xr:uid="{00000000-0006-0000-0200-00001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3" authorId="0" shapeId="0" xr:uid="{00000000-0006-0000-0200-00001C18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73" authorId="0" shapeId="0" xr:uid="{00000000-0006-0000-0200-00001D180000}">
      <text>
        <r>
          <rPr>
            <sz val="9"/>
            <color indexed="81"/>
            <rFont val="Tahoma"/>
            <charset val="1"/>
          </rPr>
          <t>Stability=5,Expiration=1/11/2019</t>
        </r>
      </text>
    </comment>
    <comment ref="V73" authorId="0" shapeId="0" xr:uid="{00000000-0006-0000-0200-00001E180000}">
      <text>
        <r>
          <rPr>
            <sz val="9"/>
            <color indexed="81"/>
            <rFont val="Tahoma"/>
            <charset val="1"/>
          </rPr>
          <t>Stability=20,Expiration=12/6/2018</t>
        </r>
      </text>
    </comment>
    <comment ref="W73" authorId="0" shapeId="0" xr:uid="{00000000-0006-0000-0200-00001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3" authorId="0" shapeId="0" xr:uid="{00000000-0006-0000-0200-000020180000}">
      <text>
        <r>
          <rPr>
            <sz val="9"/>
            <color indexed="81"/>
            <rFont val="Tahoma"/>
            <charset val="1"/>
          </rPr>
          <t>Stability=29,Expiration=11/4/2018</t>
        </r>
      </text>
    </comment>
    <comment ref="Y73" authorId="0" shapeId="0" xr:uid="{00000000-0006-0000-0200-000021180000}">
      <text>
        <r>
          <rPr>
            <sz val="9"/>
            <color indexed="81"/>
            <rFont val="Tahoma"/>
            <charset val="1"/>
          </rPr>
          <t>Stability=17,Expiration=6/6/2019</t>
        </r>
      </text>
    </comment>
    <comment ref="Z73" authorId="0" shapeId="0" xr:uid="{00000000-0006-0000-0200-000022180000}">
      <text>
        <r>
          <rPr>
            <sz val="9"/>
            <color indexed="81"/>
            <rFont val="Tahoma"/>
            <charset val="1"/>
          </rPr>
          <t>Stability=26,Expiration=1/31/2019</t>
        </r>
      </text>
    </comment>
    <comment ref="AA73" authorId="0" shapeId="0" xr:uid="{00000000-0006-0000-0200-000023180000}">
      <text>
        <r>
          <rPr>
            <sz val="9"/>
            <color indexed="81"/>
            <rFont val="Tahoma"/>
            <charset val="1"/>
          </rPr>
          <t>Stability=17,Expiration=3/14/2019</t>
        </r>
      </text>
    </comment>
    <comment ref="AB73" authorId="0" shapeId="0" xr:uid="{00000000-0006-0000-0200-00002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3" authorId="0" shapeId="0" xr:uid="{00000000-0006-0000-0200-00002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3" authorId="0" shapeId="0" xr:uid="{00000000-0006-0000-0200-00002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3" authorId="0" shapeId="0" xr:uid="{00000000-0006-0000-0200-00002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3" authorId="0" shapeId="0" xr:uid="{00000000-0006-0000-0200-00002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3" authorId="0" shapeId="0" xr:uid="{00000000-0006-0000-0200-00002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3" authorId="0" shapeId="0" xr:uid="{00000000-0006-0000-0200-00002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3" authorId="0" shapeId="0" xr:uid="{00000000-0006-0000-0200-00002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3" authorId="0" shapeId="0" xr:uid="{00000000-0006-0000-0200-00002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3" authorId="0" shapeId="0" xr:uid="{00000000-0006-0000-0200-00002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3" authorId="0" shapeId="0" xr:uid="{00000000-0006-0000-0200-00002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3" authorId="0" shapeId="0" xr:uid="{00000000-0006-0000-0200-00002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3" authorId="0" shapeId="0" xr:uid="{00000000-0006-0000-0200-00003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3" authorId="0" shapeId="0" xr:uid="{00000000-0006-0000-0200-00003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3" authorId="0" shapeId="0" xr:uid="{00000000-0006-0000-0200-00003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3" authorId="0" shapeId="0" xr:uid="{00000000-0006-0000-0200-00003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3" authorId="0" shapeId="0" xr:uid="{00000000-0006-0000-0200-00003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3" authorId="0" shapeId="0" xr:uid="{00000000-0006-0000-0200-00003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3" authorId="0" shapeId="0" xr:uid="{00000000-0006-0000-0200-00003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3" authorId="0" shapeId="0" xr:uid="{00000000-0006-0000-0200-00003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3" authorId="0" shapeId="0" xr:uid="{00000000-0006-0000-0200-00003818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74" authorId="0" shapeId="0" xr:uid="{00000000-0006-0000-0200-000039180000}">
      <text>
        <r>
          <rPr>
            <sz val="9"/>
            <color indexed="81"/>
            <rFont val="Tahoma"/>
            <charset val="1"/>
          </rPr>
          <t>Date macro run: 6/29/2018 5:36:36 PM</t>
        </r>
      </text>
    </comment>
    <comment ref="B74" authorId="0" shapeId="0" xr:uid="{00000000-0006-0000-0200-00003A180000}">
      <text>
        <r>
          <rPr>
            <sz val="9"/>
            <color indexed="81"/>
            <rFont val="Tahoma"/>
            <charset val="1"/>
          </rPr>
          <t>Stability=24,Expiration=5/9/2019</t>
        </r>
      </text>
    </comment>
    <comment ref="C74" authorId="0" shapeId="0" xr:uid="{00000000-0006-0000-0200-00003B180000}">
      <text>
        <r>
          <rPr>
            <sz val="9"/>
            <color indexed="81"/>
            <rFont val="Tahoma"/>
            <charset val="1"/>
          </rPr>
          <t>Stability=8,Expiration=2/24/2019</t>
        </r>
      </text>
    </comment>
    <comment ref="D74" authorId="0" shapeId="0" xr:uid="{00000000-0006-0000-0200-00003C180000}">
      <text>
        <r>
          <rPr>
            <sz val="9"/>
            <color indexed="81"/>
            <rFont val="Tahoma"/>
            <charset val="1"/>
          </rPr>
          <t>Stability=8,Expiration=11/23/2018</t>
        </r>
      </text>
    </comment>
    <comment ref="E74" authorId="0" shapeId="0" xr:uid="{00000000-0006-0000-0200-00003D180000}">
      <text>
        <r>
          <rPr>
            <sz val="9"/>
            <color indexed="81"/>
            <rFont val="Tahoma"/>
            <charset val="1"/>
          </rPr>
          <t>Stability=15,Expiration=4/30/2019</t>
        </r>
      </text>
    </comment>
    <comment ref="F74" authorId="0" shapeId="0" xr:uid="{00000000-0006-0000-0200-00003E180000}">
      <text>
        <r>
          <rPr>
            <sz val="9"/>
            <color indexed="81"/>
            <rFont val="Tahoma"/>
            <charset val="1"/>
          </rPr>
          <t>Stability=9,Expiration=12/27/2018</t>
        </r>
      </text>
    </comment>
    <comment ref="G74" authorId="0" shapeId="0" xr:uid="{00000000-0006-0000-0200-00003F18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74" authorId="0" shapeId="0" xr:uid="{00000000-0006-0000-0200-00004018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74" authorId="0" shapeId="0" xr:uid="{00000000-0006-0000-0200-00004118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74" authorId="0" shapeId="0" xr:uid="{00000000-0006-0000-0200-00004218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74" authorId="0" shapeId="0" xr:uid="{00000000-0006-0000-0200-00004318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74" authorId="0" shapeId="0" xr:uid="{00000000-0006-0000-0200-00004418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74" authorId="0" shapeId="0" xr:uid="{00000000-0006-0000-0200-000045180000}">
      <text>
        <r>
          <rPr>
            <sz val="9"/>
            <color indexed="81"/>
            <rFont val="Tahoma"/>
            <charset val="1"/>
          </rPr>
          <t>Stability=55,Expiration=10/31/2018</t>
        </r>
      </text>
    </comment>
    <comment ref="N74" authorId="0" shapeId="0" xr:uid="{00000000-0006-0000-0200-000046180000}">
      <text>
        <r>
          <rPr>
            <sz val="9"/>
            <color indexed="81"/>
            <rFont val="Tahoma"/>
            <charset val="1"/>
          </rPr>
          <t>Stability=21,Expiration=11/30/2018</t>
        </r>
      </text>
    </comment>
    <comment ref="O74" authorId="0" shapeId="0" xr:uid="{00000000-0006-0000-0200-00004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4" authorId="0" shapeId="0" xr:uid="{00000000-0006-0000-0200-000048180000}">
      <text>
        <r>
          <rPr>
            <sz val="9"/>
            <color indexed="81"/>
            <rFont val="Tahoma"/>
            <charset val="1"/>
          </rPr>
          <t>Stability=14,Expiration=1/29/2020</t>
        </r>
      </text>
    </comment>
    <comment ref="Q74" authorId="0" shapeId="0" xr:uid="{00000000-0006-0000-0200-000049180000}">
      <text>
        <r>
          <rPr>
            <sz val="9"/>
            <color indexed="81"/>
            <rFont val="Tahoma"/>
            <charset val="1"/>
          </rPr>
          <t>Stability=25,Expiration=2/6/2019</t>
        </r>
      </text>
    </comment>
    <comment ref="R74" authorId="0" shapeId="0" xr:uid="{00000000-0006-0000-0200-00004A180000}">
      <text>
        <r>
          <rPr>
            <sz val="9"/>
            <color indexed="81"/>
            <rFont val="Tahoma"/>
            <charset val="1"/>
          </rPr>
          <t>Stability=11,Expiration=7/14/2018</t>
        </r>
      </text>
    </comment>
    <comment ref="S74" authorId="0" shapeId="0" xr:uid="{00000000-0006-0000-0200-00004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4" authorId="0" shapeId="0" xr:uid="{00000000-0006-0000-0200-00004C180000}">
      <text>
        <r>
          <rPr>
            <sz val="9"/>
            <color indexed="81"/>
            <rFont val="Tahoma"/>
            <charset val="1"/>
          </rPr>
          <t>Stability=9,Expiration=8/14/2018</t>
        </r>
      </text>
    </comment>
    <comment ref="U74" authorId="0" shapeId="0" xr:uid="{00000000-0006-0000-0200-00004D180000}">
      <text>
        <r>
          <rPr>
            <sz val="9"/>
            <color indexed="81"/>
            <rFont val="Tahoma"/>
            <charset val="1"/>
          </rPr>
          <t>Stability=4,Expiration=1/11/2019</t>
        </r>
      </text>
    </comment>
    <comment ref="V74" authorId="0" shapeId="0" xr:uid="{00000000-0006-0000-0200-00004E180000}">
      <text>
        <r>
          <rPr>
            <sz val="9"/>
            <color indexed="81"/>
            <rFont val="Tahoma"/>
            <charset val="1"/>
          </rPr>
          <t>Stability=19,Expiration=12/6/2018</t>
        </r>
      </text>
    </comment>
    <comment ref="W74" authorId="0" shapeId="0" xr:uid="{00000000-0006-0000-0200-00004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4" authorId="0" shapeId="0" xr:uid="{00000000-0006-0000-0200-000050180000}">
      <text>
        <r>
          <rPr>
            <sz val="9"/>
            <color indexed="81"/>
            <rFont val="Tahoma"/>
            <charset val="1"/>
          </rPr>
          <t>Stability=29,Expiration=11/4/2018</t>
        </r>
      </text>
    </comment>
    <comment ref="Y74" authorId="0" shapeId="0" xr:uid="{00000000-0006-0000-0200-000051180000}">
      <text>
        <r>
          <rPr>
            <sz val="9"/>
            <color indexed="81"/>
            <rFont val="Tahoma"/>
            <charset val="1"/>
          </rPr>
          <t>Stability=16,Expiration=6/6/2019</t>
        </r>
      </text>
    </comment>
    <comment ref="Z74" authorId="0" shapeId="0" xr:uid="{00000000-0006-0000-0200-000052180000}">
      <text>
        <r>
          <rPr>
            <sz val="9"/>
            <color indexed="81"/>
            <rFont val="Tahoma"/>
            <charset val="1"/>
          </rPr>
          <t>Stability=26,Expiration=1/31/2019</t>
        </r>
      </text>
    </comment>
    <comment ref="AA74" authorId="0" shapeId="0" xr:uid="{00000000-0006-0000-0200-000053180000}">
      <text>
        <r>
          <rPr>
            <sz val="9"/>
            <color indexed="81"/>
            <rFont val="Tahoma"/>
            <charset val="1"/>
          </rPr>
          <t>Stability=17,Expiration=3/14/2019</t>
        </r>
      </text>
    </comment>
    <comment ref="AB74" authorId="0" shapeId="0" xr:uid="{00000000-0006-0000-0200-00005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4" authorId="0" shapeId="0" xr:uid="{00000000-0006-0000-0200-00005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4" authorId="0" shapeId="0" xr:uid="{00000000-0006-0000-0200-00005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4" authorId="0" shapeId="0" xr:uid="{00000000-0006-0000-0200-00005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4" authorId="0" shapeId="0" xr:uid="{00000000-0006-0000-0200-00005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4" authorId="0" shapeId="0" xr:uid="{00000000-0006-0000-0200-00005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4" authorId="0" shapeId="0" xr:uid="{00000000-0006-0000-0200-00005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4" authorId="0" shapeId="0" xr:uid="{00000000-0006-0000-0200-00005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4" authorId="0" shapeId="0" xr:uid="{00000000-0006-0000-0200-00005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4" authorId="0" shapeId="0" xr:uid="{00000000-0006-0000-0200-00005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4" authorId="0" shapeId="0" xr:uid="{00000000-0006-0000-0200-00005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4" authorId="0" shapeId="0" xr:uid="{00000000-0006-0000-0200-00005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4" authorId="0" shapeId="0" xr:uid="{00000000-0006-0000-0200-00006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4" authorId="0" shapeId="0" xr:uid="{00000000-0006-0000-0200-00006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4" authorId="0" shapeId="0" xr:uid="{00000000-0006-0000-0200-00006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4" authorId="0" shapeId="0" xr:uid="{00000000-0006-0000-0200-00006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4" authorId="0" shapeId="0" xr:uid="{00000000-0006-0000-0200-00006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4" authorId="0" shapeId="0" xr:uid="{00000000-0006-0000-0200-00006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4" authorId="0" shapeId="0" xr:uid="{00000000-0006-0000-0200-00006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4" authorId="0" shapeId="0" xr:uid="{00000000-0006-0000-0200-00006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4" authorId="0" shapeId="0" xr:uid="{00000000-0006-0000-0200-000068180000}">
      <text>
        <r>
          <rPr>
            <sz val="9"/>
            <color indexed="81"/>
            <rFont val="Tahoma"/>
            <charset val="1"/>
          </rPr>
          <t>Stability=26,Expiration=9/25/2018</t>
        </r>
      </text>
    </comment>
    <comment ref="A75" authorId="0" shapeId="0" xr:uid="{00000000-0006-0000-0200-000069180000}">
      <text>
        <r>
          <rPr>
            <sz val="9"/>
            <color indexed="81"/>
            <rFont val="Tahoma"/>
            <charset val="1"/>
          </rPr>
          <t>Date macro run: 7/2/2018 8:41:33 PM</t>
        </r>
      </text>
    </comment>
    <comment ref="B75" authorId="0" shapeId="0" xr:uid="{00000000-0006-0000-0200-00006A180000}">
      <text>
        <r>
          <rPr>
            <sz val="9"/>
            <color indexed="81"/>
            <rFont val="Tahoma"/>
            <charset val="1"/>
          </rPr>
          <t>Stability=20,Expiration=5/9/2019</t>
        </r>
      </text>
    </comment>
    <comment ref="C75" authorId="0" shapeId="0" xr:uid="{00000000-0006-0000-0200-00006B180000}">
      <text>
        <r>
          <rPr>
            <sz val="9"/>
            <color indexed="81"/>
            <rFont val="Tahoma"/>
            <charset val="1"/>
          </rPr>
          <t>Stability=5,Expiration=2/24/2019</t>
        </r>
      </text>
    </comment>
    <comment ref="D75" authorId="0" shapeId="0" xr:uid="{00000000-0006-0000-0200-00006C18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75" authorId="0" shapeId="0" xr:uid="{00000000-0006-0000-0200-00006D18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75" authorId="0" shapeId="0" xr:uid="{00000000-0006-0000-0200-00006E180000}">
      <text>
        <r>
          <rPr>
            <sz val="9"/>
            <color indexed="81"/>
            <rFont val="Tahoma"/>
            <charset val="1"/>
          </rPr>
          <t>Stability=6,Expiration=12/27/2018</t>
        </r>
      </text>
    </comment>
    <comment ref="G75" authorId="0" shapeId="0" xr:uid="{00000000-0006-0000-0200-00006F180000}">
      <text>
        <r>
          <rPr>
            <sz val="9"/>
            <color indexed="81"/>
            <rFont val="Tahoma"/>
            <charset val="1"/>
          </rPr>
          <t>Stability=21,Expiration=10/31/2018</t>
        </r>
      </text>
    </comment>
    <comment ref="H75" authorId="0" shapeId="0" xr:uid="{00000000-0006-0000-0200-000070180000}">
      <text>
        <r>
          <rPr>
            <sz val="9"/>
            <color indexed="81"/>
            <rFont val="Tahoma"/>
            <charset val="1"/>
          </rPr>
          <t>Stability=18,Expiration=6/30/2019</t>
        </r>
      </text>
    </comment>
    <comment ref="I75" authorId="0" shapeId="0" xr:uid="{00000000-0006-0000-0200-000071180000}">
      <text>
        <r>
          <rPr>
            <sz val="9"/>
            <color indexed="81"/>
            <rFont val="Tahoma"/>
            <charset val="1"/>
          </rPr>
          <t>Stability=18,Expiration=7/18/2018</t>
        </r>
      </text>
    </comment>
    <comment ref="J75" authorId="0" shapeId="0" xr:uid="{00000000-0006-0000-0200-000072180000}">
      <text>
        <r>
          <rPr>
            <sz val="9"/>
            <color indexed="81"/>
            <rFont val="Tahoma"/>
            <charset val="1"/>
          </rPr>
          <t>Stability=29,Expiration=7/3/2018</t>
        </r>
      </text>
    </comment>
    <comment ref="K75" authorId="0" shapeId="0" xr:uid="{00000000-0006-0000-0200-000073180000}">
      <text>
        <r>
          <rPr>
            <sz val="9"/>
            <color indexed="81"/>
            <rFont val="Tahoma"/>
            <charset val="1"/>
          </rPr>
          <t>Stability=7,Expiration=7/31/2018</t>
        </r>
      </text>
    </comment>
    <comment ref="L75" authorId="0" shapeId="0" xr:uid="{00000000-0006-0000-0200-000074180000}">
      <text>
        <r>
          <rPr>
            <sz val="9"/>
            <color indexed="81"/>
            <rFont val="Tahoma"/>
            <charset val="1"/>
          </rPr>
          <t>Stability=5,Expiration=5/13/2019</t>
        </r>
      </text>
    </comment>
    <comment ref="M75" authorId="0" shapeId="0" xr:uid="{00000000-0006-0000-0200-000075180000}">
      <text>
        <r>
          <rPr>
            <sz val="9"/>
            <color indexed="81"/>
            <rFont val="Tahoma"/>
            <charset val="1"/>
          </rPr>
          <t>Stability=52,Expiration=10/31/2018</t>
        </r>
      </text>
    </comment>
    <comment ref="N75" authorId="0" shapeId="0" xr:uid="{00000000-0006-0000-0200-000076180000}">
      <text>
        <r>
          <rPr>
            <sz val="9"/>
            <color indexed="81"/>
            <rFont val="Tahoma"/>
            <charset val="1"/>
          </rPr>
          <t>Stability=17,Expiration=11/30/2018</t>
        </r>
      </text>
    </comment>
    <comment ref="O75" authorId="0" shapeId="0" xr:uid="{00000000-0006-0000-0200-00007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5" authorId="0" shapeId="0" xr:uid="{00000000-0006-0000-0200-000078180000}">
      <text>
        <r>
          <rPr>
            <sz val="9"/>
            <color indexed="81"/>
            <rFont val="Tahoma"/>
            <charset val="1"/>
          </rPr>
          <t>Stability=11,Expiration=1/29/2020</t>
        </r>
      </text>
    </comment>
    <comment ref="Q75" authorId="0" shapeId="0" xr:uid="{00000000-0006-0000-0200-000079180000}">
      <text>
        <r>
          <rPr>
            <sz val="9"/>
            <color indexed="81"/>
            <rFont val="Tahoma"/>
            <charset val="1"/>
          </rPr>
          <t>Stability=22,Expiration=2/6/2019</t>
        </r>
      </text>
    </comment>
    <comment ref="R75" authorId="0" shapeId="0" xr:uid="{00000000-0006-0000-0200-00007A180000}">
      <text>
        <r>
          <rPr>
            <sz val="9"/>
            <color indexed="81"/>
            <rFont val="Tahoma"/>
            <charset val="1"/>
          </rPr>
          <t>Stability=8,Expiration=7/14/2018</t>
        </r>
      </text>
    </comment>
    <comment ref="S75" authorId="0" shapeId="0" xr:uid="{00000000-0006-0000-0200-00007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5" authorId="0" shapeId="0" xr:uid="{00000000-0006-0000-0200-00007C180000}">
      <text>
        <r>
          <rPr>
            <sz val="9"/>
            <color indexed="81"/>
            <rFont val="Tahoma"/>
            <charset val="1"/>
          </rPr>
          <t>Stability=5,Expiration=8/14/2018</t>
        </r>
      </text>
    </comment>
    <comment ref="U75" authorId="0" shapeId="0" xr:uid="{00000000-0006-0000-0200-00007D180000}">
      <text>
        <r>
          <rPr>
            <sz val="9"/>
            <color indexed="81"/>
            <rFont val="Tahoma"/>
            <charset val="1"/>
          </rPr>
          <t>Stability=24,Expiration=1/11/2019</t>
        </r>
      </text>
    </comment>
    <comment ref="V75" authorId="0" shapeId="0" xr:uid="{00000000-0006-0000-0200-00007E180000}">
      <text>
        <r>
          <rPr>
            <sz val="9"/>
            <color indexed="81"/>
            <rFont val="Tahoma"/>
            <charset val="1"/>
          </rPr>
          <t>Stability=16,Expiration=12/6/2018</t>
        </r>
      </text>
    </comment>
    <comment ref="W75" authorId="0" shapeId="0" xr:uid="{00000000-0006-0000-0200-00007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5" authorId="0" shapeId="0" xr:uid="{00000000-0006-0000-0200-000080180000}">
      <text>
        <r>
          <rPr>
            <sz val="9"/>
            <color indexed="81"/>
            <rFont val="Tahoma"/>
            <charset val="1"/>
          </rPr>
          <t>Stability=25,Expiration=11/4/2018</t>
        </r>
      </text>
    </comment>
    <comment ref="Y75" authorId="0" shapeId="0" xr:uid="{00000000-0006-0000-0200-000081180000}">
      <text>
        <r>
          <rPr>
            <sz val="9"/>
            <color indexed="81"/>
            <rFont val="Tahoma"/>
            <charset val="1"/>
          </rPr>
          <t>Stability=13,Expiration=6/6/2019</t>
        </r>
      </text>
    </comment>
    <comment ref="Z75" authorId="0" shapeId="0" xr:uid="{00000000-0006-0000-0200-000082180000}">
      <text>
        <r>
          <rPr>
            <sz val="9"/>
            <color indexed="81"/>
            <rFont val="Tahoma"/>
            <charset val="1"/>
          </rPr>
          <t>Stability=22,Expiration=1/31/2019</t>
        </r>
      </text>
    </comment>
    <comment ref="AA75" authorId="0" shapeId="0" xr:uid="{00000000-0006-0000-0200-000083180000}">
      <text>
        <r>
          <rPr>
            <sz val="9"/>
            <color indexed="81"/>
            <rFont val="Tahoma"/>
            <charset val="1"/>
          </rPr>
          <t>Stability=13,Expiration=3/14/2019</t>
        </r>
      </text>
    </comment>
    <comment ref="AB75" authorId="0" shapeId="0" xr:uid="{00000000-0006-0000-0200-00008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5" authorId="0" shapeId="0" xr:uid="{00000000-0006-0000-0200-00008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5" authorId="0" shapeId="0" xr:uid="{00000000-0006-0000-0200-00008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5" authorId="0" shapeId="0" xr:uid="{00000000-0006-0000-0200-00008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5" authorId="0" shapeId="0" xr:uid="{00000000-0006-0000-0200-00008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5" authorId="0" shapeId="0" xr:uid="{00000000-0006-0000-0200-00008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5" authorId="0" shapeId="0" xr:uid="{00000000-0006-0000-0200-00008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5" authorId="0" shapeId="0" xr:uid="{00000000-0006-0000-0200-00008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5" authorId="0" shapeId="0" xr:uid="{00000000-0006-0000-0200-00008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5" authorId="0" shapeId="0" xr:uid="{00000000-0006-0000-0200-00008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5" authorId="0" shapeId="0" xr:uid="{00000000-0006-0000-0200-00008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5" authorId="0" shapeId="0" xr:uid="{00000000-0006-0000-0200-00008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5" authorId="0" shapeId="0" xr:uid="{00000000-0006-0000-0200-00009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5" authorId="0" shapeId="0" xr:uid="{00000000-0006-0000-0200-00009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5" authorId="0" shapeId="0" xr:uid="{00000000-0006-0000-0200-00009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5" authorId="0" shapeId="0" xr:uid="{00000000-0006-0000-0200-00009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5" authorId="0" shapeId="0" xr:uid="{00000000-0006-0000-0200-00009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5" authorId="0" shapeId="0" xr:uid="{00000000-0006-0000-0200-00009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5" authorId="0" shapeId="0" xr:uid="{00000000-0006-0000-0200-00009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5" authorId="0" shapeId="0" xr:uid="{00000000-0006-0000-0200-00009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5" authorId="0" shapeId="0" xr:uid="{00000000-0006-0000-0200-000098180000}">
      <text>
        <r>
          <rPr>
            <sz val="9"/>
            <color indexed="81"/>
            <rFont val="Tahoma"/>
            <charset val="1"/>
          </rPr>
          <t>Stability=22,Expiration=9/25/2018</t>
        </r>
      </text>
    </comment>
    <comment ref="A76" authorId="0" shapeId="0" xr:uid="{00000000-0006-0000-0200-000099180000}">
      <text>
        <r>
          <rPr>
            <sz val="9"/>
            <color indexed="81"/>
            <rFont val="Tahoma"/>
            <charset val="1"/>
          </rPr>
          <t>Date macro run: 7/5/2018 6:36:34 PM</t>
        </r>
      </text>
    </comment>
    <comment ref="B76" authorId="0" shapeId="0" xr:uid="{00000000-0006-0000-0200-00009A180000}">
      <text>
        <r>
          <rPr>
            <sz val="9"/>
            <color indexed="81"/>
            <rFont val="Tahoma"/>
            <charset val="1"/>
          </rPr>
          <t>Stability=18,Expiration=5/9/2019</t>
        </r>
      </text>
    </comment>
    <comment ref="C76" authorId="0" shapeId="0" xr:uid="{00000000-0006-0000-0200-00009B18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76" authorId="0" shapeId="0" xr:uid="{00000000-0006-0000-0200-00009C180000}">
      <text>
        <r>
          <rPr>
            <sz val="9"/>
            <color indexed="81"/>
            <rFont val="Tahoma"/>
            <charset val="1"/>
          </rPr>
          <t>Stability=2,Expiration=11/23/2018</t>
        </r>
      </text>
    </comment>
    <comment ref="E76" authorId="0" shapeId="0" xr:uid="{00000000-0006-0000-0200-00009D180000}">
      <text>
        <r>
          <rPr>
            <sz val="9"/>
            <color indexed="81"/>
            <rFont val="Tahoma"/>
            <charset val="1"/>
          </rPr>
          <t>Stability=9,Expiration=4/30/2019</t>
        </r>
      </text>
    </comment>
    <comment ref="F76" authorId="0" shapeId="0" xr:uid="{00000000-0006-0000-0200-00009E180000}">
      <text>
        <r>
          <rPr>
            <sz val="9"/>
            <color indexed="81"/>
            <rFont val="Tahoma"/>
            <charset val="1"/>
          </rPr>
          <t>Stability=3,Expiration=12/27/2018</t>
        </r>
      </text>
    </comment>
    <comment ref="G76" authorId="0" shapeId="0" xr:uid="{00000000-0006-0000-0200-00009F180000}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H76" authorId="0" shapeId="0" xr:uid="{00000000-0006-0000-0200-0000A0180000}">
      <text>
        <r>
          <rPr>
            <sz val="9"/>
            <color indexed="81"/>
            <rFont val="Tahoma"/>
            <charset val="1"/>
          </rPr>
          <t>Stability=12,Expiration=6/30/2019</t>
        </r>
      </text>
    </comment>
    <comment ref="I76" authorId="0" shapeId="0" xr:uid="{00000000-0006-0000-0200-0000A1180000}">
      <text>
        <r>
          <rPr>
            <sz val="9"/>
            <color indexed="81"/>
            <rFont val="Tahoma"/>
            <charset val="1"/>
          </rPr>
          <t>Stability=16,Expiration=7/18/2018</t>
        </r>
      </text>
    </comment>
    <comment ref="J76" authorId="0" shapeId="0" xr:uid="{00000000-0006-0000-0200-0000A2180000}">
      <text>
        <r>
          <rPr>
            <sz val="9"/>
            <color indexed="81"/>
            <rFont val="Tahoma"/>
            <charset val="1"/>
          </rPr>
          <t>Stability=28,Expiration=7/3/2018</t>
        </r>
      </text>
    </comment>
    <comment ref="K76" authorId="0" shapeId="0" xr:uid="{00000000-0006-0000-0200-0000A3180000}">
      <text>
        <r>
          <rPr>
            <sz val="9"/>
            <color indexed="81"/>
            <rFont val="Tahoma"/>
            <charset val="1"/>
          </rPr>
          <t>Stability=5,Expiration=7/31/2018</t>
        </r>
      </text>
    </comment>
    <comment ref="L76" authorId="0" shapeId="0" xr:uid="{00000000-0006-0000-0200-0000A418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76" authorId="0" shapeId="0" xr:uid="{00000000-0006-0000-0200-0000A5180000}">
      <text>
        <r>
          <rPr>
            <sz val="9"/>
            <color indexed="81"/>
            <rFont val="Tahoma"/>
            <charset val="1"/>
          </rPr>
          <t>Stability=49,Expiration=10/31/2018</t>
        </r>
      </text>
    </comment>
    <comment ref="N76" authorId="0" shapeId="0" xr:uid="{00000000-0006-0000-0200-0000A6180000}">
      <text>
        <r>
          <rPr>
            <sz val="9"/>
            <color indexed="81"/>
            <rFont val="Tahoma"/>
            <charset val="1"/>
          </rPr>
          <t>Stability=15,Expiration=11/30/2018</t>
        </r>
      </text>
    </comment>
    <comment ref="O76" authorId="0" shapeId="0" xr:uid="{00000000-0006-0000-0200-0000A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6" authorId="0" shapeId="0" xr:uid="{00000000-0006-0000-0200-0000A8180000}">
      <text>
        <r>
          <rPr>
            <sz val="9"/>
            <color indexed="81"/>
            <rFont val="Tahoma"/>
            <charset val="1"/>
          </rPr>
          <t>Stability=8,Expiration=1/29/2020</t>
        </r>
      </text>
    </comment>
    <comment ref="Q76" authorId="0" shapeId="0" xr:uid="{00000000-0006-0000-0200-0000A9180000}">
      <text>
        <r>
          <rPr>
            <sz val="9"/>
            <color indexed="81"/>
            <rFont val="Tahoma"/>
            <charset val="1"/>
          </rPr>
          <t>Stability=19,Expiration=2/6/2019</t>
        </r>
      </text>
    </comment>
    <comment ref="R76" authorId="0" shapeId="0" xr:uid="{00000000-0006-0000-0200-0000AA180000}">
      <text>
        <r>
          <rPr>
            <sz val="9"/>
            <color indexed="81"/>
            <rFont val="Tahoma"/>
            <charset val="1"/>
          </rPr>
          <t>Stability=5,Expiration=7/14/2018</t>
        </r>
      </text>
    </comment>
    <comment ref="S76" authorId="0" shapeId="0" xr:uid="{00000000-0006-0000-0200-0000A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6" authorId="0" shapeId="0" xr:uid="{00000000-0006-0000-0200-0000AC180000}">
      <text>
        <r>
          <rPr>
            <sz val="9"/>
            <color indexed="81"/>
            <rFont val="Tahoma"/>
            <charset val="1"/>
          </rPr>
          <t>Stability=3,Expiration=8/14/2018</t>
        </r>
      </text>
    </comment>
    <comment ref="U76" authorId="0" shapeId="0" xr:uid="{00000000-0006-0000-0200-0000AD180000}">
      <text>
        <r>
          <rPr>
            <sz val="9"/>
            <color indexed="81"/>
            <rFont val="Tahoma"/>
            <charset val="1"/>
          </rPr>
          <t>Stability=22,Expiration=1/11/2019</t>
        </r>
      </text>
    </comment>
    <comment ref="V76" authorId="0" shapeId="0" xr:uid="{00000000-0006-0000-0200-0000AE180000}">
      <text>
        <r>
          <rPr>
            <sz val="9"/>
            <color indexed="81"/>
            <rFont val="Tahoma"/>
            <charset val="1"/>
          </rPr>
          <t>Stability=13,Expiration=12/6/2018</t>
        </r>
      </text>
    </comment>
    <comment ref="W76" authorId="0" shapeId="0" xr:uid="{00000000-0006-0000-0200-0000A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6" authorId="0" shapeId="0" xr:uid="{00000000-0006-0000-0200-0000B0180000}">
      <text>
        <r>
          <rPr>
            <sz val="9"/>
            <color indexed="81"/>
            <rFont val="Tahoma"/>
            <charset val="1"/>
          </rPr>
          <t>Stability=23,Expiration=11/4/2018</t>
        </r>
      </text>
    </comment>
    <comment ref="Y76" authorId="0" shapeId="0" xr:uid="{00000000-0006-0000-0200-0000B1180000}">
      <text>
        <r>
          <rPr>
            <sz val="9"/>
            <color indexed="81"/>
            <rFont val="Tahoma"/>
            <charset val="1"/>
          </rPr>
          <t>Stability=10,Expiration=6/6/2019</t>
        </r>
      </text>
    </comment>
    <comment ref="Z76" authorId="0" shapeId="0" xr:uid="{00000000-0006-0000-0200-0000B2180000}">
      <text>
        <r>
          <rPr>
            <sz val="9"/>
            <color indexed="81"/>
            <rFont val="Tahoma"/>
            <charset val="1"/>
          </rPr>
          <t>Stability=20,Expiration=1/31/2019</t>
        </r>
      </text>
    </comment>
    <comment ref="AA76" authorId="0" shapeId="0" xr:uid="{00000000-0006-0000-0200-0000B3180000}">
      <text>
        <r>
          <rPr>
            <sz val="9"/>
            <color indexed="81"/>
            <rFont val="Tahoma"/>
            <charset val="1"/>
          </rPr>
          <t>Stability=29,Expiration=3/14/2019</t>
        </r>
      </text>
    </comment>
    <comment ref="AB76" authorId="0" shapeId="0" xr:uid="{00000000-0006-0000-0200-0000B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6" authorId="0" shapeId="0" xr:uid="{00000000-0006-0000-0200-0000B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6" authorId="0" shapeId="0" xr:uid="{00000000-0006-0000-0200-0000B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6" authorId="0" shapeId="0" xr:uid="{00000000-0006-0000-0200-0000B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6" authorId="0" shapeId="0" xr:uid="{00000000-0006-0000-0200-0000B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6" authorId="0" shapeId="0" xr:uid="{00000000-0006-0000-0200-0000B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6" authorId="0" shapeId="0" xr:uid="{00000000-0006-0000-0200-0000B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6" authorId="0" shapeId="0" xr:uid="{00000000-0006-0000-0200-0000B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6" authorId="0" shapeId="0" xr:uid="{00000000-0006-0000-0200-0000B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6" authorId="0" shapeId="0" xr:uid="{00000000-0006-0000-0200-0000B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6" authorId="0" shapeId="0" xr:uid="{00000000-0006-0000-0200-0000B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6" authorId="0" shapeId="0" xr:uid="{00000000-0006-0000-0200-0000B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6" authorId="0" shapeId="0" xr:uid="{00000000-0006-0000-0200-0000C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6" authorId="0" shapeId="0" xr:uid="{00000000-0006-0000-0200-0000C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6" authorId="0" shapeId="0" xr:uid="{00000000-0006-0000-0200-0000C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6" authorId="0" shapeId="0" xr:uid="{00000000-0006-0000-0200-0000C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6" authorId="0" shapeId="0" xr:uid="{00000000-0006-0000-0200-0000C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6" authorId="0" shapeId="0" xr:uid="{00000000-0006-0000-0200-0000C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6" authorId="0" shapeId="0" xr:uid="{00000000-0006-0000-0200-0000C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6" authorId="0" shapeId="0" xr:uid="{00000000-0006-0000-0200-0000C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6" authorId="0" shapeId="0" xr:uid="{00000000-0006-0000-0200-0000C8180000}">
      <text>
        <r>
          <rPr>
            <sz val="9"/>
            <color indexed="81"/>
            <rFont val="Tahoma"/>
            <charset val="1"/>
          </rPr>
          <t>Stability=20,Expiration=9/25/2018</t>
        </r>
      </text>
    </comment>
    <comment ref="A77" authorId="0" shapeId="0" xr:uid="{00000000-0006-0000-0200-0000C9180000}">
      <text>
        <r>
          <rPr>
            <sz val="9"/>
            <color indexed="81"/>
            <rFont val="Tahoma"/>
            <charset val="1"/>
          </rPr>
          <t>Date macro run: 7/9/2018 10:21:35 PM</t>
        </r>
      </text>
    </comment>
    <comment ref="B77" authorId="0" shapeId="0" xr:uid="{00000000-0006-0000-0200-0000CA180000}">
      <text>
        <r>
          <rPr>
            <sz val="9"/>
            <color indexed="81"/>
            <rFont val="Tahoma"/>
            <charset val="1"/>
          </rPr>
          <t>Stability=14,Expiration=5/9/2019</t>
        </r>
      </text>
    </comment>
    <comment ref="C77" authorId="0" shapeId="0" xr:uid="{00000000-0006-0000-0200-0000CB180000}">
      <text>
        <r>
          <rPr>
            <sz val="9"/>
            <color indexed="81"/>
            <rFont val="Tahoma"/>
            <charset val="1"/>
          </rPr>
          <t>Stability=5,Expiration=2/24/2019</t>
        </r>
      </text>
    </comment>
    <comment ref="D77" authorId="0" shapeId="0" xr:uid="{00000000-0006-0000-0200-0000CC180000}">
      <text>
        <r>
          <rPr>
            <sz val="9"/>
            <color indexed="81"/>
            <rFont val="Tahoma"/>
            <charset val="1"/>
          </rPr>
          <t>Stability=24,Expiration=11/23/2018</t>
        </r>
      </text>
    </comment>
    <comment ref="E77" authorId="0" shapeId="0" xr:uid="{00000000-0006-0000-0200-0000CD180000}">
      <text>
        <r>
          <rPr>
            <sz val="9"/>
            <color indexed="81"/>
            <rFont val="Tahoma"/>
            <charset val="1"/>
          </rPr>
          <t>Stability=14,Expiration=4/30/2019</t>
        </r>
      </text>
    </comment>
    <comment ref="F77" authorId="0" shapeId="0" xr:uid="{00000000-0006-0000-0200-0000CE180000}">
      <text>
        <r>
          <rPr>
            <sz val="9"/>
            <color indexed="81"/>
            <rFont val="Tahoma"/>
            <charset val="1"/>
          </rPr>
          <t>Stability=29,Expiration=12/27/2018</t>
        </r>
      </text>
    </comment>
    <comment ref="G77" authorId="0" shapeId="0" xr:uid="{00000000-0006-0000-0200-0000CF180000}">
      <text>
        <r>
          <rPr>
            <sz val="9"/>
            <color indexed="81"/>
            <rFont val="Tahoma"/>
            <charset val="1"/>
          </rPr>
          <t>Stability=15,Expiration=10/31/2018</t>
        </r>
      </text>
    </comment>
    <comment ref="H77" authorId="0" shapeId="0" xr:uid="{00000000-0006-0000-0200-0000D0180000}">
      <text>
        <r>
          <rPr>
            <sz val="9"/>
            <color indexed="81"/>
            <rFont val="Tahoma"/>
            <charset val="1"/>
          </rPr>
          <t>Stability=8,Expiration=6/30/2019</t>
        </r>
      </text>
    </comment>
    <comment ref="I77" authorId="0" shapeId="0" xr:uid="{00000000-0006-0000-0200-0000D1180000}">
      <text>
        <r>
          <rPr>
            <sz val="9"/>
            <color indexed="81"/>
            <rFont val="Tahoma"/>
            <charset val="1"/>
          </rPr>
          <t>Stability=12,Expiration=7/18/2018</t>
        </r>
      </text>
    </comment>
    <comment ref="J77" authorId="0" shapeId="0" xr:uid="{00000000-0006-0000-0200-0000D2180000}">
      <text>
        <r>
          <rPr>
            <sz val="9"/>
            <color indexed="81"/>
            <rFont val="Tahoma"/>
            <charset val="1"/>
          </rPr>
          <t>Stability=24,Expiration=7/3/2018</t>
        </r>
      </text>
    </comment>
    <comment ref="K77" authorId="0" shapeId="0" xr:uid="{00000000-0006-0000-0200-0000D3180000}">
      <text>
        <r>
          <rPr>
            <sz val="9"/>
            <color indexed="81"/>
            <rFont val="Tahoma"/>
            <charset val="1"/>
          </rPr>
          <t>Stability=1,Expiration=7/31/2018</t>
        </r>
      </text>
    </comment>
    <comment ref="L77" authorId="0" shapeId="0" xr:uid="{00000000-0006-0000-0200-0000D4180000}">
      <text>
        <r>
          <rPr>
            <sz val="9"/>
            <color indexed="81"/>
            <rFont val="Tahoma"/>
            <charset val="1"/>
          </rPr>
          <t>Stability=2,Expiration=5/13/2019</t>
        </r>
      </text>
    </comment>
    <comment ref="M77" authorId="0" shapeId="0" xr:uid="{00000000-0006-0000-0200-0000D5180000}">
      <text>
        <r>
          <rPr>
            <sz val="9"/>
            <color indexed="81"/>
            <rFont val="Tahoma"/>
            <charset val="1"/>
          </rPr>
          <t>Stability=45,Expiration=10/31/2018</t>
        </r>
      </text>
    </comment>
    <comment ref="N77" authorId="0" shapeId="0" xr:uid="{00000000-0006-0000-0200-0000D6180000}">
      <text>
        <r>
          <rPr>
            <sz val="9"/>
            <color indexed="81"/>
            <rFont val="Tahoma"/>
            <charset val="1"/>
          </rPr>
          <t>Stability=29,Expiration=11/30/2018</t>
        </r>
      </text>
    </comment>
    <comment ref="O77" authorId="0" shapeId="0" xr:uid="{00000000-0006-0000-0200-0000D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7" authorId="0" shapeId="0" xr:uid="{00000000-0006-0000-0200-0000D8180000}">
      <text>
        <r>
          <rPr>
            <sz val="9"/>
            <color indexed="81"/>
            <rFont val="Tahoma"/>
            <charset val="1"/>
          </rPr>
          <t>Stability=21,Expiration=1/29/2020</t>
        </r>
      </text>
    </comment>
    <comment ref="Q77" authorId="0" shapeId="0" xr:uid="{00000000-0006-0000-0200-0000D9180000}">
      <text>
        <r>
          <rPr>
            <sz val="9"/>
            <color indexed="81"/>
            <rFont val="Tahoma"/>
            <charset val="1"/>
          </rPr>
          <t>Stability=27,Expiration=2/6/2019</t>
        </r>
      </text>
    </comment>
    <comment ref="R77" authorId="0" shapeId="0" xr:uid="{00000000-0006-0000-0200-0000DA180000}">
      <text>
        <r>
          <rPr>
            <sz val="9"/>
            <color indexed="81"/>
            <rFont val="Tahoma"/>
            <charset val="1"/>
          </rPr>
          <t>Stability=1,Expiration=7/14/2018</t>
        </r>
      </text>
    </comment>
    <comment ref="S77" authorId="0" shapeId="0" xr:uid="{00000000-0006-0000-0200-0000D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7" authorId="0" shapeId="0" xr:uid="{00000000-0006-0000-0200-0000DC180000}">
      <text>
        <r>
          <rPr>
            <sz val="9"/>
            <color indexed="81"/>
            <rFont val="Tahoma"/>
            <charset val="1"/>
          </rPr>
          <t>Stability=21,Expiration=8/14/2018</t>
        </r>
      </text>
    </comment>
    <comment ref="U77" authorId="0" shapeId="0" xr:uid="{00000000-0006-0000-0200-0000DD180000}">
      <text>
        <r>
          <rPr>
            <sz val="9"/>
            <color indexed="81"/>
            <rFont val="Tahoma"/>
            <charset val="1"/>
          </rPr>
          <t>Stability=18,Expiration=1/11/2019</t>
        </r>
      </text>
    </comment>
    <comment ref="V77" authorId="0" shapeId="0" xr:uid="{00000000-0006-0000-0200-0000DE180000}">
      <text>
        <r>
          <rPr>
            <sz val="9"/>
            <color indexed="81"/>
            <rFont val="Tahoma"/>
            <charset val="1"/>
          </rPr>
          <t>Stability=9,Expiration=12/6/2018</t>
        </r>
      </text>
    </comment>
    <comment ref="W77" authorId="0" shapeId="0" xr:uid="{00000000-0006-0000-0200-0000DF18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7" authorId="0" shapeId="0" xr:uid="{00000000-0006-0000-0200-0000E0180000}">
      <text>
        <r>
          <rPr>
            <sz val="9"/>
            <color indexed="81"/>
            <rFont val="Tahoma"/>
            <charset val="1"/>
          </rPr>
          <t>Stability=19,Expiration=11/4/2018</t>
        </r>
      </text>
    </comment>
    <comment ref="Y77" authorId="0" shapeId="0" xr:uid="{00000000-0006-0000-0200-0000E1180000}">
      <text>
        <r>
          <rPr>
            <sz val="9"/>
            <color indexed="81"/>
            <rFont val="Tahoma"/>
            <charset val="1"/>
          </rPr>
          <t>Stability=27,Expiration=6/6/2019</t>
        </r>
      </text>
    </comment>
    <comment ref="Z77" authorId="0" shapeId="0" xr:uid="{00000000-0006-0000-0200-0000E2180000}">
      <text>
        <r>
          <rPr>
            <sz val="9"/>
            <color indexed="81"/>
            <rFont val="Tahoma"/>
            <charset val="1"/>
          </rPr>
          <t>Stability=16,Expiration=1/31/2019</t>
        </r>
      </text>
    </comment>
    <comment ref="AA77" authorId="0" shapeId="0" xr:uid="{00000000-0006-0000-0200-0000E3180000}">
      <text>
        <r>
          <rPr>
            <sz val="9"/>
            <color indexed="81"/>
            <rFont val="Tahoma"/>
            <charset val="1"/>
          </rPr>
          <t>Stability=25,Expiration=3/14/2019</t>
        </r>
      </text>
    </comment>
    <comment ref="AB77" authorId="0" shapeId="0" xr:uid="{00000000-0006-0000-0200-0000E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7" authorId="0" shapeId="0" xr:uid="{00000000-0006-0000-0200-0000E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7" authorId="0" shapeId="0" xr:uid="{00000000-0006-0000-0200-0000E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7" authorId="0" shapeId="0" xr:uid="{00000000-0006-0000-0200-0000E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7" authorId="0" shapeId="0" xr:uid="{00000000-0006-0000-0200-0000E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7" authorId="0" shapeId="0" xr:uid="{00000000-0006-0000-0200-0000E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7" authorId="0" shapeId="0" xr:uid="{00000000-0006-0000-0200-0000E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7" authorId="0" shapeId="0" xr:uid="{00000000-0006-0000-0200-0000E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7" authorId="0" shapeId="0" xr:uid="{00000000-0006-0000-0200-0000E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7" authorId="0" shapeId="0" xr:uid="{00000000-0006-0000-0200-0000E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7" authorId="0" shapeId="0" xr:uid="{00000000-0006-0000-0200-0000E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7" authorId="0" shapeId="0" xr:uid="{00000000-0006-0000-0200-0000E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7" authorId="0" shapeId="0" xr:uid="{00000000-0006-0000-0200-0000F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7" authorId="0" shapeId="0" xr:uid="{00000000-0006-0000-0200-0000F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7" authorId="0" shapeId="0" xr:uid="{00000000-0006-0000-0200-0000F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7" authorId="0" shapeId="0" xr:uid="{00000000-0006-0000-0200-0000F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7" authorId="0" shapeId="0" xr:uid="{00000000-0006-0000-0200-0000F418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7" authorId="0" shapeId="0" xr:uid="{00000000-0006-0000-0200-0000F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7" authorId="0" shapeId="0" xr:uid="{00000000-0006-0000-0200-0000F6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7" authorId="0" shapeId="0" xr:uid="{00000000-0006-0000-0200-0000F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7" authorId="0" shapeId="0" xr:uid="{00000000-0006-0000-0200-0000F8180000}">
      <text>
        <r>
          <rPr>
            <sz val="9"/>
            <color indexed="81"/>
            <rFont val="Tahoma"/>
            <charset val="1"/>
          </rPr>
          <t>Stability=16,Expiration=9/25/2018</t>
        </r>
      </text>
    </comment>
    <comment ref="A78" authorId="0" shapeId="0" xr:uid="{00000000-0006-0000-0200-0000F9180000}">
      <text>
        <r>
          <rPr>
            <sz val="9"/>
            <color indexed="81"/>
            <rFont val="Tahoma"/>
            <charset val="1"/>
          </rPr>
          <t>Date macro run: 7/11/2018 9:36:27 PM</t>
        </r>
      </text>
    </comment>
    <comment ref="B78" authorId="0" shapeId="0" xr:uid="{00000000-0006-0000-0200-0000FA180000}">
      <text>
        <r>
          <rPr>
            <sz val="9"/>
            <color indexed="81"/>
            <rFont val="Tahoma"/>
            <charset val="1"/>
          </rPr>
          <t>Stability=11,Expiration=5/9/2019</t>
        </r>
      </text>
    </comment>
    <comment ref="C78" authorId="0" shapeId="0" xr:uid="{00000000-0006-0000-0200-0000FB18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78" authorId="0" shapeId="0" xr:uid="{00000000-0006-0000-0200-0000FC180000}">
      <text>
        <r>
          <rPr>
            <sz val="9"/>
            <color indexed="81"/>
            <rFont val="Tahoma"/>
            <charset val="1"/>
          </rPr>
          <t>Stability=21,Expiration=11/23/2018</t>
        </r>
      </text>
    </comment>
    <comment ref="E78" authorId="0" shapeId="0" xr:uid="{00000000-0006-0000-0200-0000FD180000}">
      <text>
        <r>
          <rPr>
            <sz val="9"/>
            <color indexed="81"/>
            <rFont val="Tahoma"/>
            <charset val="1"/>
          </rPr>
          <t>Stability=12,Expiration=4/30/2019</t>
        </r>
      </text>
    </comment>
    <comment ref="F78" authorId="0" shapeId="0" xr:uid="{00000000-0006-0000-0200-0000FE180000}">
      <text>
        <r>
          <rPr>
            <sz val="9"/>
            <color indexed="81"/>
            <rFont val="Tahoma"/>
            <charset val="1"/>
          </rPr>
          <t>Stability=27,Expiration=12/27/2018</t>
        </r>
      </text>
    </comment>
    <comment ref="G78" authorId="0" shapeId="0" xr:uid="{00000000-0006-0000-0200-0000FF180000}">
      <text>
        <r>
          <rPr>
            <sz val="9"/>
            <color indexed="81"/>
            <rFont val="Tahoma"/>
            <charset val="1"/>
          </rPr>
          <t>Stability=12,Expiration=10/31/2018</t>
        </r>
      </text>
    </comment>
    <comment ref="H78" authorId="0" shapeId="0" xr:uid="{00000000-0006-0000-0200-000000190000}">
      <text>
        <r>
          <rPr>
            <sz val="9"/>
            <color indexed="81"/>
            <rFont val="Tahoma"/>
            <charset val="1"/>
          </rPr>
          <t>Stability=5,Expiration=6/30/2019</t>
        </r>
      </text>
    </comment>
    <comment ref="I78" authorId="0" shapeId="0" xr:uid="{00000000-0006-0000-0200-000001190000}">
      <text>
        <r>
          <rPr>
            <sz val="9"/>
            <color indexed="81"/>
            <rFont val="Tahoma"/>
            <charset val="1"/>
          </rPr>
          <t>Stability=28,Expiration=7/18/2018</t>
        </r>
      </text>
    </comment>
    <comment ref="J78" authorId="0" shapeId="0" xr:uid="{00000000-0006-0000-0200-000002190000}">
      <text>
        <r>
          <rPr>
            <sz val="9"/>
            <color indexed="81"/>
            <rFont val="Tahoma"/>
            <charset val="1"/>
          </rPr>
          <t>Stability=22,Expiration=7/3/2018</t>
        </r>
      </text>
    </comment>
    <comment ref="K78" authorId="0" shapeId="0" xr:uid="{00000000-0006-0000-0200-000003190000}">
      <text>
        <r>
          <rPr>
            <sz val="9"/>
            <color indexed="81"/>
            <rFont val="Tahoma"/>
            <charset val="1"/>
          </rPr>
          <t>Stability=12,Expiration=7/31/2018</t>
        </r>
      </text>
    </comment>
    <comment ref="L78" authorId="0" shapeId="0" xr:uid="{00000000-0006-0000-0200-000004190000}">
      <text>
        <r>
          <rPr>
            <sz val="9"/>
            <color indexed="81"/>
            <rFont val="Tahoma"/>
            <charset val="1"/>
          </rPr>
          <t>Stability=4,Expiration=5/13/2019</t>
        </r>
      </text>
    </comment>
    <comment ref="M78" authorId="0" shapeId="0" xr:uid="{00000000-0006-0000-0200-000005190000}">
      <text>
        <r>
          <rPr>
            <sz val="9"/>
            <color indexed="81"/>
            <rFont val="Tahoma"/>
            <charset val="1"/>
          </rPr>
          <t>Stability=42,Expiration=10/31/2018</t>
        </r>
      </text>
    </comment>
    <comment ref="N78" authorId="0" shapeId="0" xr:uid="{00000000-0006-0000-0200-00000619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O78" authorId="0" shapeId="0" xr:uid="{00000000-0006-0000-0200-00000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8" authorId="0" shapeId="0" xr:uid="{00000000-0006-0000-0200-000008190000}">
      <text>
        <r>
          <rPr>
            <sz val="9"/>
            <color indexed="81"/>
            <rFont val="Tahoma"/>
            <charset val="1"/>
          </rPr>
          <t>Stability=18,Expiration=1/29/2020</t>
        </r>
      </text>
    </comment>
    <comment ref="Q78" authorId="0" shapeId="0" xr:uid="{00000000-0006-0000-0200-000009190000}">
      <text>
        <r>
          <rPr>
            <sz val="9"/>
            <color indexed="81"/>
            <rFont val="Tahoma"/>
            <charset val="1"/>
          </rPr>
          <t>Stability=24,Expiration=2/6/2019</t>
        </r>
      </text>
    </comment>
    <comment ref="R78" authorId="0" shapeId="0" xr:uid="{00000000-0006-0000-0200-00000A190000}">
      <text>
        <r>
          <rPr>
            <sz val="9"/>
            <color indexed="81"/>
            <rFont val="Tahoma"/>
            <charset val="1"/>
          </rPr>
          <t>Stability=63,Expiration=7/14/2018</t>
        </r>
      </text>
    </comment>
    <comment ref="S78" authorId="0" shapeId="0" xr:uid="{00000000-0006-0000-0200-00000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8" authorId="0" shapeId="0" xr:uid="{00000000-0006-0000-0200-00000C190000}">
      <text>
        <r>
          <rPr>
            <sz val="9"/>
            <color indexed="81"/>
            <rFont val="Tahoma"/>
            <charset val="1"/>
          </rPr>
          <t>Stability=19,Expiration=8/14/2018</t>
        </r>
      </text>
    </comment>
    <comment ref="U78" authorId="0" shapeId="0" xr:uid="{00000000-0006-0000-0200-00000D190000}">
      <text>
        <r>
          <rPr>
            <sz val="9"/>
            <color indexed="81"/>
            <rFont val="Tahoma"/>
            <charset val="1"/>
          </rPr>
          <t>Stability=15,Expiration=1/11/2019</t>
        </r>
      </text>
    </comment>
    <comment ref="V78" authorId="0" shapeId="0" xr:uid="{00000000-0006-0000-0200-00000E190000}">
      <text>
        <r>
          <rPr>
            <sz val="9"/>
            <color indexed="81"/>
            <rFont val="Tahoma"/>
            <charset val="1"/>
          </rPr>
          <t>Stability=7,Expiration=12/6/2018</t>
        </r>
      </text>
    </comment>
    <comment ref="W78" authorId="0" shapeId="0" xr:uid="{00000000-0006-0000-0200-00000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8" authorId="0" shapeId="0" xr:uid="{00000000-0006-0000-0200-000010190000}">
      <text>
        <r>
          <rPr>
            <sz val="9"/>
            <color indexed="81"/>
            <rFont val="Tahoma"/>
            <charset val="1"/>
          </rPr>
          <t>Stability=16,Expiration=11/4/2018</t>
        </r>
      </text>
    </comment>
    <comment ref="Y78" authorId="0" shapeId="0" xr:uid="{00000000-0006-0000-0200-000011190000}">
      <text>
        <r>
          <rPr>
            <sz val="9"/>
            <color indexed="81"/>
            <rFont val="Tahoma"/>
            <charset val="1"/>
          </rPr>
          <t>Stability=24,Expiration=6/6/2019</t>
        </r>
      </text>
    </comment>
    <comment ref="Z78" authorId="0" shapeId="0" xr:uid="{00000000-0006-0000-0200-000012190000}">
      <text>
        <r>
          <rPr>
            <sz val="9"/>
            <color indexed="81"/>
            <rFont val="Tahoma"/>
            <charset val="1"/>
          </rPr>
          <t>Stability=13,Expiration=1/31/2019</t>
        </r>
      </text>
    </comment>
    <comment ref="AA78" authorId="0" shapeId="0" xr:uid="{00000000-0006-0000-0200-000013190000}">
      <text>
        <r>
          <rPr>
            <sz val="9"/>
            <color indexed="81"/>
            <rFont val="Tahoma"/>
            <charset val="1"/>
          </rPr>
          <t>Stability=22,Expiration=3/14/2019</t>
        </r>
      </text>
    </comment>
    <comment ref="AB78" authorId="0" shapeId="0" xr:uid="{00000000-0006-0000-0200-00001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8" authorId="0" shapeId="0" xr:uid="{00000000-0006-0000-0200-00001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8" authorId="0" shapeId="0" xr:uid="{00000000-0006-0000-0200-00001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8" authorId="0" shapeId="0" xr:uid="{00000000-0006-0000-0200-00001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8" authorId="0" shapeId="0" xr:uid="{00000000-0006-0000-0200-00001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8" authorId="0" shapeId="0" xr:uid="{00000000-0006-0000-0200-00001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8" authorId="0" shapeId="0" xr:uid="{00000000-0006-0000-0200-00001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8" authorId="0" shapeId="0" xr:uid="{00000000-0006-0000-0200-00001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8" authorId="0" shapeId="0" xr:uid="{00000000-0006-0000-0200-00001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8" authorId="0" shapeId="0" xr:uid="{00000000-0006-0000-0200-00001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8" authorId="0" shapeId="0" xr:uid="{00000000-0006-0000-0200-00001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8" authorId="0" shapeId="0" xr:uid="{00000000-0006-0000-0200-00001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8" authorId="0" shapeId="0" xr:uid="{00000000-0006-0000-0200-00002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8" authorId="0" shapeId="0" xr:uid="{00000000-0006-0000-0200-00002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8" authorId="0" shapeId="0" xr:uid="{00000000-0006-0000-0200-00002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8" authorId="0" shapeId="0" xr:uid="{00000000-0006-0000-0200-00002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8" authorId="0" shapeId="0" xr:uid="{00000000-0006-0000-0200-00002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8" authorId="0" shapeId="0" xr:uid="{00000000-0006-0000-0200-00002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8" authorId="0" shapeId="0" xr:uid="{00000000-0006-0000-0200-00002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8" authorId="0" shapeId="0" xr:uid="{00000000-0006-0000-0200-00002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8" authorId="0" shapeId="0" xr:uid="{00000000-0006-0000-0200-000028190000}">
      <text>
        <r>
          <rPr>
            <sz val="9"/>
            <color indexed="81"/>
            <rFont val="Tahoma"/>
            <charset val="1"/>
          </rPr>
          <t>Stability=13,Expiration=9/25/2018</t>
        </r>
      </text>
    </comment>
    <comment ref="A79" authorId="0" shapeId="0" xr:uid="{00000000-0006-0000-0200-000029190000}">
      <text>
        <r>
          <rPr>
            <sz val="9"/>
            <color indexed="81"/>
            <rFont val="Tahoma"/>
            <charset val="1"/>
          </rPr>
          <t>Date macro run: 7/12/2018 9:28:52 PM</t>
        </r>
      </text>
    </comment>
    <comment ref="B79" authorId="0" shapeId="0" xr:uid="{00000000-0006-0000-0200-00002A190000}">
      <text>
        <r>
          <rPr>
            <sz val="9"/>
            <color indexed="81"/>
            <rFont val="Tahoma"/>
            <charset val="1"/>
          </rPr>
          <t>Stability=11,Expiration=5/9/2019</t>
        </r>
      </text>
    </comment>
    <comment ref="C79" authorId="0" shapeId="0" xr:uid="{00000000-0006-0000-0200-00002B190000}">
      <text>
        <r>
          <rPr>
            <sz val="9"/>
            <color indexed="81"/>
            <rFont val="Tahoma"/>
            <charset val="1"/>
          </rPr>
          <t>Stability=1,Expiration=2/24/2019</t>
        </r>
      </text>
    </comment>
    <comment ref="D79" authorId="0" shapeId="0" xr:uid="{00000000-0006-0000-0200-00002C190000}">
      <text>
        <r>
          <rPr>
            <sz val="9"/>
            <color indexed="81"/>
            <rFont val="Tahoma"/>
            <charset val="1"/>
          </rPr>
          <t>Stability=20,Expiration=11/23/2018</t>
        </r>
      </text>
    </comment>
    <comment ref="E79" authorId="0" shapeId="0" xr:uid="{00000000-0006-0000-0200-00002D190000}">
      <text>
        <r>
          <rPr>
            <sz val="9"/>
            <color indexed="81"/>
            <rFont val="Tahoma"/>
            <charset val="1"/>
          </rPr>
          <t>Stability=11,Expiration=4/30/2019</t>
        </r>
      </text>
    </comment>
    <comment ref="F79" authorId="0" shapeId="0" xr:uid="{00000000-0006-0000-0200-00002E190000}">
      <text>
        <r>
          <rPr>
            <sz val="9"/>
            <color indexed="81"/>
            <rFont val="Tahoma"/>
            <charset val="1"/>
          </rPr>
          <t>Stability=26,Expiration=12/27/2018</t>
        </r>
      </text>
    </comment>
    <comment ref="G79" authorId="0" shapeId="0" xr:uid="{00000000-0006-0000-0200-00002F190000}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H79" authorId="0" shapeId="0" xr:uid="{00000000-0006-0000-0200-000030190000}">
      <text>
        <r>
          <rPr>
            <sz val="9"/>
            <color indexed="81"/>
            <rFont val="Tahoma"/>
            <charset val="1"/>
          </rPr>
          <t>Stability=4,Expiration=6/30/2019</t>
        </r>
      </text>
    </comment>
    <comment ref="I79" authorId="0" shapeId="0" xr:uid="{00000000-0006-0000-0200-000031190000}">
      <text>
        <r>
          <rPr>
            <sz val="9"/>
            <color indexed="81"/>
            <rFont val="Tahoma"/>
            <charset val="1"/>
          </rPr>
          <t>Stability=27,Expiration=7/18/2018</t>
        </r>
      </text>
    </comment>
    <comment ref="J79" authorId="0" shapeId="0" xr:uid="{00000000-0006-0000-0200-000032190000}">
      <text>
        <r>
          <rPr>
            <sz val="9"/>
            <color indexed="81"/>
            <rFont val="Tahoma"/>
            <charset val="1"/>
          </rPr>
          <t>Stability=21,Expiration=7/3/2018</t>
        </r>
      </text>
    </comment>
    <comment ref="K79" authorId="0" shapeId="0" xr:uid="{00000000-0006-0000-0200-00003319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79" authorId="0" shapeId="0" xr:uid="{00000000-0006-0000-0200-00003419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79" authorId="0" shapeId="0" xr:uid="{00000000-0006-0000-0200-000035190000}">
      <text>
        <r>
          <rPr>
            <sz val="9"/>
            <color indexed="81"/>
            <rFont val="Tahoma"/>
            <charset val="1"/>
          </rPr>
          <t>Stability=41,Expiration=10/31/2018</t>
        </r>
      </text>
    </comment>
    <comment ref="N79" authorId="0" shapeId="0" xr:uid="{00000000-0006-0000-0200-000036190000}">
      <text>
        <r>
          <rPr>
            <sz val="9"/>
            <color indexed="81"/>
            <rFont val="Tahoma"/>
            <charset val="1"/>
          </rPr>
          <t>Stability=26,Expiration=11/30/2018</t>
        </r>
      </text>
    </comment>
    <comment ref="O79" authorId="0" shapeId="0" xr:uid="{00000000-0006-0000-0200-00003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79" authorId="0" shapeId="0" xr:uid="{00000000-0006-0000-0200-000038190000}">
      <text>
        <r>
          <rPr>
            <sz val="9"/>
            <color indexed="81"/>
            <rFont val="Tahoma"/>
            <charset val="1"/>
          </rPr>
          <t>Stability=17,Expiration=1/29/2020</t>
        </r>
      </text>
    </comment>
    <comment ref="Q79" authorId="0" shapeId="0" xr:uid="{00000000-0006-0000-0200-000039190000}">
      <text>
        <r>
          <rPr>
            <sz val="9"/>
            <color indexed="81"/>
            <rFont val="Tahoma"/>
            <charset val="1"/>
          </rPr>
          <t>Stability=23,Expiration=2/6/2019</t>
        </r>
      </text>
    </comment>
    <comment ref="R79" authorId="0" shapeId="0" xr:uid="{00000000-0006-0000-0200-00003A190000}">
      <text>
        <r>
          <rPr>
            <sz val="9"/>
            <color indexed="81"/>
            <rFont val="Tahoma"/>
            <charset val="1"/>
          </rPr>
          <t>Stability=62,Expiration=7/14/2018</t>
        </r>
      </text>
    </comment>
    <comment ref="S79" authorId="0" shapeId="0" xr:uid="{00000000-0006-0000-0200-00003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79" authorId="0" shapeId="0" xr:uid="{00000000-0006-0000-0200-00003C190000}">
      <text>
        <r>
          <rPr>
            <sz val="9"/>
            <color indexed="81"/>
            <rFont val="Tahoma"/>
            <charset val="1"/>
          </rPr>
          <t>Stability=18,Expiration=8/14/2018</t>
        </r>
      </text>
    </comment>
    <comment ref="U79" authorId="0" shapeId="0" xr:uid="{00000000-0006-0000-0200-00003D190000}">
      <text>
        <r>
          <rPr>
            <sz val="9"/>
            <color indexed="81"/>
            <rFont val="Tahoma"/>
            <charset val="1"/>
          </rPr>
          <t>Stability=14,Expiration=1/11/2019</t>
        </r>
      </text>
    </comment>
    <comment ref="V79" authorId="0" shapeId="0" xr:uid="{00000000-0006-0000-0200-00003E190000}">
      <text>
        <r>
          <rPr>
            <sz val="9"/>
            <color indexed="81"/>
            <rFont val="Tahoma"/>
            <charset val="1"/>
          </rPr>
          <t>Stability=6,Expiration=12/6/2018</t>
        </r>
      </text>
    </comment>
    <comment ref="W79" authorId="0" shapeId="0" xr:uid="{00000000-0006-0000-0200-00003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79" authorId="0" shapeId="0" xr:uid="{00000000-0006-0000-0200-000040190000}">
      <text>
        <r>
          <rPr>
            <sz val="9"/>
            <color indexed="81"/>
            <rFont val="Tahoma"/>
            <charset val="1"/>
          </rPr>
          <t>Stability=15,Expiration=11/4/2018</t>
        </r>
      </text>
    </comment>
    <comment ref="Y79" authorId="0" shapeId="0" xr:uid="{00000000-0006-0000-0200-000041190000}">
      <text>
        <r>
          <rPr>
            <sz val="9"/>
            <color indexed="81"/>
            <rFont val="Tahoma"/>
            <charset val="1"/>
          </rPr>
          <t>Stability=23,Expiration=6/6/2019</t>
        </r>
      </text>
    </comment>
    <comment ref="Z79" authorId="0" shapeId="0" xr:uid="{00000000-0006-0000-0200-000042190000}">
      <text>
        <r>
          <rPr>
            <sz val="9"/>
            <color indexed="81"/>
            <rFont val="Tahoma"/>
            <charset val="1"/>
          </rPr>
          <t>Stability=12,Expiration=1/31/2019</t>
        </r>
      </text>
    </comment>
    <comment ref="AA79" authorId="0" shapeId="0" xr:uid="{00000000-0006-0000-0200-000043190000}">
      <text>
        <r>
          <rPr>
            <sz val="9"/>
            <color indexed="81"/>
            <rFont val="Tahoma"/>
            <charset val="1"/>
          </rPr>
          <t>Stability=21,Expiration=3/14/2019</t>
        </r>
      </text>
    </comment>
    <comment ref="AB79" authorId="0" shapeId="0" xr:uid="{00000000-0006-0000-0200-00004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79" authorId="0" shapeId="0" xr:uid="{00000000-0006-0000-0200-00004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79" authorId="0" shapeId="0" xr:uid="{00000000-0006-0000-0200-00004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79" authorId="0" shapeId="0" xr:uid="{00000000-0006-0000-0200-00004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79" authorId="0" shapeId="0" xr:uid="{00000000-0006-0000-0200-00004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79" authorId="0" shapeId="0" xr:uid="{00000000-0006-0000-0200-00004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79" authorId="0" shapeId="0" xr:uid="{00000000-0006-0000-0200-00004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79" authorId="0" shapeId="0" xr:uid="{00000000-0006-0000-0200-00004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79" authorId="0" shapeId="0" xr:uid="{00000000-0006-0000-0200-00004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79" authorId="0" shapeId="0" xr:uid="{00000000-0006-0000-0200-00004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9" authorId="0" shapeId="0" xr:uid="{00000000-0006-0000-0200-00004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9" authorId="0" shapeId="0" xr:uid="{00000000-0006-0000-0200-00004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9" authorId="0" shapeId="0" xr:uid="{00000000-0006-0000-0200-00005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9" authorId="0" shapeId="0" xr:uid="{00000000-0006-0000-0200-00005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9" authorId="0" shapeId="0" xr:uid="{00000000-0006-0000-0200-00005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9" authorId="0" shapeId="0" xr:uid="{00000000-0006-0000-0200-00005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79" authorId="0" shapeId="0" xr:uid="{00000000-0006-0000-0200-00005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79" authorId="0" shapeId="0" xr:uid="{00000000-0006-0000-0200-00005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9" authorId="0" shapeId="0" xr:uid="{00000000-0006-0000-0200-00005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79" authorId="0" shapeId="0" xr:uid="{00000000-0006-0000-0200-00005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9" authorId="0" shapeId="0" xr:uid="{00000000-0006-0000-0200-000058190000}">
      <text>
        <r>
          <rPr>
            <sz val="9"/>
            <color indexed="81"/>
            <rFont val="Tahoma"/>
            <charset val="1"/>
          </rPr>
          <t>Stability=12,Expiration=9/25/2018</t>
        </r>
      </text>
    </comment>
    <comment ref="A80" authorId="0" shapeId="0" xr:uid="{00000000-0006-0000-0200-000059190000}">
      <text>
        <r>
          <rPr>
            <sz val="9"/>
            <color indexed="81"/>
            <rFont val="Tahoma"/>
            <charset val="1"/>
          </rPr>
          <t xml:space="preserve">Date macro run: 7/23/2018 8:51:27 PM, was on vaca for a week.. Numbers all messed up now probably need to restart from here
</t>
        </r>
      </text>
    </comment>
    <comment ref="B80" authorId="0" shapeId="0" xr:uid="{00000000-0006-0000-0200-00005A190000}">
      <text>
        <r>
          <rPr>
            <sz val="9"/>
            <color indexed="81"/>
            <rFont val="Tahoma"/>
            <charset val="1"/>
          </rPr>
          <t>Stability=41,Expiration=5/9/2019</t>
        </r>
      </text>
    </comment>
    <comment ref="C80" authorId="0" shapeId="0" xr:uid="{00000000-0006-0000-0200-00005B190000}">
      <text>
        <r>
          <rPr>
            <sz val="9"/>
            <color indexed="81"/>
            <rFont val="Tahoma"/>
            <charset val="1"/>
          </rPr>
          <t>Stability=4,Expiration=2/24/2019</t>
        </r>
      </text>
    </comment>
    <comment ref="D80" authorId="0" shapeId="0" xr:uid="{00000000-0006-0000-0200-00005C190000}">
      <text>
        <r>
          <rPr>
            <sz val="9"/>
            <color indexed="81"/>
            <rFont val="Tahoma"/>
            <charset val="1"/>
          </rPr>
          <t>Stability=9,Expiration=11/23/2018</t>
        </r>
      </text>
    </comment>
    <comment ref="E80" authorId="0" shapeId="0" xr:uid="{00000000-0006-0000-0200-00005D190000}">
      <text>
        <r>
          <rPr>
            <sz val="9"/>
            <color indexed="81"/>
            <rFont val="Tahoma"/>
            <charset val="1"/>
          </rPr>
          <t>Stability=7,Expiration=4/30/2019</t>
        </r>
      </text>
    </comment>
    <comment ref="F80" authorId="0" shapeId="0" xr:uid="{00000000-0006-0000-0200-00005E190000}">
      <text>
        <r>
          <rPr>
            <sz val="9"/>
            <color indexed="81"/>
            <rFont val="Tahoma"/>
            <charset val="1"/>
          </rPr>
          <t>Stability=15,Expiration=12/27/2018</t>
        </r>
      </text>
    </comment>
    <comment ref="G80" authorId="0" shapeId="0" xr:uid="{00000000-0006-0000-0200-00005F190000}">
      <text>
        <r>
          <rPr>
            <sz val="9"/>
            <color indexed="81"/>
            <rFont val="Tahoma"/>
            <charset val="1"/>
          </rPr>
          <t>Stability=27,Expiration=10/31/2018</t>
        </r>
      </text>
    </comment>
    <comment ref="H80" authorId="0" shapeId="0" xr:uid="{00000000-0006-0000-0200-000060190000}">
      <text>
        <r>
          <rPr>
            <sz val="9"/>
            <color indexed="81"/>
            <rFont val="Tahoma"/>
            <charset val="1"/>
          </rPr>
          <t>Stability=13,Expiration=6/30/2019</t>
        </r>
      </text>
    </comment>
    <comment ref="I80" authorId="0" shapeId="0" xr:uid="{00000000-0006-0000-0200-000061190000}">
      <text>
        <r>
          <rPr>
            <sz val="9"/>
            <color indexed="81"/>
            <rFont val="Tahoma"/>
            <charset val="1"/>
          </rPr>
          <t>Stability=22,Expiration=7/18/2018</t>
        </r>
      </text>
    </comment>
    <comment ref="J80" authorId="0" shapeId="0" xr:uid="{00000000-0006-0000-0200-000062190000}">
      <text>
        <r>
          <rPr>
            <sz val="9"/>
            <color indexed="81"/>
            <rFont val="Tahoma"/>
            <charset val="1"/>
          </rPr>
          <t>Stability=10,Expiration=7/3/2018</t>
        </r>
      </text>
    </comment>
    <comment ref="K80" authorId="0" shapeId="0" xr:uid="{00000000-0006-0000-0200-000063190000}">
      <text>
        <r>
          <rPr>
            <sz val="9"/>
            <color indexed="81"/>
            <rFont val="Tahoma"/>
            <charset val="1"/>
          </rPr>
          <t>Stability=13,Expiration=7/31/2018</t>
        </r>
      </text>
    </comment>
    <comment ref="L80" authorId="0" shapeId="0" xr:uid="{00000000-0006-0000-0200-00006419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80" authorId="0" shapeId="0" xr:uid="{00000000-0006-0000-0200-000065190000}">
      <text>
        <r>
          <rPr>
            <sz val="9"/>
            <color indexed="81"/>
            <rFont val="Tahoma"/>
            <charset val="1"/>
          </rPr>
          <t>Stability=31,Expiration=10/31/2018</t>
        </r>
      </text>
    </comment>
    <comment ref="N80" authorId="0" shapeId="0" xr:uid="{00000000-0006-0000-0200-000066190000}">
      <text>
        <r>
          <rPr>
            <sz val="9"/>
            <color indexed="81"/>
            <rFont val="Tahoma"/>
            <charset val="1"/>
          </rPr>
          <t>Stability=27,Expiration=11/30/2018</t>
        </r>
      </text>
    </comment>
    <comment ref="O80" authorId="0" shapeId="0" xr:uid="{00000000-0006-0000-0200-00006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80" authorId="0" shapeId="0" xr:uid="{00000000-0006-0000-0200-000068190000}">
      <text>
        <r>
          <rPr>
            <sz val="9"/>
            <color indexed="81"/>
            <rFont val="Tahoma"/>
            <charset val="1"/>
          </rPr>
          <t>Stability=6,Expiration=1/29/2020</t>
        </r>
      </text>
    </comment>
    <comment ref="Q80" authorId="0" shapeId="0" xr:uid="{00000000-0006-0000-0200-000069190000}">
      <text>
        <r>
          <rPr>
            <sz val="9"/>
            <color indexed="81"/>
            <rFont val="Tahoma"/>
            <charset val="1"/>
          </rPr>
          <t>Stability=12,Expiration=2/6/2019</t>
        </r>
      </text>
    </comment>
    <comment ref="R80" authorId="0" shapeId="0" xr:uid="{00000000-0006-0000-0200-00006A190000}">
      <text>
        <r>
          <rPr>
            <sz val="9"/>
            <color indexed="81"/>
            <rFont val="Tahoma"/>
            <charset val="1"/>
          </rPr>
          <t>Stability=55,Expiration=7/14/2018</t>
        </r>
      </text>
    </comment>
    <comment ref="S80" authorId="0" shapeId="0" xr:uid="{00000000-0006-0000-0200-00006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80" authorId="0" shapeId="0" xr:uid="{00000000-0006-0000-0200-00006C190000}">
      <text>
        <r>
          <rPr>
            <sz val="9"/>
            <color indexed="81"/>
            <rFont val="Tahoma"/>
            <charset val="1"/>
          </rPr>
          <t>Stability=7,Expiration=8/14/2018</t>
        </r>
      </text>
    </comment>
    <comment ref="U80" authorId="0" shapeId="0" xr:uid="{00000000-0006-0000-0200-00006D190000}">
      <text>
        <r>
          <rPr>
            <sz val="9"/>
            <color indexed="81"/>
            <rFont val="Tahoma"/>
            <charset val="1"/>
          </rPr>
          <t>Stability=3,Expiration=1/11/2019</t>
        </r>
      </text>
    </comment>
    <comment ref="V80" authorId="0" shapeId="0" xr:uid="{00000000-0006-0000-0200-00006E190000}">
      <text>
        <r>
          <rPr>
            <sz val="9"/>
            <color indexed="81"/>
            <rFont val="Tahoma"/>
            <charset val="1"/>
          </rPr>
          <t>Stability=18,Expiration=12/6/2018</t>
        </r>
      </text>
    </comment>
    <comment ref="W80" authorId="0" shapeId="0" xr:uid="{00000000-0006-0000-0200-00006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80" authorId="0" shapeId="0" xr:uid="{00000000-0006-0000-0200-000070190000}">
      <text>
        <r>
          <rPr>
            <sz val="9"/>
            <color indexed="81"/>
            <rFont val="Tahoma"/>
            <charset val="1"/>
          </rPr>
          <t>Stability=23,Expiration=11/4/2018</t>
        </r>
      </text>
    </comment>
    <comment ref="Y80" authorId="0" shapeId="0" xr:uid="{00000000-0006-0000-0200-000071190000}">
      <text>
        <r>
          <rPr>
            <sz val="9"/>
            <color indexed="81"/>
            <rFont val="Tahoma"/>
            <charset val="1"/>
          </rPr>
          <t>Stability=12,Expiration=6/6/2019</t>
        </r>
      </text>
    </comment>
    <comment ref="Z80" authorId="0" shapeId="0" xr:uid="{00000000-0006-0000-0200-000072190000}">
      <text>
        <r>
          <rPr>
            <sz val="9"/>
            <color indexed="81"/>
            <rFont val="Tahoma"/>
            <charset val="1"/>
          </rPr>
          <t>Stability=29,Expiration=1/31/2019</t>
        </r>
      </text>
    </comment>
    <comment ref="AA80" authorId="0" shapeId="0" xr:uid="{00000000-0006-0000-0200-000073190000}">
      <text>
        <r>
          <rPr>
            <sz val="9"/>
            <color indexed="81"/>
            <rFont val="Tahoma"/>
            <charset val="1"/>
          </rPr>
          <t>Stability=10,Expiration=3/14/2019</t>
        </r>
      </text>
    </comment>
    <comment ref="AB80" authorId="0" shapeId="0" xr:uid="{00000000-0006-0000-0200-00007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80" authorId="0" shapeId="0" xr:uid="{00000000-0006-0000-0200-00007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80" authorId="0" shapeId="0" xr:uid="{00000000-0006-0000-0200-00007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80" authorId="0" shapeId="0" xr:uid="{00000000-0006-0000-0200-00007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80" authorId="0" shapeId="0" xr:uid="{00000000-0006-0000-0200-00007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80" authorId="0" shapeId="0" xr:uid="{00000000-0006-0000-0200-00007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80" authorId="0" shapeId="0" xr:uid="{00000000-0006-0000-0200-00007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80" authorId="0" shapeId="0" xr:uid="{00000000-0006-0000-0200-00007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80" authorId="0" shapeId="0" xr:uid="{00000000-0006-0000-0200-00007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80" authorId="0" shapeId="0" xr:uid="{00000000-0006-0000-0200-00007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0" authorId="0" shapeId="0" xr:uid="{00000000-0006-0000-0200-00007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0" authorId="0" shapeId="0" xr:uid="{00000000-0006-0000-0200-00007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0" authorId="0" shapeId="0" xr:uid="{00000000-0006-0000-0200-00008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0" authorId="0" shapeId="0" xr:uid="{00000000-0006-0000-0200-00008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0" authorId="0" shapeId="0" xr:uid="{00000000-0006-0000-0200-00008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0" authorId="0" shapeId="0" xr:uid="{00000000-0006-0000-0200-00008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80" authorId="0" shapeId="0" xr:uid="{00000000-0006-0000-0200-00008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80" authorId="0" shapeId="0" xr:uid="{00000000-0006-0000-0200-00008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0" authorId="0" shapeId="0" xr:uid="{00000000-0006-0000-0200-00008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80" authorId="0" shapeId="0" xr:uid="{00000000-0006-0000-0200-00008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0" authorId="0" shapeId="0" xr:uid="{00000000-0006-0000-0200-000088190000}">
      <text>
        <r>
          <rPr>
            <sz val="9"/>
            <color indexed="81"/>
            <rFont val="Tahoma"/>
            <charset val="1"/>
          </rPr>
          <t>Stability=29,Expiration=9/25/2018</t>
        </r>
      </text>
    </comment>
    <comment ref="A81" authorId="0" shapeId="0" xr:uid="{00000000-0006-0000-0200-000089190000}">
      <text>
        <r>
          <rPr>
            <sz val="9"/>
            <color indexed="81"/>
            <rFont val="Tahoma"/>
            <charset val="1"/>
          </rPr>
          <t>Date macro run: 7/25/2018 9:50:22 PM</t>
        </r>
      </text>
    </comment>
    <comment ref="B81" authorId="0" shapeId="0" xr:uid="{00000000-0006-0000-0200-00008A190000}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81" authorId="0" shapeId="0" xr:uid="{00000000-0006-0000-0200-00008B190000}">
      <text>
        <r>
          <rPr>
            <sz val="9"/>
            <color indexed="81"/>
            <rFont val="Tahoma"/>
            <charset val="1"/>
          </rPr>
          <t>Stability=2,Expiration=2/24/2019</t>
        </r>
      </text>
    </comment>
    <comment ref="D81" authorId="0" shapeId="0" xr:uid="{00000000-0006-0000-0200-00008C190000}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81" authorId="0" shapeId="0" xr:uid="{00000000-0006-0000-0200-00008D190000}">
      <text>
        <r>
          <rPr>
            <sz val="9"/>
            <color indexed="81"/>
            <rFont val="Tahoma"/>
            <charset val="1"/>
          </rPr>
          <t>Stability=5,Expiration=4/30/2019</t>
        </r>
      </text>
    </comment>
    <comment ref="F81" authorId="0" shapeId="0" xr:uid="{00000000-0006-0000-0200-00008E190000}">
      <text>
        <r>
          <rPr>
            <sz val="9"/>
            <color indexed="81"/>
            <rFont val="Tahoma"/>
            <charset val="1"/>
          </rPr>
          <t>Stability=13,Expiration=12/27/2018</t>
        </r>
      </text>
    </comment>
    <comment ref="G81" authorId="0" shapeId="0" xr:uid="{00000000-0006-0000-0200-00008F190000}">
      <text>
        <r>
          <rPr>
            <sz val="9"/>
            <color indexed="81"/>
            <rFont val="Tahoma"/>
            <charset val="1"/>
          </rPr>
          <t>Stability=25,Expiration=10/31/2018</t>
        </r>
      </text>
    </comment>
    <comment ref="H81" authorId="0" shapeId="0" xr:uid="{00000000-0006-0000-0200-000090190000}">
      <text>
        <r>
          <rPr>
            <sz val="9"/>
            <color indexed="81"/>
            <rFont val="Tahoma"/>
            <charset val="1"/>
          </rPr>
          <t>Stability=11,Expiration=6/30/2019</t>
        </r>
      </text>
    </comment>
    <comment ref="I81" authorId="0" shapeId="0" xr:uid="{00000000-0006-0000-0200-000091190000}">
      <text>
        <r>
          <rPr>
            <sz val="9"/>
            <color indexed="81"/>
            <rFont val="Tahoma"/>
            <charset val="1"/>
          </rPr>
          <t>Stability=20,Expiration=7/18/2018</t>
        </r>
      </text>
    </comment>
    <comment ref="J81" authorId="0" shapeId="0" xr:uid="{00000000-0006-0000-0200-000092190000}">
      <text>
        <r>
          <rPr>
            <sz val="9"/>
            <color indexed="81"/>
            <rFont val="Tahoma"/>
            <charset val="1"/>
          </rPr>
          <t>Stability=8,Expiration=7/3/2018</t>
        </r>
      </text>
    </comment>
    <comment ref="K81" authorId="0" shapeId="0" xr:uid="{00000000-0006-0000-0200-000093190000}">
      <text>
        <r>
          <rPr>
            <sz val="9"/>
            <color indexed="81"/>
            <rFont val="Tahoma"/>
            <charset val="1"/>
          </rPr>
          <t>Stability=11,Expiration=7/31/2018</t>
        </r>
      </text>
    </comment>
    <comment ref="L81" authorId="0" shapeId="0" xr:uid="{00000000-0006-0000-0200-000094190000}">
      <text>
        <r>
          <rPr>
            <sz val="9"/>
            <color indexed="81"/>
            <rFont val="Tahoma"/>
            <charset val="1"/>
          </rPr>
          <t>Stability=1,Expiration=5/13/2019</t>
        </r>
      </text>
    </comment>
    <comment ref="M81" authorId="0" shapeId="0" xr:uid="{00000000-0006-0000-0200-000095190000}">
      <text>
        <r>
          <rPr>
            <sz val="9"/>
            <color indexed="81"/>
            <rFont val="Tahoma"/>
            <charset val="1"/>
          </rPr>
          <t>Stability=28,Expiration=10/31/2018</t>
        </r>
      </text>
    </comment>
    <comment ref="N81" authorId="0" shapeId="0" xr:uid="{00000000-0006-0000-0200-000096190000}">
      <text>
        <r>
          <rPr>
            <sz val="9"/>
            <color indexed="81"/>
            <rFont val="Tahoma"/>
            <charset val="1"/>
          </rPr>
          <t>Stability=24,Expiration=11/30/2018</t>
        </r>
      </text>
    </comment>
    <comment ref="O81" authorId="0" shapeId="0" xr:uid="{00000000-0006-0000-0200-00009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81" authorId="0" shapeId="0" xr:uid="{00000000-0006-0000-0200-000098190000}">
      <text>
        <r>
          <rPr>
            <sz val="9"/>
            <color indexed="81"/>
            <rFont val="Tahoma"/>
            <charset val="1"/>
          </rPr>
          <t>Stability=4,Expiration=1/29/2020</t>
        </r>
      </text>
    </comment>
    <comment ref="Q81" authorId="0" shapeId="0" xr:uid="{00000000-0006-0000-0200-000099190000}">
      <text>
        <r>
          <rPr>
            <sz val="9"/>
            <color indexed="81"/>
            <rFont val="Tahoma"/>
            <charset val="1"/>
          </rPr>
          <t>Stability=10,Expiration=2/6/2019</t>
        </r>
      </text>
    </comment>
    <comment ref="R81" authorId="0" shapeId="0" xr:uid="{00000000-0006-0000-0200-00009A190000}">
      <text>
        <r>
          <rPr>
            <sz val="9"/>
            <color indexed="81"/>
            <rFont val="Tahoma"/>
            <charset val="1"/>
          </rPr>
          <t>Stability=53,Expiration=7/14/2018</t>
        </r>
      </text>
    </comment>
    <comment ref="S81" authorId="0" shapeId="0" xr:uid="{00000000-0006-0000-0200-00009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81" authorId="0" shapeId="0" xr:uid="{00000000-0006-0000-0200-00009C190000}">
      <text>
        <r>
          <rPr>
            <sz val="9"/>
            <color indexed="81"/>
            <rFont val="Tahoma"/>
            <charset val="1"/>
          </rPr>
          <t>Stability=5,Expiration=8/14/2018</t>
        </r>
      </text>
    </comment>
    <comment ref="U81" authorId="0" shapeId="0" xr:uid="{00000000-0006-0000-0200-00009D190000}">
      <text>
        <r>
          <rPr>
            <sz val="9"/>
            <color indexed="81"/>
            <rFont val="Tahoma"/>
            <charset val="1"/>
          </rPr>
          <t>Stability=1,Expiration=1/11/2019</t>
        </r>
      </text>
    </comment>
    <comment ref="V81" authorId="0" shapeId="0" xr:uid="{00000000-0006-0000-0200-00009E190000}">
      <text>
        <r>
          <rPr>
            <sz val="9"/>
            <color indexed="81"/>
            <rFont val="Tahoma"/>
            <charset val="1"/>
          </rPr>
          <t>Stability=16,Expiration=12/6/2018</t>
        </r>
      </text>
    </comment>
    <comment ref="W81" authorId="0" shapeId="0" xr:uid="{00000000-0006-0000-0200-00009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81" authorId="0" shapeId="0" xr:uid="{00000000-0006-0000-0200-0000A0190000}">
      <text>
        <r>
          <rPr>
            <sz val="9"/>
            <color indexed="81"/>
            <rFont val="Tahoma"/>
            <charset val="1"/>
          </rPr>
          <t>Stability=21,Expiration=11/4/2018</t>
        </r>
      </text>
    </comment>
    <comment ref="Y81" authorId="0" shapeId="0" xr:uid="{00000000-0006-0000-0200-0000A1190000}">
      <text>
        <r>
          <rPr>
            <sz val="9"/>
            <color indexed="81"/>
            <rFont val="Tahoma"/>
            <charset val="1"/>
          </rPr>
          <t>Stability=10,Expiration=6/6/2019</t>
        </r>
      </text>
    </comment>
    <comment ref="Z81" authorId="0" shapeId="0" xr:uid="{00000000-0006-0000-0200-0000A2190000}">
      <text>
        <r>
          <rPr>
            <sz val="9"/>
            <color indexed="81"/>
            <rFont val="Tahoma"/>
            <charset val="1"/>
          </rPr>
          <t>Stability=27,Expiration=1/31/2019</t>
        </r>
      </text>
    </comment>
    <comment ref="AA81" authorId="0" shapeId="0" xr:uid="{00000000-0006-0000-0200-0000A3190000}">
      <text>
        <r>
          <rPr>
            <sz val="9"/>
            <color indexed="81"/>
            <rFont val="Tahoma"/>
            <charset val="1"/>
          </rPr>
          <t>Stability=8,Expiration=3/14/2019</t>
        </r>
      </text>
    </comment>
    <comment ref="AB81" authorId="0" shapeId="0" xr:uid="{00000000-0006-0000-0200-0000A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81" authorId="0" shapeId="0" xr:uid="{00000000-0006-0000-0200-0000A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81" authorId="0" shapeId="0" xr:uid="{00000000-0006-0000-0200-0000A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81" authorId="0" shapeId="0" xr:uid="{00000000-0006-0000-0200-0000A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81" authorId="0" shapeId="0" xr:uid="{00000000-0006-0000-0200-0000A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81" authorId="0" shapeId="0" xr:uid="{00000000-0006-0000-0200-0000A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81" authorId="0" shapeId="0" xr:uid="{00000000-0006-0000-0200-0000A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81" authorId="0" shapeId="0" xr:uid="{00000000-0006-0000-0200-0000A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81" authorId="0" shapeId="0" xr:uid="{00000000-0006-0000-0200-0000A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81" authorId="0" shapeId="0" xr:uid="{00000000-0006-0000-0200-0000A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1" authorId="0" shapeId="0" xr:uid="{00000000-0006-0000-0200-0000A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1" authorId="0" shapeId="0" xr:uid="{00000000-0006-0000-0200-0000A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1" authorId="0" shapeId="0" xr:uid="{00000000-0006-0000-0200-0000B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1" authorId="0" shapeId="0" xr:uid="{00000000-0006-0000-0200-0000B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1" authorId="0" shapeId="0" xr:uid="{00000000-0006-0000-0200-0000B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1" authorId="0" shapeId="0" xr:uid="{00000000-0006-0000-0200-0000B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81" authorId="0" shapeId="0" xr:uid="{00000000-0006-0000-0200-0000B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81" authorId="0" shapeId="0" xr:uid="{00000000-0006-0000-0200-0000B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1" authorId="0" shapeId="0" xr:uid="{00000000-0006-0000-0200-0000B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81" authorId="0" shapeId="0" xr:uid="{00000000-0006-0000-0200-0000B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1" authorId="0" shapeId="0" xr:uid="{00000000-0006-0000-0200-0000B8190000}">
      <text>
        <r>
          <rPr>
            <sz val="9"/>
            <color indexed="81"/>
            <rFont val="Tahoma"/>
            <charset val="1"/>
          </rPr>
          <t>Stability=27,Expiration=9/25/2018</t>
        </r>
      </text>
    </comment>
    <comment ref="A82" authorId="0" shapeId="0" xr:uid="{00000000-0006-0000-0200-0000B9190000}">
      <text>
        <r>
          <rPr>
            <sz val="9"/>
            <color indexed="81"/>
            <rFont val="Tahoma"/>
            <charset val="1"/>
          </rPr>
          <t>Date macro run: 7/27/2018 8:18:35 PM</t>
        </r>
      </text>
    </comment>
    <comment ref="B82" authorId="0" shapeId="0" xr:uid="{00000000-0006-0000-0200-0000BA190000}">
      <text>
        <r>
          <rPr>
            <sz val="9"/>
            <color indexed="81"/>
            <rFont val="Tahoma"/>
            <charset val="1"/>
          </rPr>
          <t>Stability=37,Expiration=5/9/2019</t>
        </r>
      </text>
    </comment>
    <comment ref="C82" authorId="0" shapeId="0" xr:uid="{00000000-0006-0000-0200-0000BB190000}">
      <text>
        <r>
          <rPr>
            <sz val="9"/>
            <color indexed="81"/>
            <rFont val="Tahoma"/>
            <charset val="1"/>
          </rPr>
          <t>Stability=7,Expiration=2/24/2019</t>
        </r>
      </text>
    </comment>
    <comment ref="D82" authorId="0" shapeId="0" xr:uid="{00000000-0006-0000-0200-0000BC190000}">
      <text>
        <r>
          <rPr>
            <sz val="9"/>
            <color indexed="81"/>
            <rFont val="Tahoma"/>
            <charset val="1"/>
          </rPr>
          <t>Stability=5,Expiration=11/23/2018</t>
        </r>
      </text>
    </comment>
    <comment ref="E82" authorId="0" shapeId="0" xr:uid="{00000000-0006-0000-0200-0000BD190000}">
      <text>
        <r>
          <rPr>
            <sz val="9"/>
            <color indexed="81"/>
            <rFont val="Tahoma"/>
            <charset val="1"/>
          </rPr>
          <t>Stability=13,Expiration=4/30/2019</t>
        </r>
      </text>
    </comment>
    <comment ref="F82" authorId="0" shapeId="0" xr:uid="{00000000-0006-0000-0200-0000BE190000}">
      <text>
        <r>
          <rPr>
            <sz val="9"/>
            <color indexed="81"/>
            <rFont val="Tahoma"/>
            <charset val="1"/>
          </rPr>
          <t>Stability=11,Expiration=12/27/2018</t>
        </r>
      </text>
    </comment>
    <comment ref="G82" authorId="0" shapeId="0" xr:uid="{00000000-0006-0000-0200-0000BF190000}">
      <text>
        <r>
          <rPr>
            <sz val="9"/>
            <color indexed="81"/>
            <rFont val="Tahoma"/>
            <charset val="1"/>
          </rPr>
          <t>Stability=23,Expiration=10/31/2018</t>
        </r>
      </text>
    </comment>
    <comment ref="H82" authorId="0" shapeId="0" xr:uid="{00000000-0006-0000-0200-0000C0190000}">
      <text>
        <r>
          <rPr>
            <sz val="9"/>
            <color indexed="81"/>
            <rFont val="Tahoma"/>
            <charset val="1"/>
          </rPr>
          <t>Stability=9,Expiration=6/30/2019</t>
        </r>
      </text>
    </comment>
    <comment ref="I82" authorId="0" shapeId="0" xr:uid="{00000000-0006-0000-0200-0000C1190000}">
      <text>
        <r>
          <rPr>
            <sz val="9"/>
            <color indexed="81"/>
            <rFont val="Tahoma"/>
            <charset val="1"/>
          </rPr>
          <t>Stability=18,Expiration=7/18/2018</t>
        </r>
      </text>
    </comment>
    <comment ref="J82" authorId="0" shapeId="0" xr:uid="{00000000-0006-0000-0200-0000C2190000}">
      <text>
        <r>
          <rPr>
            <sz val="9"/>
            <color indexed="81"/>
            <rFont val="Tahoma"/>
            <charset val="1"/>
          </rPr>
          <t>Stability=6,Expiration=7/3/2018</t>
        </r>
      </text>
    </comment>
    <comment ref="K82" authorId="0" shapeId="0" xr:uid="{00000000-0006-0000-0200-0000C3190000}">
      <text>
        <r>
          <rPr>
            <sz val="9"/>
            <color indexed="81"/>
            <rFont val="Tahoma"/>
            <charset val="1"/>
          </rPr>
          <t>Stability=9,Expiration=7/31/2018</t>
        </r>
      </text>
    </comment>
    <comment ref="L82" authorId="0" shapeId="0" xr:uid="{00000000-0006-0000-0200-0000C4190000}">
      <text>
        <r>
          <rPr>
            <sz val="9"/>
            <color indexed="81"/>
            <rFont val="Tahoma"/>
            <charset val="1"/>
          </rPr>
          <t>Stability=3,Expiration=5/13/2019</t>
        </r>
      </text>
    </comment>
    <comment ref="M82" authorId="0" shapeId="0" xr:uid="{00000000-0006-0000-0200-0000C5190000}">
      <text>
        <r>
          <rPr>
            <sz val="9"/>
            <color indexed="81"/>
            <rFont val="Tahoma"/>
            <charset val="1"/>
          </rPr>
          <t>Stability=27,Expiration=10/31/2018</t>
        </r>
      </text>
    </comment>
    <comment ref="N82" authorId="0" shapeId="0" xr:uid="{00000000-0006-0000-0200-0000C6190000}">
      <text>
        <r>
          <rPr>
            <sz val="9"/>
            <color indexed="81"/>
            <rFont val="Tahoma"/>
            <charset val="1"/>
          </rPr>
          <t>Stability=23,Expiration=11/30/2018</t>
        </r>
      </text>
    </comment>
    <comment ref="O82" authorId="0" shapeId="0" xr:uid="{00000000-0006-0000-0200-0000C7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82" authorId="0" shapeId="0" xr:uid="{00000000-0006-0000-0200-0000C8190000}">
      <text>
        <r>
          <rPr>
            <sz val="9"/>
            <color indexed="81"/>
            <rFont val="Tahoma"/>
            <charset val="1"/>
          </rPr>
          <t>Stability=19,Expiration=1/29/2020</t>
        </r>
      </text>
    </comment>
    <comment ref="Q82" authorId="0" shapeId="0" xr:uid="{00000000-0006-0000-0200-0000C9190000}">
      <text>
        <r>
          <rPr>
            <sz val="9"/>
            <color indexed="81"/>
            <rFont val="Tahoma"/>
            <charset val="1"/>
          </rPr>
          <t>Stability=8,Expiration=2/6/2019</t>
        </r>
      </text>
    </comment>
    <comment ref="R82" authorId="0" shapeId="0" xr:uid="{00000000-0006-0000-0200-0000CA190000}">
      <text>
        <r>
          <rPr>
            <sz val="9"/>
            <color indexed="81"/>
            <rFont val="Tahoma"/>
            <charset val="1"/>
          </rPr>
          <t>Stability=51,Expiration=7/14/2018</t>
        </r>
      </text>
    </comment>
    <comment ref="S82" authorId="0" shapeId="0" xr:uid="{00000000-0006-0000-0200-0000C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82" authorId="0" shapeId="0" xr:uid="{00000000-0006-0000-0200-0000CC190000}">
      <text>
        <r>
          <rPr>
            <sz val="9"/>
            <color indexed="81"/>
            <rFont val="Tahoma"/>
            <charset val="1"/>
          </rPr>
          <t>Stability=3,Expiration=8/14/2018</t>
        </r>
      </text>
    </comment>
    <comment ref="U82" authorId="0" shapeId="0" xr:uid="{00000000-0006-0000-0200-0000CD190000}">
      <text>
        <r>
          <rPr>
            <sz val="9"/>
            <color indexed="81"/>
            <rFont val="Tahoma"/>
            <charset val="1"/>
          </rPr>
          <t>Stability=23,Expiration=1/11/2019</t>
        </r>
      </text>
    </comment>
    <comment ref="V82" authorId="0" shapeId="0" xr:uid="{00000000-0006-0000-0200-0000CE190000}">
      <text>
        <r>
          <rPr>
            <sz val="9"/>
            <color indexed="81"/>
            <rFont val="Tahoma"/>
            <charset val="1"/>
          </rPr>
          <t>Stability=14,Expiration=12/6/2018</t>
        </r>
      </text>
    </comment>
    <comment ref="W82" authorId="0" shapeId="0" xr:uid="{00000000-0006-0000-0200-0000CF190000}">
      <text>
        <r>
          <rPr>
            <sz val="9"/>
            <color indexed="81"/>
            <rFont val="Tahoma"/>
            <charset val="1"/>
          </rPr>
          <t>Stability=0,Expiration=6/30/2019</t>
        </r>
      </text>
    </comment>
    <comment ref="X82" authorId="0" shapeId="0" xr:uid="{00000000-0006-0000-0200-0000D0190000}">
      <text>
        <r>
          <rPr>
            <sz val="9"/>
            <color indexed="81"/>
            <rFont val="Tahoma"/>
            <charset val="1"/>
          </rPr>
          <t>Stability=19,Expiration=11/4/2018</t>
        </r>
      </text>
    </comment>
    <comment ref="Y82" authorId="0" shapeId="0" xr:uid="{00000000-0006-0000-0200-0000D1190000}">
      <text>
        <r>
          <rPr>
            <sz val="9"/>
            <color indexed="81"/>
            <rFont val="Tahoma"/>
            <charset val="1"/>
          </rPr>
          <t>Stability=8,Expiration=6/6/2019</t>
        </r>
      </text>
    </comment>
    <comment ref="Z82" authorId="0" shapeId="0" xr:uid="{00000000-0006-0000-0200-0000D2190000}">
      <text>
        <r>
          <rPr>
            <sz val="9"/>
            <color indexed="81"/>
            <rFont val="Tahoma"/>
            <charset val="1"/>
          </rPr>
          <t>Stability=25,Expiration=1/31/2019</t>
        </r>
      </text>
    </comment>
    <comment ref="AA82" authorId="0" shapeId="0" xr:uid="{00000000-0006-0000-0200-0000D3190000}">
      <text>
        <r>
          <rPr>
            <sz val="9"/>
            <color indexed="81"/>
            <rFont val="Tahoma"/>
            <charset val="1"/>
          </rPr>
          <t>Stability=6,Expiration=3/14/2019</t>
        </r>
      </text>
    </comment>
    <comment ref="AB82" authorId="0" shapeId="0" xr:uid="{00000000-0006-0000-0200-0000D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82" authorId="0" shapeId="0" xr:uid="{00000000-0006-0000-0200-0000D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82" authorId="0" shapeId="0" xr:uid="{00000000-0006-0000-0200-0000D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82" authorId="0" shapeId="0" xr:uid="{00000000-0006-0000-0200-0000D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82" authorId="0" shapeId="0" xr:uid="{00000000-0006-0000-0200-0000D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82" authorId="0" shapeId="0" xr:uid="{00000000-0006-0000-0200-0000D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82" authorId="0" shapeId="0" xr:uid="{00000000-0006-0000-0200-0000D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82" authorId="0" shapeId="0" xr:uid="{00000000-0006-0000-0200-0000D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82" authorId="0" shapeId="0" xr:uid="{00000000-0006-0000-0200-0000D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82" authorId="0" shapeId="0" xr:uid="{00000000-0006-0000-0200-0000D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2" authorId="0" shapeId="0" xr:uid="{00000000-0006-0000-0200-0000D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2" authorId="0" shapeId="0" xr:uid="{00000000-0006-0000-0200-0000D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2" authorId="0" shapeId="0" xr:uid="{00000000-0006-0000-0200-0000E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2" authorId="0" shapeId="0" xr:uid="{00000000-0006-0000-0200-0000E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2" authorId="0" shapeId="0" xr:uid="{00000000-0006-0000-0200-0000E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2" authorId="0" shapeId="0" xr:uid="{00000000-0006-0000-0200-0000E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82" authorId="0" shapeId="0" xr:uid="{00000000-0006-0000-0200-0000E4190000}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82" authorId="0" shapeId="0" xr:uid="{00000000-0006-0000-0200-0000E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2" authorId="0" shapeId="0" xr:uid="{00000000-0006-0000-0200-0000E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82" authorId="0" shapeId="0" xr:uid="{00000000-0006-0000-0200-0000E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2" authorId="0" shapeId="0" xr:uid="{00000000-0006-0000-0200-0000E8190000}">
      <text>
        <r>
          <rPr>
            <sz val="9"/>
            <color indexed="81"/>
            <rFont val="Tahoma"/>
            <charset val="1"/>
          </rPr>
          <t>Stability=25,Expiration=9/25/2018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Ainsworth, Eric</author>
  </authors>
  <commentList>
    <comment ref="B1" authorId="0" shapeId="0" xr:uid="{00000000-0006-0000-0300-000001000000}">
      <text>
        <r>
          <rPr>
            <b/>
            <sz val="9"/>
            <color indexed="81"/>
            <rFont val="Tahoma"/>
            <charset val="1"/>
          </rPr>
          <t xml:space="preserve">TEST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D1" authorId="0" shapeId="0" xr:uid="{00000000-0006-0000-0300-000002000000}">
      <text>
        <r>
          <rPr>
            <b/>
            <sz val="9"/>
            <color indexed="81"/>
            <rFont val="Tahoma"/>
            <charset val="1"/>
          </rPr>
          <t xml:space="preserve">RETIRED
</t>
        </r>
      </text>
    </comment>
    <comment ref="BF1" authorId="0" shapeId="0" xr:uid="{00000000-0006-0000-0300-000003000000}">
      <text>
        <r>
          <rPr>
            <b/>
            <sz val="9"/>
            <color indexed="81"/>
            <rFont val="Tahoma"/>
            <charset val="1"/>
          </rPr>
          <t xml:space="preserve">RETIRED
</t>
        </r>
      </text>
    </comment>
    <comment ref="BR1" authorId="0" shapeId="0" xr:uid="{00000000-0006-0000-0300-000004000000}">
      <text>
        <r>
          <rPr>
            <sz val="9"/>
            <color indexed="81"/>
            <rFont val="Tahoma"/>
            <charset val="1"/>
          </rPr>
          <t xml:space="preserve">
</t>
        </r>
      </text>
    </comment>
    <comment ref="H2" authorId="0" shapeId="0" xr:uid="{00000000-0006-0000-0300-000005000000}">
      <text>
        <r>
          <rPr>
            <b/>
            <sz val="9"/>
            <color indexed="81"/>
            <rFont val="Tahoma"/>
            <charset val="1"/>
          </rPr>
          <t>Ainsworth, Eric:</t>
        </r>
        <r>
          <rPr>
            <sz val="9"/>
            <color indexed="81"/>
            <rFont val="Tahoma"/>
            <charset val="1"/>
          </rPr>
          <t xml:space="preserve">
,,had to deduct down 5 since terri threw away half a box but they were gonna expire soon anyway</t>
        </r>
      </text>
    </comment>
    <comment ref="T2" authorId="0" shapeId="0" xr:uid="{00000000-0006-0000-0300-000006000000}">
      <text>
        <r>
          <rPr>
            <b/>
            <sz val="9"/>
            <color indexed="81"/>
            <rFont val="Tahoma"/>
            <charset val="1"/>
          </rPr>
          <t>Ainsworth, Eric:</t>
        </r>
        <r>
          <rPr>
            <sz val="9"/>
            <color indexed="81"/>
            <rFont val="Tahoma"/>
            <charset val="1"/>
          </rPr>
          <t xml:space="preserve">
reduced by 2 due to 2 expiring on 1/5/18</t>
        </r>
      </text>
    </comment>
    <comment ref="W2" authorId="0" shapeId="0" xr:uid="{00000000-0006-0000-0300-000007000000}">
      <text>
        <r>
          <rPr>
            <sz val="9"/>
            <color indexed="81"/>
            <rFont val="Tahoma"/>
            <charset val="1"/>
          </rPr>
          <t xml:space="preserve">
Originally started with 22 on October 25 2017 we gave 10 to Elena.
Values adjusted.
Great-also had to deduct 2 because lot expired before using all. 1/3/2018
and again on 1/31 expired 4</t>
        </r>
      </text>
    </comment>
    <comment ref="AI2" authorId="0" shapeId="0" xr:uid="{00000000-0006-0000-0300-000008000000}">
      <text>
        <r>
          <rPr>
            <b/>
            <sz val="9"/>
            <color indexed="81"/>
            <rFont val="Tahoma"/>
            <charset val="1"/>
          </rPr>
          <t>Ainsworth, Eric:</t>
        </r>
        <r>
          <rPr>
            <sz val="9"/>
            <color indexed="81"/>
            <rFont val="Tahoma"/>
            <charset val="1"/>
          </rPr>
          <t xml:space="preserve">
had to deduct down 2 due to expiring 1/9/2018</t>
        </r>
      </text>
    </comment>
    <comment ref="A17" authorId="0" shapeId="0" xr:uid="{00000000-0006-0000-0300-000009000000}">
      <text>
        <r>
          <rPr>
            <sz val="9"/>
            <color indexed="81"/>
            <rFont val="Tahoma"/>
            <charset val="1"/>
          </rPr>
          <t>Date macro run: 9/13/2017 4:46:09 PM</t>
        </r>
      </text>
    </comment>
    <comment ref="B17" authorId="0" shapeId="0" xr:uid="{00000000-0006-0000-0300-00000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17" authorId="0" shapeId="0" xr:uid="{00000000-0006-0000-0300-00000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17" authorId="0" shapeId="0" xr:uid="{00000000-0006-0000-0300-00000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17" authorId="0" shapeId="0" xr:uid="{00000000-0006-0000-0300-00000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17" authorId="0" shapeId="0" xr:uid="{00000000-0006-0000-0300-00000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17" authorId="0" shapeId="0" xr:uid="{00000000-0006-0000-0300-00000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17" authorId="0" shapeId="0" xr:uid="{00000000-0006-0000-0300-00001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17" authorId="0" shapeId="0" xr:uid="{00000000-0006-0000-0300-00001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17" authorId="0" shapeId="0" xr:uid="{00000000-0006-0000-0300-00001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17" authorId="0" shapeId="0" xr:uid="{00000000-0006-0000-0300-00001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17" authorId="0" shapeId="0" xr:uid="{00000000-0006-0000-0300-00001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17" authorId="0" shapeId="0" xr:uid="{00000000-0006-0000-0300-00001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17" authorId="0" shapeId="0" xr:uid="{00000000-0006-0000-0300-00001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17" authorId="0" shapeId="0" xr:uid="{00000000-0006-0000-0300-00001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17" authorId="0" shapeId="0" xr:uid="{00000000-0006-0000-0300-00001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17" authorId="0" shapeId="0" xr:uid="{00000000-0006-0000-0300-00001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17" authorId="0" shapeId="0" xr:uid="{00000000-0006-0000-0300-00001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17" authorId="0" shapeId="0" xr:uid="{00000000-0006-0000-0300-00001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7" authorId="0" shapeId="0" xr:uid="{00000000-0006-0000-0300-00001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17" authorId="0" shapeId="0" xr:uid="{00000000-0006-0000-0300-00001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17" authorId="0" shapeId="0" xr:uid="{00000000-0006-0000-0300-00001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17" authorId="0" shapeId="0" xr:uid="{00000000-0006-0000-0300-00001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17" authorId="0" shapeId="0" xr:uid="{00000000-0006-0000-0300-00002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17" authorId="0" shapeId="0" xr:uid="{00000000-0006-0000-0300-00002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17" authorId="0" shapeId="0" xr:uid="{00000000-0006-0000-0300-00002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17" authorId="0" shapeId="0" xr:uid="{00000000-0006-0000-0300-00002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17" authorId="0" shapeId="0" xr:uid="{00000000-0006-0000-0300-00002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7" authorId="0" shapeId="0" xr:uid="{00000000-0006-0000-0300-00002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7" authorId="0" shapeId="0" xr:uid="{00000000-0006-0000-0300-00002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7" authorId="0" shapeId="0" xr:uid="{00000000-0006-0000-0300-00002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7" authorId="0" shapeId="0" xr:uid="{00000000-0006-0000-0300-00002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7" authorId="0" shapeId="0" xr:uid="{00000000-0006-0000-0300-00002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7" authorId="0" shapeId="0" xr:uid="{00000000-0006-0000-0300-00002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7" authorId="0" shapeId="0" xr:uid="{00000000-0006-0000-0300-00002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7" authorId="0" shapeId="0" xr:uid="{00000000-0006-0000-0300-00002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7" authorId="0" shapeId="0" xr:uid="{00000000-0006-0000-0300-00002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7" authorId="0" shapeId="0" xr:uid="{00000000-0006-0000-0300-00002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7" authorId="0" shapeId="0" xr:uid="{00000000-0006-0000-0300-00002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7" authorId="0" shapeId="0" xr:uid="{00000000-0006-0000-0300-00003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7" authorId="0" shapeId="0" xr:uid="{00000000-0006-0000-0300-00003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7" authorId="0" shapeId="0" xr:uid="{00000000-0006-0000-0300-00003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7" authorId="0" shapeId="0" xr:uid="{00000000-0006-0000-0300-00003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7" authorId="0" shapeId="0" xr:uid="{00000000-0006-0000-0300-00003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17" authorId="0" shapeId="0" xr:uid="{00000000-0006-0000-0300-00003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7" authorId="0" shapeId="0" xr:uid="{00000000-0006-0000-0300-00003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7" authorId="0" shapeId="0" xr:uid="{00000000-0006-0000-0300-00003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18" authorId="0" shapeId="0" xr:uid="{00000000-0006-0000-0300-000038000000}">
      <text>
        <r>
          <rPr>
            <sz val="9"/>
            <color indexed="81"/>
            <rFont val="Tahoma"/>
            <charset val="1"/>
          </rPr>
          <t>Date macro run: 9/13/2017 10:38:10 PM</t>
        </r>
      </text>
    </comment>
    <comment ref="B18" authorId="0" shapeId="0" xr:uid="{00000000-0006-0000-0300-00003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18" authorId="0" shapeId="0" xr:uid="{00000000-0006-0000-0300-00003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18" authorId="0" shapeId="0" xr:uid="{00000000-0006-0000-0300-00003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18" authorId="0" shapeId="0" xr:uid="{00000000-0006-0000-0300-00003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18" authorId="0" shapeId="0" xr:uid="{00000000-0006-0000-0300-00003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18" authorId="0" shapeId="0" xr:uid="{00000000-0006-0000-0300-00003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18" authorId="0" shapeId="0" xr:uid="{00000000-0006-0000-0300-00003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18" authorId="0" shapeId="0" xr:uid="{00000000-0006-0000-0300-00004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18" authorId="0" shapeId="0" xr:uid="{00000000-0006-0000-0300-00004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18" authorId="0" shapeId="0" xr:uid="{00000000-0006-0000-0300-00004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18" authorId="0" shapeId="0" xr:uid="{00000000-0006-0000-0300-00004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18" authorId="0" shapeId="0" xr:uid="{00000000-0006-0000-0300-00004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18" authorId="0" shapeId="0" xr:uid="{00000000-0006-0000-0300-00004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18" authorId="0" shapeId="0" xr:uid="{00000000-0006-0000-0300-00004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18" authorId="0" shapeId="0" xr:uid="{00000000-0006-0000-0300-00004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18" authorId="0" shapeId="0" xr:uid="{00000000-0006-0000-0300-00004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18" authorId="0" shapeId="0" xr:uid="{00000000-0006-0000-0300-00004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18" authorId="0" shapeId="0" xr:uid="{00000000-0006-0000-0300-00004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8" authorId="0" shapeId="0" xr:uid="{00000000-0006-0000-0300-00004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18" authorId="0" shapeId="0" xr:uid="{00000000-0006-0000-0300-00004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18" authorId="0" shapeId="0" xr:uid="{00000000-0006-0000-0300-00004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18" authorId="0" shapeId="0" xr:uid="{00000000-0006-0000-0300-00004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18" authorId="0" shapeId="0" xr:uid="{00000000-0006-0000-0300-00004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18" authorId="0" shapeId="0" xr:uid="{00000000-0006-0000-0300-00005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18" authorId="0" shapeId="0" xr:uid="{00000000-0006-0000-0300-00005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18" authorId="0" shapeId="0" xr:uid="{00000000-0006-0000-0300-00005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18" authorId="0" shapeId="0" xr:uid="{00000000-0006-0000-0300-00005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8" authorId="0" shapeId="0" xr:uid="{00000000-0006-0000-0300-00005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8" authorId="0" shapeId="0" xr:uid="{00000000-0006-0000-0300-00005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8" authorId="0" shapeId="0" xr:uid="{00000000-0006-0000-0300-00005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8" authorId="0" shapeId="0" xr:uid="{00000000-0006-0000-0300-00005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8" authorId="0" shapeId="0" xr:uid="{00000000-0006-0000-0300-00005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8" authorId="0" shapeId="0" xr:uid="{00000000-0006-0000-0300-00005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8" authorId="0" shapeId="0" xr:uid="{00000000-0006-0000-0300-00005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8" authorId="0" shapeId="0" xr:uid="{00000000-0006-0000-0300-00005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8" authorId="0" shapeId="0" xr:uid="{00000000-0006-0000-0300-00005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8" authorId="0" shapeId="0" xr:uid="{00000000-0006-0000-0300-00005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8" authorId="0" shapeId="0" xr:uid="{00000000-0006-0000-0300-00005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8" authorId="0" shapeId="0" xr:uid="{00000000-0006-0000-0300-00005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8" authorId="0" shapeId="0" xr:uid="{00000000-0006-0000-0300-00006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8" authorId="0" shapeId="0" xr:uid="{00000000-0006-0000-0300-00006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8" authorId="0" shapeId="0" xr:uid="{00000000-0006-0000-0300-00006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8" authorId="0" shapeId="0" xr:uid="{00000000-0006-0000-0300-00006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18" authorId="0" shapeId="0" xr:uid="{00000000-0006-0000-0300-00006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8" authorId="0" shapeId="0" xr:uid="{00000000-0006-0000-0300-00006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8" authorId="0" shapeId="0" xr:uid="{00000000-0006-0000-0300-00006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19" authorId="0" shapeId="0" xr:uid="{00000000-0006-0000-0300-000067000000}">
      <text>
        <r>
          <rPr>
            <sz val="9"/>
            <color indexed="81"/>
            <rFont val="Tahoma"/>
            <charset val="1"/>
          </rPr>
          <t>Date macro run: 9/14/2017 10:37:36 PM</t>
        </r>
      </text>
    </comment>
    <comment ref="B19" authorId="0" shapeId="0" xr:uid="{00000000-0006-0000-0300-00006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19" authorId="0" shapeId="0" xr:uid="{00000000-0006-0000-0300-00006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19" authorId="0" shapeId="0" xr:uid="{00000000-0006-0000-0300-00006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19" authorId="0" shapeId="0" xr:uid="{00000000-0006-0000-0300-00006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19" authorId="0" shapeId="0" xr:uid="{00000000-0006-0000-0300-00006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19" authorId="0" shapeId="0" xr:uid="{00000000-0006-0000-0300-00006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19" authorId="0" shapeId="0" xr:uid="{00000000-0006-0000-0300-00006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19" authorId="0" shapeId="0" xr:uid="{00000000-0006-0000-0300-00006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19" authorId="0" shapeId="0" xr:uid="{00000000-0006-0000-0300-00007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19" authorId="0" shapeId="0" xr:uid="{00000000-0006-0000-0300-00007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19" authorId="0" shapeId="0" xr:uid="{00000000-0006-0000-0300-00007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19" authorId="0" shapeId="0" xr:uid="{00000000-0006-0000-0300-00007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19" authorId="0" shapeId="0" xr:uid="{00000000-0006-0000-0300-00007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19" authorId="0" shapeId="0" xr:uid="{00000000-0006-0000-0300-00007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19" authorId="0" shapeId="0" xr:uid="{00000000-0006-0000-0300-00007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19" authorId="0" shapeId="0" xr:uid="{00000000-0006-0000-0300-00007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19" authorId="0" shapeId="0" xr:uid="{00000000-0006-0000-0300-00007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19" authorId="0" shapeId="0" xr:uid="{00000000-0006-0000-0300-00007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19" authorId="0" shapeId="0" xr:uid="{00000000-0006-0000-0300-00007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19" authorId="0" shapeId="0" xr:uid="{00000000-0006-0000-0300-00007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19" authorId="0" shapeId="0" xr:uid="{00000000-0006-0000-0300-00007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19" authorId="0" shapeId="0" xr:uid="{00000000-0006-0000-0300-00007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19" authorId="0" shapeId="0" xr:uid="{00000000-0006-0000-0300-00007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19" authorId="0" shapeId="0" xr:uid="{00000000-0006-0000-0300-00007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19" authorId="0" shapeId="0" xr:uid="{00000000-0006-0000-0300-00008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19" authorId="0" shapeId="0" xr:uid="{00000000-0006-0000-0300-00008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19" authorId="0" shapeId="0" xr:uid="{00000000-0006-0000-0300-00008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19" authorId="0" shapeId="0" xr:uid="{00000000-0006-0000-0300-00008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19" authorId="0" shapeId="0" xr:uid="{00000000-0006-0000-0300-00008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19" authorId="0" shapeId="0" xr:uid="{00000000-0006-0000-0300-00008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19" authorId="0" shapeId="0" xr:uid="{00000000-0006-0000-0300-00008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19" authorId="0" shapeId="0" xr:uid="{00000000-0006-0000-0300-00008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19" authorId="0" shapeId="0" xr:uid="{00000000-0006-0000-0300-00008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19" authorId="0" shapeId="0" xr:uid="{00000000-0006-0000-0300-00008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19" authorId="0" shapeId="0" xr:uid="{00000000-0006-0000-0300-00008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19" authorId="0" shapeId="0" xr:uid="{00000000-0006-0000-0300-00008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9" authorId="0" shapeId="0" xr:uid="{00000000-0006-0000-0300-00008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9" authorId="0" shapeId="0" xr:uid="{00000000-0006-0000-0300-00008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9" authorId="0" shapeId="0" xr:uid="{00000000-0006-0000-0300-00008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9" authorId="0" shapeId="0" xr:uid="{00000000-0006-0000-0300-00008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9" authorId="0" shapeId="0" xr:uid="{00000000-0006-0000-0300-00009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9" authorId="0" shapeId="0" xr:uid="{00000000-0006-0000-0300-00009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19" authorId="0" shapeId="0" xr:uid="{00000000-0006-0000-0300-00009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19" authorId="0" shapeId="0" xr:uid="{00000000-0006-0000-0300-00009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9" authorId="0" shapeId="0" xr:uid="{00000000-0006-0000-0300-00009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19" authorId="0" shapeId="0" xr:uid="{00000000-0006-0000-0300-00009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0" authorId="0" shapeId="0" xr:uid="{00000000-0006-0000-0300-000096000000}">
      <text>
        <r>
          <rPr>
            <sz val="9"/>
            <color indexed="81"/>
            <rFont val="Tahoma"/>
            <charset val="1"/>
          </rPr>
          <t>Date macro run: 9/15/2017 10:38:45 PM</t>
        </r>
      </text>
    </comment>
    <comment ref="B20" authorId="0" shapeId="0" xr:uid="{00000000-0006-0000-0300-00009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0" authorId="0" shapeId="0" xr:uid="{00000000-0006-0000-0300-00009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0" authorId="0" shapeId="0" xr:uid="{00000000-0006-0000-0300-00009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0" authorId="0" shapeId="0" xr:uid="{00000000-0006-0000-0300-00009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0" authorId="0" shapeId="0" xr:uid="{00000000-0006-0000-0300-00009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0" authorId="0" shapeId="0" xr:uid="{00000000-0006-0000-0300-00009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0" authorId="0" shapeId="0" xr:uid="{00000000-0006-0000-0300-00009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0" authorId="0" shapeId="0" xr:uid="{00000000-0006-0000-0300-00009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0" authorId="0" shapeId="0" xr:uid="{00000000-0006-0000-0300-00009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0" authorId="0" shapeId="0" xr:uid="{00000000-0006-0000-0300-0000A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0" authorId="0" shapeId="0" xr:uid="{00000000-0006-0000-0300-0000A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0" authorId="0" shapeId="0" xr:uid="{00000000-0006-0000-0300-0000A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0" authorId="0" shapeId="0" xr:uid="{00000000-0006-0000-0300-0000A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0" authorId="0" shapeId="0" xr:uid="{00000000-0006-0000-0300-0000A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0" authorId="0" shapeId="0" xr:uid="{00000000-0006-0000-0300-0000A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0" authorId="0" shapeId="0" xr:uid="{00000000-0006-0000-0300-0000A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0" authorId="0" shapeId="0" xr:uid="{00000000-0006-0000-0300-0000A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0" authorId="0" shapeId="0" xr:uid="{00000000-0006-0000-0300-0000A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0" authorId="0" shapeId="0" xr:uid="{00000000-0006-0000-0300-0000A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0" authorId="0" shapeId="0" xr:uid="{00000000-0006-0000-0300-0000A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0" authorId="0" shapeId="0" xr:uid="{00000000-0006-0000-0300-0000A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0" authorId="0" shapeId="0" xr:uid="{00000000-0006-0000-0300-0000A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0" authorId="0" shapeId="0" xr:uid="{00000000-0006-0000-0300-0000A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0" authorId="0" shapeId="0" xr:uid="{00000000-0006-0000-0300-0000A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0" authorId="0" shapeId="0" xr:uid="{00000000-0006-0000-0300-0000A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0" authorId="0" shapeId="0" xr:uid="{00000000-0006-0000-0300-0000B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0" authorId="0" shapeId="0" xr:uid="{00000000-0006-0000-0300-0000B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0" authorId="0" shapeId="0" xr:uid="{00000000-0006-0000-0300-0000B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0" authorId="0" shapeId="0" xr:uid="{00000000-0006-0000-0300-0000B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0" authorId="0" shapeId="0" xr:uid="{00000000-0006-0000-0300-0000B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0" authorId="0" shapeId="0" xr:uid="{00000000-0006-0000-0300-0000B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0" authorId="0" shapeId="0" xr:uid="{00000000-0006-0000-0300-0000B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0" authorId="0" shapeId="0" xr:uid="{00000000-0006-0000-0300-0000B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0" authorId="0" shapeId="0" xr:uid="{00000000-0006-0000-0300-0000B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0" authorId="0" shapeId="0" xr:uid="{00000000-0006-0000-0300-0000B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0" authorId="0" shapeId="0" xr:uid="{00000000-0006-0000-0300-0000B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0" authorId="0" shapeId="0" xr:uid="{00000000-0006-0000-0300-0000B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0" authorId="0" shapeId="0" xr:uid="{00000000-0006-0000-0300-0000B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0" authorId="0" shapeId="0" xr:uid="{00000000-0006-0000-0300-0000B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0" authorId="0" shapeId="0" xr:uid="{00000000-0006-0000-0300-0000B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0" authorId="0" shapeId="0" xr:uid="{00000000-0006-0000-0300-0000B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0" authorId="0" shapeId="0" xr:uid="{00000000-0006-0000-0300-0000C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0" authorId="0" shapeId="0" xr:uid="{00000000-0006-0000-0300-0000C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0" authorId="0" shapeId="0" xr:uid="{00000000-0006-0000-0300-0000C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0" authorId="0" shapeId="0" xr:uid="{00000000-0006-0000-0300-0000C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0" authorId="0" shapeId="0" xr:uid="{00000000-0006-0000-0300-0000C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1" authorId="0" shapeId="0" xr:uid="{00000000-0006-0000-0300-0000C5000000}">
      <text>
        <r>
          <rPr>
            <sz val="9"/>
            <color indexed="81"/>
            <rFont val="Tahoma"/>
            <charset val="1"/>
          </rPr>
          <t>Date macro run: 9/18/2017 10:36:26 PM</t>
        </r>
      </text>
    </comment>
    <comment ref="B21" authorId="0" shapeId="0" xr:uid="{00000000-0006-0000-0300-0000C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1" authorId="0" shapeId="0" xr:uid="{00000000-0006-0000-0300-0000C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1" authorId="0" shapeId="0" xr:uid="{00000000-0006-0000-0300-0000C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1" authorId="0" shapeId="0" xr:uid="{00000000-0006-0000-0300-0000C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1" authorId="0" shapeId="0" xr:uid="{00000000-0006-0000-0300-0000C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1" authorId="0" shapeId="0" xr:uid="{00000000-0006-0000-0300-0000C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1" authorId="0" shapeId="0" xr:uid="{00000000-0006-0000-0300-0000C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1" authorId="0" shapeId="0" xr:uid="{00000000-0006-0000-0300-0000C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1" authorId="0" shapeId="0" xr:uid="{00000000-0006-0000-0300-0000C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1" authorId="0" shapeId="0" xr:uid="{00000000-0006-0000-0300-0000C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1" authorId="0" shapeId="0" xr:uid="{00000000-0006-0000-0300-0000D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1" authorId="0" shapeId="0" xr:uid="{00000000-0006-0000-0300-0000D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1" authorId="0" shapeId="0" xr:uid="{00000000-0006-0000-0300-0000D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1" authorId="0" shapeId="0" xr:uid="{00000000-0006-0000-0300-0000D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1" authorId="0" shapeId="0" xr:uid="{00000000-0006-0000-0300-0000D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1" authorId="0" shapeId="0" xr:uid="{00000000-0006-0000-0300-0000D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1" authorId="0" shapeId="0" xr:uid="{00000000-0006-0000-0300-0000D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1" authorId="0" shapeId="0" xr:uid="{00000000-0006-0000-0300-0000D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1" authorId="0" shapeId="0" xr:uid="{00000000-0006-0000-0300-0000D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1" authorId="0" shapeId="0" xr:uid="{00000000-0006-0000-0300-0000D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1" authorId="0" shapeId="0" xr:uid="{00000000-0006-0000-0300-0000D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1" authorId="0" shapeId="0" xr:uid="{00000000-0006-0000-0300-0000D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1" authorId="0" shapeId="0" xr:uid="{00000000-0006-0000-0300-0000D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1" authorId="0" shapeId="0" xr:uid="{00000000-0006-0000-0300-0000D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1" authorId="0" shapeId="0" xr:uid="{00000000-0006-0000-0300-0000D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1" authorId="0" shapeId="0" xr:uid="{00000000-0006-0000-0300-0000D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1" authorId="0" shapeId="0" xr:uid="{00000000-0006-0000-0300-0000E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1" authorId="0" shapeId="0" xr:uid="{00000000-0006-0000-0300-0000E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1" authorId="0" shapeId="0" xr:uid="{00000000-0006-0000-0300-0000E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1" authorId="0" shapeId="0" xr:uid="{00000000-0006-0000-0300-0000E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1" authorId="0" shapeId="0" xr:uid="{00000000-0006-0000-0300-0000E4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1" authorId="0" shapeId="0" xr:uid="{00000000-0006-0000-0300-0000E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1" authorId="0" shapeId="0" xr:uid="{00000000-0006-0000-0300-0000E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1" authorId="0" shapeId="0" xr:uid="{00000000-0006-0000-0300-0000E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1" authorId="0" shapeId="0" xr:uid="{00000000-0006-0000-0300-0000E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1" authorId="0" shapeId="0" xr:uid="{00000000-0006-0000-0300-0000E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1" authorId="0" shapeId="0" xr:uid="{00000000-0006-0000-0300-0000E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1" authorId="0" shapeId="0" xr:uid="{00000000-0006-0000-0300-0000E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1" authorId="0" shapeId="0" xr:uid="{00000000-0006-0000-0300-0000E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1" authorId="0" shapeId="0" xr:uid="{00000000-0006-0000-0300-0000E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1" authorId="0" shapeId="0" xr:uid="{00000000-0006-0000-0300-0000E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1" authorId="0" shapeId="0" xr:uid="{00000000-0006-0000-0300-0000E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1" authorId="0" shapeId="0" xr:uid="{00000000-0006-0000-0300-0000F0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1" authorId="0" shapeId="0" xr:uid="{00000000-0006-0000-0300-0000F1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1" authorId="0" shapeId="0" xr:uid="{00000000-0006-0000-0300-0000F2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1" authorId="0" shapeId="0" xr:uid="{00000000-0006-0000-0300-0000F3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2" authorId="0" shapeId="0" xr:uid="{00000000-0006-0000-0300-0000F4000000}">
      <text>
        <r>
          <rPr>
            <sz val="9"/>
            <color indexed="81"/>
            <rFont val="Tahoma"/>
            <charset val="1"/>
          </rPr>
          <t>Date macro run: 9/19/2017 10:40:22 PM</t>
        </r>
      </text>
    </comment>
    <comment ref="B22" authorId="0" shapeId="0" xr:uid="{00000000-0006-0000-0300-0000F5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2" authorId="0" shapeId="0" xr:uid="{00000000-0006-0000-0300-0000F6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2" authorId="0" shapeId="0" xr:uid="{00000000-0006-0000-0300-0000F7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2" authorId="0" shapeId="0" xr:uid="{00000000-0006-0000-0300-0000F8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2" authorId="0" shapeId="0" xr:uid="{00000000-0006-0000-0300-0000F9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2" authorId="0" shapeId="0" xr:uid="{00000000-0006-0000-0300-0000FA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2" authorId="0" shapeId="0" xr:uid="{00000000-0006-0000-0300-0000FB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2" authorId="0" shapeId="0" xr:uid="{00000000-0006-0000-0300-0000FC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2" authorId="0" shapeId="0" xr:uid="{00000000-0006-0000-0300-0000FD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2" authorId="0" shapeId="0" xr:uid="{00000000-0006-0000-0300-0000FE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2" authorId="0" shapeId="0" xr:uid="{00000000-0006-0000-0300-0000FF0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2" authorId="0" shapeId="0" xr:uid="{00000000-0006-0000-0300-00000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2" authorId="0" shapeId="0" xr:uid="{00000000-0006-0000-0300-00000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2" authorId="0" shapeId="0" xr:uid="{00000000-0006-0000-0300-00000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2" authorId="0" shapeId="0" xr:uid="{00000000-0006-0000-0300-00000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2" authorId="0" shapeId="0" xr:uid="{00000000-0006-0000-0300-00000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2" authorId="0" shapeId="0" xr:uid="{00000000-0006-0000-0300-00000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2" authorId="0" shapeId="0" xr:uid="{00000000-0006-0000-0300-00000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2" authorId="0" shapeId="0" xr:uid="{00000000-0006-0000-0300-00000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2" authorId="0" shapeId="0" xr:uid="{00000000-0006-0000-0300-00000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2" authorId="0" shapeId="0" xr:uid="{00000000-0006-0000-0300-00000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2" authorId="0" shapeId="0" xr:uid="{00000000-0006-0000-0300-00000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2" authorId="0" shapeId="0" xr:uid="{00000000-0006-0000-0300-00000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2" authorId="0" shapeId="0" xr:uid="{00000000-0006-0000-0300-00000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2" authorId="0" shapeId="0" xr:uid="{00000000-0006-0000-0300-00000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2" authorId="0" shapeId="0" xr:uid="{00000000-0006-0000-0300-00000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2" authorId="0" shapeId="0" xr:uid="{00000000-0006-0000-0300-00000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2" authorId="0" shapeId="0" xr:uid="{00000000-0006-0000-0300-00001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2" authorId="0" shapeId="0" xr:uid="{00000000-0006-0000-0300-00001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2" authorId="0" shapeId="0" xr:uid="{00000000-0006-0000-0300-00001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2" authorId="0" shapeId="0" xr:uid="{00000000-0006-0000-0300-00001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2" authorId="0" shapeId="0" xr:uid="{00000000-0006-0000-0300-00001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2" authorId="0" shapeId="0" xr:uid="{00000000-0006-0000-0300-00001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2" authorId="0" shapeId="0" xr:uid="{00000000-0006-0000-0300-00001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2" authorId="0" shapeId="0" xr:uid="{00000000-0006-0000-0300-00001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2" authorId="0" shapeId="0" xr:uid="{00000000-0006-0000-0300-00001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2" authorId="0" shapeId="0" xr:uid="{00000000-0006-0000-0300-00001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2" authorId="0" shapeId="0" xr:uid="{00000000-0006-0000-0300-00001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2" authorId="0" shapeId="0" xr:uid="{00000000-0006-0000-0300-00001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2" authorId="0" shapeId="0" xr:uid="{00000000-0006-0000-0300-00001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2" authorId="0" shapeId="0" xr:uid="{00000000-0006-0000-0300-00001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2" authorId="0" shapeId="0" xr:uid="{00000000-0006-0000-0300-00001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2" authorId="0" shapeId="0" xr:uid="{00000000-0006-0000-0300-00001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2" authorId="0" shapeId="0" xr:uid="{00000000-0006-0000-0300-00002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2" authorId="0" shapeId="0" xr:uid="{00000000-0006-0000-0300-00002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2" authorId="0" shapeId="0" xr:uid="{00000000-0006-0000-0300-00002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3" authorId="0" shapeId="0" xr:uid="{00000000-0006-0000-0300-000023010000}">
      <text>
        <r>
          <rPr>
            <sz val="9"/>
            <color indexed="81"/>
            <rFont val="Tahoma"/>
            <charset val="1"/>
          </rPr>
          <t>Date macro run: 9/20/2017 10:43:08 PM</t>
        </r>
      </text>
    </comment>
    <comment ref="B23" authorId="0" shapeId="0" xr:uid="{00000000-0006-0000-0300-00002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3" authorId="0" shapeId="0" xr:uid="{00000000-0006-0000-0300-00002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3" authorId="0" shapeId="0" xr:uid="{00000000-0006-0000-0300-00002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3" authorId="0" shapeId="0" xr:uid="{00000000-0006-0000-0300-00002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3" authorId="0" shapeId="0" xr:uid="{00000000-0006-0000-0300-00002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3" authorId="0" shapeId="0" xr:uid="{00000000-0006-0000-0300-00002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3" authorId="0" shapeId="0" xr:uid="{00000000-0006-0000-0300-00002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3" authorId="0" shapeId="0" xr:uid="{00000000-0006-0000-0300-00002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3" authorId="0" shapeId="0" xr:uid="{00000000-0006-0000-0300-00002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3" authorId="0" shapeId="0" xr:uid="{00000000-0006-0000-0300-00002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3" authorId="0" shapeId="0" xr:uid="{00000000-0006-0000-0300-00002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3" authorId="0" shapeId="0" xr:uid="{00000000-0006-0000-0300-00002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3" authorId="0" shapeId="0" xr:uid="{00000000-0006-0000-0300-00003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3" authorId="0" shapeId="0" xr:uid="{00000000-0006-0000-0300-00003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3" authorId="0" shapeId="0" xr:uid="{00000000-0006-0000-0300-00003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3" authorId="0" shapeId="0" xr:uid="{00000000-0006-0000-0300-00003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3" authorId="0" shapeId="0" xr:uid="{00000000-0006-0000-0300-00003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3" authorId="0" shapeId="0" xr:uid="{00000000-0006-0000-0300-00003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3" authorId="0" shapeId="0" xr:uid="{00000000-0006-0000-0300-00003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3" authorId="0" shapeId="0" xr:uid="{00000000-0006-0000-0300-00003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3" authorId="0" shapeId="0" xr:uid="{00000000-0006-0000-0300-00003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3" authorId="0" shapeId="0" xr:uid="{00000000-0006-0000-0300-00003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3" authorId="0" shapeId="0" xr:uid="{00000000-0006-0000-0300-00003A010000}">
      <text>
        <r>
          <rPr>
            <sz val="9"/>
            <color indexed="81"/>
            <rFont val="Tahoma"/>
            <charset val="1"/>
          </rPr>
          <t>Stability=,Expiration=,Originally had 30 in here but it was tto high by 5</t>
        </r>
      </text>
    </comment>
    <comment ref="Y23" authorId="0" shapeId="0" xr:uid="{00000000-0006-0000-0300-00003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3" authorId="0" shapeId="0" xr:uid="{00000000-0006-0000-0300-00003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3" authorId="0" shapeId="0" xr:uid="{00000000-0006-0000-0300-00003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3" authorId="0" shapeId="0" xr:uid="{00000000-0006-0000-0300-00003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3" authorId="0" shapeId="0" xr:uid="{00000000-0006-0000-0300-00003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3" authorId="0" shapeId="0" xr:uid="{00000000-0006-0000-0300-00004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3" authorId="0" shapeId="0" xr:uid="{00000000-0006-0000-0300-00004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3" authorId="0" shapeId="0" xr:uid="{00000000-0006-0000-0300-00004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3" authorId="0" shapeId="0" xr:uid="{00000000-0006-0000-0300-00004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3" authorId="0" shapeId="0" xr:uid="{00000000-0006-0000-0300-00004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3" authorId="0" shapeId="0" xr:uid="{00000000-0006-0000-0300-00004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3" authorId="0" shapeId="0" xr:uid="{00000000-0006-0000-0300-00004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3" authorId="0" shapeId="0" xr:uid="{00000000-0006-0000-0300-00004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3" authorId="0" shapeId="0" xr:uid="{00000000-0006-0000-0300-00004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3" authorId="0" shapeId="0" xr:uid="{00000000-0006-0000-0300-00004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3" authorId="0" shapeId="0" xr:uid="{00000000-0006-0000-0300-00004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3" authorId="0" shapeId="0" xr:uid="{00000000-0006-0000-0300-00004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3" authorId="0" shapeId="0" xr:uid="{00000000-0006-0000-0300-00004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3" authorId="0" shapeId="0" xr:uid="{00000000-0006-0000-0300-00004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3" authorId="0" shapeId="0" xr:uid="{00000000-0006-0000-0300-00004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3" authorId="0" shapeId="0" xr:uid="{00000000-0006-0000-0300-00004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3" authorId="0" shapeId="0" xr:uid="{00000000-0006-0000-0300-00005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3" authorId="0" shapeId="0" xr:uid="{00000000-0006-0000-0300-00005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4" authorId="0" shapeId="0" xr:uid="{00000000-0006-0000-0300-000052010000}">
      <text>
        <r>
          <rPr>
            <sz val="9"/>
            <color indexed="81"/>
            <rFont val="Tahoma"/>
            <charset val="1"/>
          </rPr>
          <t>Date macro run: 9/21/2017 10:37:17 PM</t>
        </r>
      </text>
    </comment>
    <comment ref="B24" authorId="0" shapeId="0" xr:uid="{00000000-0006-0000-0300-00005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4" authorId="0" shapeId="0" xr:uid="{00000000-0006-0000-0300-00005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4" authorId="0" shapeId="0" xr:uid="{00000000-0006-0000-0300-00005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4" authorId="0" shapeId="0" xr:uid="{00000000-0006-0000-0300-00005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4" authorId="0" shapeId="0" xr:uid="{00000000-0006-0000-0300-00005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4" authorId="0" shapeId="0" xr:uid="{00000000-0006-0000-0300-00005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4" authorId="0" shapeId="0" xr:uid="{00000000-0006-0000-0300-00005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4" authorId="0" shapeId="0" xr:uid="{00000000-0006-0000-0300-00005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4" authorId="0" shapeId="0" xr:uid="{00000000-0006-0000-0300-00005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4" authorId="0" shapeId="0" xr:uid="{00000000-0006-0000-0300-00005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4" authorId="0" shapeId="0" xr:uid="{00000000-0006-0000-0300-00005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4" authorId="0" shapeId="0" xr:uid="{00000000-0006-0000-0300-00005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4" authorId="0" shapeId="0" xr:uid="{00000000-0006-0000-0300-00005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4" authorId="0" shapeId="0" xr:uid="{00000000-0006-0000-0300-00006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4" authorId="0" shapeId="0" xr:uid="{00000000-0006-0000-0300-00006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4" authorId="0" shapeId="0" xr:uid="{00000000-0006-0000-0300-00006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4" authorId="0" shapeId="0" xr:uid="{00000000-0006-0000-0300-00006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4" authorId="0" shapeId="0" xr:uid="{00000000-0006-0000-0300-00006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4" authorId="0" shapeId="0" xr:uid="{00000000-0006-0000-0300-00006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4" authorId="0" shapeId="0" xr:uid="{00000000-0006-0000-0300-00006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4" authorId="0" shapeId="0" xr:uid="{00000000-0006-0000-0300-00006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4" authorId="0" shapeId="0" xr:uid="{00000000-0006-0000-0300-00006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4" authorId="0" shapeId="0" xr:uid="{00000000-0006-0000-0300-00006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4" authorId="0" shapeId="0" xr:uid="{00000000-0006-0000-0300-00006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4" authorId="0" shapeId="0" xr:uid="{00000000-0006-0000-0300-00006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4" authorId="0" shapeId="0" xr:uid="{00000000-0006-0000-0300-00006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4" authorId="0" shapeId="0" xr:uid="{00000000-0006-0000-0300-00006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4" authorId="0" shapeId="0" xr:uid="{00000000-0006-0000-0300-00006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4" authorId="0" shapeId="0" xr:uid="{00000000-0006-0000-0300-00006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4" authorId="0" shapeId="0" xr:uid="{00000000-0006-0000-0300-00007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4" authorId="0" shapeId="0" xr:uid="{00000000-0006-0000-0300-00007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4" authorId="0" shapeId="0" xr:uid="{00000000-0006-0000-0300-00007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4" authorId="0" shapeId="0" xr:uid="{00000000-0006-0000-0300-00007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4" authorId="0" shapeId="0" xr:uid="{00000000-0006-0000-0300-00007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4" authorId="0" shapeId="0" xr:uid="{00000000-0006-0000-0300-00007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4" authorId="0" shapeId="0" xr:uid="{00000000-0006-0000-0300-00007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4" authorId="0" shapeId="0" xr:uid="{00000000-0006-0000-0300-00007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4" authorId="0" shapeId="0" xr:uid="{00000000-0006-0000-0300-00007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4" authorId="0" shapeId="0" xr:uid="{00000000-0006-0000-0300-00007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4" authorId="0" shapeId="0" xr:uid="{00000000-0006-0000-0300-00007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4" authorId="0" shapeId="0" xr:uid="{00000000-0006-0000-0300-00007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4" authorId="0" shapeId="0" xr:uid="{00000000-0006-0000-0300-00007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4" authorId="0" shapeId="0" xr:uid="{00000000-0006-0000-0300-00007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4" authorId="0" shapeId="0" xr:uid="{00000000-0006-0000-0300-00007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4" authorId="0" shapeId="0" xr:uid="{00000000-0006-0000-0300-00007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4" authorId="0" shapeId="0" xr:uid="{00000000-0006-0000-0300-00008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5" authorId="0" shapeId="0" xr:uid="{00000000-0006-0000-0300-000081010000}">
      <text>
        <r>
          <rPr>
            <sz val="9"/>
            <color indexed="81"/>
            <rFont val="Tahoma"/>
            <charset val="1"/>
          </rPr>
          <t>Date macro run: 9/22/2017 10:45:09 PM</t>
        </r>
      </text>
    </comment>
    <comment ref="B25" authorId="0" shapeId="0" xr:uid="{00000000-0006-0000-0300-00008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5" authorId="0" shapeId="0" xr:uid="{00000000-0006-0000-0300-00008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5" authorId="0" shapeId="0" xr:uid="{00000000-0006-0000-0300-00008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5" authorId="0" shapeId="0" xr:uid="{00000000-0006-0000-0300-00008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5" authorId="0" shapeId="0" xr:uid="{00000000-0006-0000-0300-00008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5" authorId="0" shapeId="0" xr:uid="{00000000-0006-0000-0300-00008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5" authorId="0" shapeId="0" xr:uid="{00000000-0006-0000-0300-00008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5" authorId="0" shapeId="0" xr:uid="{00000000-0006-0000-0300-00008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5" authorId="0" shapeId="0" xr:uid="{00000000-0006-0000-0300-00008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5" authorId="0" shapeId="0" xr:uid="{00000000-0006-0000-0300-00008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5" authorId="0" shapeId="0" xr:uid="{00000000-0006-0000-0300-00008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5" authorId="0" shapeId="0" xr:uid="{00000000-0006-0000-0300-00008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5" authorId="0" shapeId="0" xr:uid="{00000000-0006-0000-0300-00008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5" authorId="0" shapeId="0" xr:uid="{00000000-0006-0000-0300-00008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5" authorId="0" shapeId="0" xr:uid="{00000000-0006-0000-0300-00009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5" authorId="0" shapeId="0" xr:uid="{00000000-0006-0000-0300-00009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5" authorId="0" shapeId="0" xr:uid="{00000000-0006-0000-0300-00009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5" authorId="0" shapeId="0" xr:uid="{00000000-0006-0000-0300-00009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5" authorId="0" shapeId="0" xr:uid="{00000000-0006-0000-0300-00009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5" authorId="0" shapeId="0" xr:uid="{00000000-0006-0000-0300-00009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5" authorId="0" shapeId="0" xr:uid="{00000000-0006-0000-0300-00009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5" authorId="0" shapeId="0" xr:uid="{00000000-0006-0000-0300-00009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5" authorId="0" shapeId="0" xr:uid="{00000000-0006-0000-0300-00009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5" authorId="0" shapeId="0" xr:uid="{00000000-0006-0000-0300-00009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5" authorId="0" shapeId="0" xr:uid="{00000000-0006-0000-0300-00009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5" authorId="0" shapeId="0" xr:uid="{00000000-0006-0000-0300-00009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5" authorId="0" shapeId="0" xr:uid="{00000000-0006-0000-0300-00009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5" authorId="0" shapeId="0" xr:uid="{00000000-0006-0000-0300-00009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5" authorId="0" shapeId="0" xr:uid="{00000000-0006-0000-0300-00009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5" authorId="0" shapeId="0" xr:uid="{00000000-0006-0000-0300-00009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5" authorId="0" shapeId="0" xr:uid="{00000000-0006-0000-0300-0000A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5" authorId="0" shapeId="0" xr:uid="{00000000-0006-0000-0300-0000A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5" authorId="0" shapeId="0" xr:uid="{00000000-0006-0000-0300-0000A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5" authorId="0" shapeId="0" xr:uid="{00000000-0006-0000-0300-0000A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5" authorId="0" shapeId="0" xr:uid="{00000000-0006-0000-0300-0000A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5" authorId="0" shapeId="0" xr:uid="{00000000-0006-0000-0300-0000A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5" authorId="0" shapeId="0" xr:uid="{00000000-0006-0000-0300-0000A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5" authorId="0" shapeId="0" xr:uid="{00000000-0006-0000-0300-0000A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5" authorId="0" shapeId="0" xr:uid="{00000000-0006-0000-0300-0000A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5" authorId="0" shapeId="0" xr:uid="{00000000-0006-0000-0300-0000A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5" authorId="0" shapeId="0" xr:uid="{00000000-0006-0000-0300-0000A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5" authorId="0" shapeId="0" xr:uid="{00000000-0006-0000-0300-0000A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5" authorId="0" shapeId="0" xr:uid="{00000000-0006-0000-0300-0000A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5" authorId="0" shapeId="0" xr:uid="{00000000-0006-0000-0300-0000A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5" authorId="0" shapeId="0" xr:uid="{00000000-0006-0000-0300-0000A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5" authorId="0" shapeId="0" xr:uid="{00000000-0006-0000-0300-0000A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6" authorId="0" shapeId="0" xr:uid="{00000000-0006-0000-0300-0000B0010000}">
      <text>
        <r>
          <rPr>
            <sz val="9"/>
            <color indexed="81"/>
            <rFont val="Tahoma"/>
            <charset val="1"/>
          </rPr>
          <t>Date macro run: 9/25/2017 6:27:19 PM</t>
        </r>
      </text>
    </comment>
    <comment ref="B26" authorId="0" shapeId="0" xr:uid="{00000000-0006-0000-0300-0000B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6" authorId="0" shapeId="0" xr:uid="{00000000-0006-0000-0300-0000B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6" authorId="0" shapeId="0" xr:uid="{00000000-0006-0000-0300-0000B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6" authorId="0" shapeId="0" xr:uid="{00000000-0006-0000-0300-0000B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6" authorId="0" shapeId="0" xr:uid="{00000000-0006-0000-0300-0000B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6" authorId="0" shapeId="0" xr:uid="{00000000-0006-0000-0300-0000B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6" authorId="0" shapeId="0" xr:uid="{00000000-0006-0000-0300-0000B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6" authorId="0" shapeId="0" xr:uid="{00000000-0006-0000-0300-0000B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6" authorId="0" shapeId="0" xr:uid="{00000000-0006-0000-0300-0000B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6" authorId="0" shapeId="0" xr:uid="{00000000-0006-0000-0300-0000B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6" authorId="0" shapeId="0" xr:uid="{00000000-0006-0000-0300-0000B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6" authorId="0" shapeId="0" xr:uid="{00000000-0006-0000-0300-0000B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6" authorId="0" shapeId="0" xr:uid="{00000000-0006-0000-0300-0000B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6" authorId="0" shapeId="0" xr:uid="{00000000-0006-0000-0300-0000B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6" authorId="0" shapeId="0" xr:uid="{00000000-0006-0000-0300-0000B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6" authorId="0" shapeId="0" xr:uid="{00000000-0006-0000-0300-0000C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6" authorId="0" shapeId="0" xr:uid="{00000000-0006-0000-0300-0000C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6" authorId="0" shapeId="0" xr:uid="{00000000-0006-0000-0300-0000C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6" authorId="0" shapeId="0" xr:uid="{00000000-0006-0000-0300-0000C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6" authorId="0" shapeId="0" xr:uid="{00000000-0006-0000-0300-0000C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6" authorId="0" shapeId="0" xr:uid="{00000000-0006-0000-0300-0000C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6" authorId="0" shapeId="0" xr:uid="{00000000-0006-0000-0300-0000C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6" authorId="0" shapeId="0" xr:uid="{00000000-0006-0000-0300-0000C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6" authorId="0" shapeId="0" xr:uid="{00000000-0006-0000-0300-0000C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6" authorId="0" shapeId="0" xr:uid="{00000000-0006-0000-0300-0000C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6" authorId="0" shapeId="0" xr:uid="{00000000-0006-0000-0300-0000C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6" authorId="0" shapeId="0" xr:uid="{00000000-0006-0000-0300-0000C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6" authorId="0" shapeId="0" xr:uid="{00000000-0006-0000-0300-0000C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6" authorId="0" shapeId="0" xr:uid="{00000000-0006-0000-0300-0000C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6" authorId="0" shapeId="0" xr:uid="{00000000-0006-0000-0300-0000C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6" authorId="0" shapeId="0" xr:uid="{00000000-0006-0000-0300-0000C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6" authorId="0" shapeId="0" xr:uid="{00000000-0006-0000-0300-0000D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6" authorId="0" shapeId="0" xr:uid="{00000000-0006-0000-0300-0000D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6" authorId="0" shapeId="0" xr:uid="{00000000-0006-0000-0300-0000D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6" authorId="0" shapeId="0" xr:uid="{00000000-0006-0000-0300-0000D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6" authorId="0" shapeId="0" xr:uid="{00000000-0006-0000-0300-0000D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6" authorId="0" shapeId="0" xr:uid="{00000000-0006-0000-0300-0000D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6" authorId="0" shapeId="0" xr:uid="{00000000-0006-0000-0300-0000D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6" authorId="0" shapeId="0" xr:uid="{00000000-0006-0000-0300-0000D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6" authorId="0" shapeId="0" xr:uid="{00000000-0006-0000-0300-0000D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6" authorId="0" shapeId="0" xr:uid="{00000000-0006-0000-0300-0000D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6" authorId="0" shapeId="0" xr:uid="{00000000-0006-0000-0300-0000D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6" authorId="0" shapeId="0" xr:uid="{00000000-0006-0000-0300-0000D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6" authorId="0" shapeId="0" xr:uid="{00000000-0006-0000-0300-0000D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6" authorId="0" shapeId="0" xr:uid="{00000000-0006-0000-0300-0000D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6" authorId="0" shapeId="0" xr:uid="{00000000-0006-0000-0300-0000D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7" authorId="0" shapeId="0" xr:uid="{00000000-0006-0000-0300-0000DF010000}">
      <text>
        <r>
          <rPr>
            <sz val="9"/>
            <color indexed="81"/>
            <rFont val="Tahoma"/>
            <charset val="1"/>
          </rPr>
          <t>Date macro run: 9/26/2017 10:39:24 PM</t>
        </r>
      </text>
    </comment>
    <comment ref="B27" authorId="0" shapeId="0" xr:uid="{00000000-0006-0000-0300-0000E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7" authorId="0" shapeId="0" xr:uid="{00000000-0006-0000-0300-0000E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7" authorId="0" shapeId="0" xr:uid="{00000000-0006-0000-0300-0000E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7" authorId="0" shapeId="0" xr:uid="{00000000-0006-0000-0300-0000E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7" authorId="0" shapeId="0" xr:uid="{00000000-0006-0000-0300-0000E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7" authorId="0" shapeId="0" xr:uid="{00000000-0006-0000-0300-0000E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7" authorId="0" shapeId="0" xr:uid="{00000000-0006-0000-0300-0000E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7" authorId="0" shapeId="0" xr:uid="{00000000-0006-0000-0300-0000E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7" authorId="0" shapeId="0" xr:uid="{00000000-0006-0000-0300-0000E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7" authorId="0" shapeId="0" xr:uid="{00000000-0006-0000-0300-0000E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7" authorId="0" shapeId="0" xr:uid="{00000000-0006-0000-0300-0000E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7" authorId="0" shapeId="0" xr:uid="{00000000-0006-0000-0300-0000E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7" authorId="0" shapeId="0" xr:uid="{00000000-0006-0000-0300-0000E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7" authorId="0" shapeId="0" xr:uid="{00000000-0006-0000-0300-0000E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7" authorId="0" shapeId="0" xr:uid="{00000000-0006-0000-0300-0000E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7" authorId="0" shapeId="0" xr:uid="{00000000-0006-0000-0300-0000E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7" authorId="0" shapeId="0" xr:uid="{00000000-0006-0000-0300-0000F0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7" authorId="0" shapeId="0" xr:uid="{00000000-0006-0000-0300-0000F1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7" authorId="0" shapeId="0" xr:uid="{00000000-0006-0000-0300-0000F2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7" authorId="0" shapeId="0" xr:uid="{00000000-0006-0000-0300-0000F3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7" authorId="0" shapeId="0" xr:uid="{00000000-0006-0000-0300-0000F4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7" authorId="0" shapeId="0" xr:uid="{00000000-0006-0000-0300-0000F5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7" authorId="0" shapeId="0" xr:uid="{00000000-0006-0000-0300-0000F6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7" authorId="0" shapeId="0" xr:uid="{00000000-0006-0000-0300-0000F7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7" authorId="0" shapeId="0" xr:uid="{00000000-0006-0000-0300-0000F8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7" authorId="0" shapeId="0" xr:uid="{00000000-0006-0000-0300-0000F9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7" authorId="0" shapeId="0" xr:uid="{00000000-0006-0000-0300-0000FA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7" authorId="0" shapeId="0" xr:uid="{00000000-0006-0000-0300-0000FB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7" authorId="0" shapeId="0" xr:uid="{00000000-0006-0000-0300-0000FC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7" authorId="0" shapeId="0" xr:uid="{00000000-0006-0000-0300-0000FD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7" authorId="0" shapeId="0" xr:uid="{00000000-0006-0000-0300-0000FE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7" authorId="0" shapeId="0" xr:uid="{00000000-0006-0000-0300-0000FF0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7" authorId="0" shapeId="0" xr:uid="{00000000-0006-0000-0300-00000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7" authorId="0" shapeId="0" xr:uid="{00000000-0006-0000-0300-00000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7" authorId="0" shapeId="0" xr:uid="{00000000-0006-0000-0300-00000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7" authorId="0" shapeId="0" xr:uid="{00000000-0006-0000-0300-00000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7" authorId="0" shapeId="0" xr:uid="{00000000-0006-0000-0300-00000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7" authorId="0" shapeId="0" xr:uid="{00000000-0006-0000-0300-00000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7" authorId="0" shapeId="0" xr:uid="{00000000-0006-0000-0300-00000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7" authorId="0" shapeId="0" xr:uid="{00000000-0006-0000-0300-00000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7" authorId="0" shapeId="0" xr:uid="{00000000-0006-0000-0300-00000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7" authorId="0" shapeId="0" xr:uid="{00000000-0006-0000-0300-00000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7" authorId="0" shapeId="0" xr:uid="{00000000-0006-0000-0300-00000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7" authorId="0" shapeId="0" xr:uid="{00000000-0006-0000-0300-00000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7" authorId="0" shapeId="0" xr:uid="{00000000-0006-0000-0300-00000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7" authorId="0" shapeId="0" xr:uid="{00000000-0006-0000-0300-00000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8" authorId="0" shapeId="0" xr:uid="{00000000-0006-0000-0300-00000E020000}">
      <text>
        <r>
          <rPr>
            <sz val="9"/>
            <color indexed="81"/>
            <rFont val="Tahoma"/>
            <charset val="1"/>
          </rPr>
          <t>Date macro run: 9/27/2017 10:46:13 PM</t>
        </r>
      </text>
    </comment>
    <comment ref="B28" authorId="0" shapeId="0" xr:uid="{00000000-0006-0000-0300-00000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8" authorId="0" shapeId="0" xr:uid="{00000000-0006-0000-0300-00001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8" authorId="0" shapeId="0" xr:uid="{00000000-0006-0000-0300-00001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8" authorId="0" shapeId="0" xr:uid="{00000000-0006-0000-0300-00001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8" authorId="0" shapeId="0" xr:uid="{00000000-0006-0000-0300-00001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8" authorId="0" shapeId="0" xr:uid="{00000000-0006-0000-0300-00001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8" authorId="0" shapeId="0" xr:uid="{00000000-0006-0000-0300-00001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8" authorId="0" shapeId="0" xr:uid="{00000000-0006-0000-0300-00001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8" authorId="0" shapeId="0" xr:uid="{00000000-0006-0000-0300-00001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8" authorId="0" shapeId="0" xr:uid="{00000000-0006-0000-0300-00001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8" authorId="0" shapeId="0" xr:uid="{00000000-0006-0000-0300-00001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8" authorId="0" shapeId="0" xr:uid="{00000000-0006-0000-0300-00001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8" authorId="0" shapeId="0" xr:uid="{00000000-0006-0000-0300-00001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8" authorId="0" shapeId="0" xr:uid="{00000000-0006-0000-0300-00001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8" authorId="0" shapeId="0" xr:uid="{00000000-0006-0000-0300-00001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8" authorId="0" shapeId="0" xr:uid="{00000000-0006-0000-0300-00001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8" authorId="0" shapeId="0" xr:uid="{00000000-0006-0000-0300-00001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8" authorId="0" shapeId="0" xr:uid="{00000000-0006-0000-0300-00002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8" authorId="0" shapeId="0" xr:uid="{00000000-0006-0000-0300-00002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8" authorId="0" shapeId="0" xr:uid="{00000000-0006-0000-0300-00002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8" authorId="0" shapeId="0" xr:uid="{00000000-0006-0000-0300-00002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8" authorId="0" shapeId="0" xr:uid="{00000000-0006-0000-0300-00002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8" authorId="0" shapeId="0" xr:uid="{00000000-0006-0000-0300-00002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8" authorId="0" shapeId="0" xr:uid="{00000000-0006-0000-0300-00002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8" authorId="0" shapeId="0" xr:uid="{00000000-0006-0000-0300-00002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8" authorId="0" shapeId="0" xr:uid="{00000000-0006-0000-0300-00002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8" authorId="0" shapeId="0" xr:uid="{00000000-0006-0000-0300-00002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8" authorId="0" shapeId="0" xr:uid="{00000000-0006-0000-0300-00002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8" authorId="0" shapeId="0" xr:uid="{00000000-0006-0000-0300-00002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8" authorId="0" shapeId="0" xr:uid="{00000000-0006-0000-0300-00002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8" authorId="0" shapeId="0" xr:uid="{00000000-0006-0000-0300-00002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8" authorId="0" shapeId="0" xr:uid="{00000000-0006-0000-0300-00002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8" authorId="0" shapeId="0" xr:uid="{00000000-0006-0000-0300-00002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8" authorId="0" shapeId="0" xr:uid="{00000000-0006-0000-0300-00003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8" authorId="0" shapeId="0" xr:uid="{00000000-0006-0000-0300-00003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8" authorId="0" shapeId="0" xr:uid="{00000000-0006-0000-0300-00003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8" authorId="0" shapeId="0" xr:uid="{00000000-0006-0000-0300-00003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8" authorId="0" shapeId="0" xr:uid="{00000000-0006-0000-0300-00003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8" authorId="0" shapeId="0" xr:uid="{00000000-0006-0000-0300-00003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8" authorId="0" shapeId="0" xr:uid="{00000000-0006-0000-0300-00003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8" authorId="0" shapeId="0" xr:uid="{00000000-0006-0000-0300-00003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8" authorId="0" shapeId="0" xr:uid="{00000000-0006-0000-0300-00003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8" authorId="0" shapeId="0" xr:uid="{00000000-0006-0000-0300-00003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8" authorId="0" shapeId="0" xr:uid="{00000000-0006-0000-0300-00003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8" authorId="0" shapeId="0" xr:uid="{00000000-0006-0000-0300-00003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8" authorId="0" shapeId="0" xr:uid="{00000000-0006-0000-0300-00003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29" authorId="0" shapeId="0" xr:uid="{00000000-0006-0000-0300-00003D020000}">
      <text>
        <r>
          <rPr>
            <sz val="9"/>
            <color indexed="81"/>
            <rFont val="Tahoma"/>
            <charset val="1"/>
          </rPr>
          <t>Date macro run: 9/28/2017 10:43:51 PM</t>
        </r>
      </text>
    </comment>
    <comment ref="B29" authorId="0" shapeId="0" xr:uid="{00000000-0006-0000-0300-00003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29" authorId="0" shapeId="0" xr:uid="{00000000-0006-0000-0300-00003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29" authorId="0" shapeId="0" xr:uid="{00000000-0006-0000-0300-00004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29" authorId="0" shapeId="0" xr:uid="{00000000-0006-0000-0300-00004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29" authorId="0" shapeId="0" xr:uid="{00000000-0006-0000-0300-00004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29" authorId="0" shapeId="0" xr:uid="{00000000-0006-0000-0300-00004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29" authorId="0" shapeId="0" xr:uid="{00000000-0006-0000-0300-00004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29" authorId="0" shapeId="0" xr:uid="{00000000-0006-0000-0300-00004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29" authorId="0" shapeId="0" xr:uid="{00000000-0006-0000-0300-00004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29" authorId="0" shapeId="0" xr:uid="{00000000-0006-0000-0300-00004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29" authorId="0" shapeId="0" xr:uid="{00000000-0006-0000-0300-00004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29" authorId="0" shapeId="0" xr:uid="{00000000-0006-0000-0300-00004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29" authorId="0" shapeId="0" xr:uid="{00000000-0006-0000-0300-00004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29" authorId="0" shapeId="0" xr:uid="{00000000-0006-0000-0300-00004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29" authorId="0" shapeId="0" xr:uid="{00000000-0006-0000-0300-00004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29" authorId="0" shapeId="0" xr:uid="{00000000-0006-0000-0300-00004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29" authorId="0" shapeId="0" xr:uid="{00000000-0006-0000-0300-00004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29" authorId="0" shapeId="0" xr:uid="{00000000-0006-0000-0300-00004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9" authorId="0" shapeId="0" xr:uid="{00000000-0006-0000-0300-00005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29" authorId="0" shapeId="0" xr:uid="{00000000-0006-0000-0300-00005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29" authorId="0" shapeId="0" xr:uid="{00000000-0006-0000-0300-00005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29" authorId="0" shapeId="0" xr:uid="{00000000-0006-0000-0300-00005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29" authorId="0" shapeId="0" xr:uid="{00000000-0006-0000-0300-00005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29" authorId="0" shapeId="0" xr:uid="{00000000-0006-0000-0300-00005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29" authorId="0" shapeId="0" xr:uid="{00000000-0006-0000-0300-00005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29" authorId="0" shapeId="0" xr:uid="{00000000-0006-0000-0300-00005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29" authorId="0" shapeId="0" xr:uid="{00000000-0006-0000-0300-00005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9" authorId="0" shapeId="0" xr:uid="{00000000-0006-0000-0300-00005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9" authorId="0" shapeId="0" xr:uid="{00000000-0006-0000-0300-00005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9" authorId="0" shapeId="0" xr:uid="{00000000-0006-0000-0300-00005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9" authorId="0" shapeId="0" xr:uid="{00000000-0006-0000-0300-00005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9" authorId="0" shapeId="0" xr:uid="{00000000-0006-0000-0300-00005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9" authorId="0" shapeId="0" xr:uid="{00000000-0006-0000-0300-00005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9" authorId="0" shapeId="0" xr:uid="{00000000-0006-0000-0300-00005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9" authorId="0" shapeId="0" xr:uid="{00000000-0006-0000-0300-00006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9" authorId="0" shapeId="0" xr:uid="{00000000-0006-0000-0300-00006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9" authorId="0" shapeId="0" xr:uid="{00000000-0006-0000-0300-00006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9" authorId="0" shapeId="0" xr:uid="{00000000-0006-0000-0300-00006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9" authorId="0" shapeId="0" xr:uid="{00000000-0006-0000-0300-00006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9" authorId="0" shapeId="0" xr:uid="{00000000-0006-0000-0300-00006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9" authorId="0" shapeId="0" xr:uid="{00000000-0006-0000-0300-00006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9" authorId="0" shapeId="0" xr:uid="{00000000-0006-0000-0300-00006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9" authorId="0" shapeId="0" xr:uid="{00000000-0006-0000-0300-00006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29" authorId="0" shapeId="0" xr:uid="{00000000-0006-0000-0300-00006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9" authorId="0" shapeId="0" xr:uid="{00000000-0006-0000-0300-00006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9" authorId="0" shapeId="0" xr:uid="{00000000-0006-0000-0300-00006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0" authorId="0" shapeId="0" xr:uid="{00000000-0006-0000-0300-00006C020000}">
      <text>
        <r>
          <rPr>
            <sz val="9"/>
            <color indexed="81"/>
            <rFont val="Tahoma"/>
            <charset val="1"/>
          </rPr>
          <t>Date macro run: 9/29/2017 10:42:42 PM</t>
        </r>
      </text>
    </comment>
    <comment ref="B30" authorId="0" shapeId="0" xr:uid="{00000000-0006-0000-0300-00006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0" authorId="0" shapeId="0" xr:uid="{00000000-0006-0000-0300-00006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0" authorId="0" shapeId="0" xr:uid="{00000000-0006-0000-0300-00006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0" authorId="0" shapeId="0" xr:uid="{00000000-0006-0000-0300-00007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0" authorId="0" shapeId="0" xr:uid="{00000000-0006-0000-0300-00007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0" authorId="0" shapeId="0" xr:uid="{00000000-0006-0000-0300-00007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0" authorId="0" shapeId="0" xr:uid="{00000000-0006-0000-0300-00007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0" authorId="0" shapeId="0" xr:uid="{00000000-0006-0000-0300-00007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0" authorId="0" shapeId="0" xr:uid="{00000000-0006-0000-0300-00007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0" authorId="0" shapeId="0" xr:uid="{00000000-0006-0000-0300-00007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0" authorId="0" shapeId="0" xr:uid="{00000000-0006-0000-0300-00007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0" authorId="0" shapeId="0" xr:uid="{00000000-0006-0000-0300-00007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0" authorId="0" shapeId="0" xr:uid="{00000000-0006-0000-0300-00007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0" authorId="0" shapeId="0" xr:uid="{00000000-0006-0000-0300-00007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0" authorId="0" shapeId="0" xr:uid="{00000000-0006-0000-0300-00007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0" authorId="0" shapeId="0" xr:uid="{00000000-0006-0000-0300-00007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0" authorId="0" shapeId="0" xr:uid="{00000000-0006-0000-0300-00007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0" authorId="0" shapeId="0" xr:uid="{00000000-0006-0000-0300-00007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0" authorId="0" shapeId="0" xr:uid="{00000000-0006-0000-0300-00007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0" authorId="0" shapeId="0" xr:uid="{00000000-0006-0000-0300-00008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0" authorId="0" shapeId="0" xr:uid="{00000000-0006-0000-0300-00008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0" authorId="0" shapeId="0" xr:uid="{00000000-0006-0000-0300-00008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0" authorId="0" shapeId="0" xr:uid="{00000000-0006-0000-0300-00008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0" authorId="0" shapeId="0" xr:uid="{00000000-0006-0000-0300-00008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0" authorId="0" shapeId="0" xr:uid="{00000000-0006-0000-0300-00008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0" authorId="0" shapeId="0" xr:uid="{00000000-0006-0000-0300-00008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0" authorId="0" shapeId="0" xr:uid="{00000000-0006-0000-0300-00008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0" authorId="0" shapeId="0" xr:uid="{00000000-0006-0000-0300-00008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0" authorId="0" shapeId="0" xr:uid="{00000000-0006-0000-0300-00008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0" authorId="0" shapeId="0" xr:uid="{00000000-0006-0000-0300-00008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0" authorId="0" shapeId="0" xr:uid="{00000000-0006-0000-0300-00008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0" authorId="0" shapeId="0" xr:uid="{00000000-0006-0000-0300-00008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0" authorId="0" shapeId="0" xr:uid="{00000000-0006-0000-0300-00008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0" authorId="0" shapeId="0" xr:uid="{00000000-0006-0000-0300-00008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0" authorId="0" shapeId="0" xr:uid="{00000000-0006-0000-0300-00008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0" authorId="0" shapeId="0" xr:uid="{00000000-0006-0000-0300-00009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0" authorId="0" shapeId="0" xr:uid="{00000000-0006-0000-0300-00009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0" authorId="0" shapeId="0" xr:uid="{00000000-0006-0000-0300-00009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0" authorId="0" shapeId="0" xr:uid="{00000000-0006-0000-0300-00009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0" authorId="0" shapeId="0" xr:uid="{00000000-0006-0000-0300-00009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0" authorId="0" shapeId="0" xr:uid="{00000000-0006-0000-0300-00009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0" authorId="0" shapeId="0" xr:uid="{00000000-0006-0000-0300-00009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0" authorId="0" shapeId="0" xr:uid="{00000000-0006-0000-0300-00009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0" authorId="0" shapeId="0" xr:uid="{00000000-0006-0000-0300-00009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0" authorId="0" shapeId="0" xr:uid="{00000000-0006-0000-0300-00009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0" authorId="0" shapeId="0" xr:uid="{00000000-0006-0000-0300-00009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1" authorId="0" shapeId="0" xr:uid="{00000000-0006-0000-0300-00009B020000}">
      <text>
        <r>
          <rPr>
            <sz val="9"/>
            <color indexed="81"/>
            <rFont val="Tahoma"/>
            <charset val="1"/>
          </rPr>
          <t>Date macro run: 10/2/2017 10:46:40 PM</t>
        </r>
      </text>
    </comment>
    <comment ref="B31" authorId="0" shapeId="0" xr:uid="{00000000-0006-0000-0300-00009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1" authorId="0" shapeId="0" xr:uid="{00000000-0006-0000-0300-00009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1" authorId="0" shapeId="0" xr:uid="{00000000-0006-0000-0300-00009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1" authorId="0" shapeId="0" xr:uid="{00000000-0006-0000-0300-00009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1" authorId="0" shapeId="0" xr:uid="{00000000-0006-0000-0300-0000A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1" authorId="0" shapeId="0" xr:uid="{00000000-0006-0000-0300-0000A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1" authorId="0" shapeId="0" xr:uid="{00000000-0006-0000-0300-0000A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1" authorId="0" shapeId="0" xr:uid="{00000000-0006-0000-0300-0000A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1" authorId="0" shapeId="0" xr:uid="{00000000-0006-0000-0300-0000A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1" authorId="0" shapeId="0" xr:uid="{00000000-0006-0000-0300-0000A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1" authorId="0" shapeId="0" xr:uid="{00000000-0006-0000-0300-0000A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1" authorId="0" shapeId="0" xr:uid="{00000000-0006-0000-0300-0000A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1" authorId="0" shapeId="0" xr:uid="{00000000-0006-0000-0300-0000A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1" authorId="0" shapeId="0" xr:uid="{00000000-0006-0000-0300-0000A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1" authorId="0" shapeId="0" xr:uid="{00000000-0006-0000-0300-0000A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1" authorId="0" shapeId="0" xr:uid="{00000000-0006-0000-0300-0000A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1" authorId="0" shapeId="0" xr:uid="{00000000-0006-0000-0300-0000A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1" authorId="0" shapeId="0" xr:uid="{00000000-0006-0000-0300-0000A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1" authorId="0" shapeId="0" xr:uid="{00000000-0006-0000-0300-0000A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1" authorId="0" shapeId="0" xr:uid="{00000000-0006-0000-0300-0000A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1" authorId="0" shapeId="0" xr:uid="{00000000-0006-0000-0300-0000B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1" authorId="0" shapeId="0" xr:uid="{00000000-0006-0000-0300-0000B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1" authorId="0" shapeId="0" xr:uid="{00000000-0006-0000-0300-0000B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1" authorId="0" shapeId="0" xr:uid="{00000000-0006-0000-0300-0000B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1" authorId="0" shapeId="0" xr:uid="{00000000-0006-0000-0300-0000B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1" authorId="0" shapeId="0" xr:uid="{00000000-0006-0000-0300-0000B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1" authorId="0" shapeId="0" xr:uid="{00000000-0006-0000-0300-0000B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1" authorId="0" shapeId="0" xr:uid="{00000000-0006-0000-0300-0000B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1" authorId="0" shapeId="0" xr:uid="{00000000-0006-0000-0300-0000B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1" authorId="0" shapeId="0" xr:uid="{00000000-0006-0000-0300-0000B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1" authorId="0" shapeId="0" xr:uid="{00000000-0006-0000-0300-0000B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1" authorId="0" shapeId="0" xr:uid="{00000000-0006-0000-0300-0000B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1" authorId="0" shapeId="0" xr:uid="{00000000-0006-0000-0300-0000B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1" authorId="0" shapeId="0" xr:uid="{00000000-0006-0000-0300-0000B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1" authorId="0" shapeId="0" xr:uid="{00000000-0006-0000-0300-0000B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1" authorId="0" shapeId="0" xr:uid="{00000000-0006-0000-0300-0000B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1" authorId="0" shapeId="0" xr:uid="{00000000-0006-0000-0300-0000C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1" authorId="0" shapeId="0" xr:uid="{00000000-0006-0000-0300-0000C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1" authorId="0" shapeId="0" xr:uid="{00000000-0006-0000-0300-0000C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1" authorId="0" shapeId="0" xr:uid="{00000000-0006-0000-0300-0000C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1" authorId="0" shapeId="0" xr:uid="{00000000-0006-0000-0300-0000C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1" authorId="0" shapeId="0" xr:uid="{00000000-0006-0000-0300-0000C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1" authorId="0" shapeId="0" xr:uid="{00000000-0006-0000-0300-0000C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1" authorId="0" shapeId="0" xr:uid="{00000000-0006-0000-0300-0000C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1" authorId="0" shapeId="0" xr:uid="{00000000-0006-0000-0300-0000C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1" authorId="0" shapeId="0" xr:uid="{00000000-0006-0000-0300-0000C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2" authorId="0" shapeId="0" xr:uid="{00000000-0006-0000-0300-0000CA020000}">
      <text>
        <r>
          <rPr>
            <sz val="9"/>
            <color indexed="81"/>
            <rFont val="Tahoma"/>
            <charset val="1"/>
          </rPr>
          <t>Date macro run: 10/4/2017 10:43:54 PM</t>
        </r>
      </text>
    </comment>
    <comment ref="B32" authorId="0" shapeId="0" xr:uid="{00000000-0006-0000-0300-0000C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2" authorId="0" shapeId="0" xr:uid="{00000000-0006-0000-0300-0000C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2" authorId="0" shapeId="0" xr:uid="{00000000-0006-0000-0300-0000C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2" authorId="0" shapeId="0" xr:uid="{00000000-0006-0000-0300-0000C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2" authorId="0" shapeId="0" xr:uid="{00000000-0006-0000-0300-0000C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2" authorId="0" shapeId="0" xr:uid="{00000000-0006-0000-0300-0000D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2" authorId="0" shapeId="0" xr:uid="{00000000-0006-0000-0300-0000D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2" authorId="0" shapeId="0" xr:uid="{00000000-0006-0000-0300-0000D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2" authorId="0" shapeId="0" xr:uid="{00000000-0006-0000-0300-0000D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2" authorId="0" shapeId="0" xr:uid="{00000000-0006-0000-0300-0000D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2" authorId="0" shapeId="0" xr:uid="{00000000-0006-0000-0300-0000D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2" authorId="0" shapeId="0" xr:uid="{00000000-0006-0000-0300-0000D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2" authorId="0" shapeId="0" xr:uid="{00000000-0006-0000-0300-0000D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2" authorId="0" shapeId="0" xr:uid="{00000000-0006-0000-0300-0000D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2" authorId="0" shapeId="0" xr:uid="{00000000-0006-0000-0300-0000D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2" authorId="0" shapeId="0" xr:uid="{00000000-0006-0000-0300-0000D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2" authorId="0" shapeId="0" xr:uid="{00000000-0006-0000-0300-0000D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2" authorId="0" shapeId="0" xr:uid="{00000000-0006-0000-0300-0000D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2" authorId="0" shapeId="0" xr:uid="{00000000-0006-0000-0300-0000D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2" authorId="0" shapeId="0" xr:uid="{00000000-0006-0000-0300-0000D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2" authorId="0" shapeId="0" xr:uid="{00000000-0006-0000-0300-0000D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2" authorId="0" shapeId="0" xr:uid="{00000000-0006-0000-0300-0000E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2" authorId="0" shapeId="0" xr:uid="{00000000-0006-0000-0300-0000E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2" authorId="0" shapeId="0" xr:uid="{00000000-0006-0000-0300-0000E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2" authorId="0" shapeId="0" xr:uid="{00000000-0006-0000-0300-0000E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2" authorId="0" shapeId="0" xr:uid="{00000000-0006-0000-0300-0000E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2" authorId="0" shapeId="0" xr:uid="{00000000-0006-0000-0300-0000E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2" authorId="0" shapeId="0" xr:uid="{00000000-0006-0000-0300-0000E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2" authorId="0" shapeId="0" xr:uid="{00000000-0006-0000-0300-0000E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2" authorId="0" shapeId="0" xr:uid="{00000000-0006-0000-0300-0000E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2" authorId="0" shapeId="0" xr:uid="{00000000-0006-0000-0300-0000E9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2" authorId="0" shapeId="0" xr:uid="{00000000-0006-0000-0300-0000E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2" authorId="0" shapeId="0" xr:uid="{00000000-0006-0000-0300-0000E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2" authorId="0" shapeId="0" xr:uid="{00000000-0006-0000-0300-0000E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2" authorId="0" shapeId="0" xr:uid="{00000000-0006-0000-0300-0000E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2" authorId="0" shapeId="0" xr:uid="{00000000-0006-0000-0300-0000E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2" authorId="0" shapeId="0" xr:uid="{00000000-0006-0000-0300-0000E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2" authorId="0" shapeId="0" xr:uid="{00000000-0006-0000-0300-0000F0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2" authorId="0" shapeId="0" xr:uid="{00000000-0006-0000-0300-0000F1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2" authorId="0" shapeId="0" xr:uid="{00000000-0006-0000-0300-0000F2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2" authorId="0" shapeId="0" xr:uid="{00000000-0006-0000-0300-0000F3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2" authorId="0" shapeId="0" xr:uid="{00000000-0006-0000-0300-0000F4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2" authorId="0" shapeId="0" xr:uid="{00000000-0006-0000-0300-0000F5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2" authorId="0" shapeId="0" xr:uid="{00000000-0006-0000-0300-0000F6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2" authorId="0" shapeId="0" xr:uid="{00000000-0006-0000-0300-0000F7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2" authorId="0" shapeId="0" xr:uid="{00000000-0006-0000-0300-0000F8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3" authorId="0" shapeId="0" xr:uid="{00000000-0006-0000-0300-0000F9020000}">
      <text>
        <r>
          <rPr>
            <sz val="9"/>
            <color indexed="81"/>
            <rFont val="Tahoma"/>
            <charset val="1"/>
          </rPr>
          <t>Date macro run: 10/6/2017 10:34:53 PM</t>
        </r>
      </text>
    </comment>
    <comment ref="B33" authorId="0" shapeId="0" xr:uid="{00000000-0006-0000-0300-0000FA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3" authorId="0" shapeId="0" xr:uid="{00000000-0006-0000-0300-0000FB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3" authorId="0" shapeId="0" xr:uid="{00000000-0006-0000-0300-0000FC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3" authorId="0" shapeId="0" xr:uid="{00000000-0006-0000-0300-0000FD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3" authorId="0" shapeId="0" xr:uid="{00000000-0006-0000-0300-0000FE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3" authorId="0" shapeId="0" xr:uid="{00000000-0006-0000-0300-0000FF0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3" authorId="0" shapeId="0" xr:uid="{00000000-0006-0000-0300-00000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3" authorId="0" shapeId="0" xr:uid="{00000000-0006-0000-0300-00000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3" authorId="0" shapeId="0" xr:uid="{00000000-0006-0000-0300-00000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3" authorId="0" shapeId="0" xr:uid="{00000000-0006-0000-0300-00000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3" authorId="0" shapeId="0" xr:uid="{00000000-0006-0000-0300-00000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3" authorId="0" shapeId="0" xr:uid="{00000000-0006-0000-0300-00000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3" authorId="0" shapeId="0" xr:uid="{00000000-0006-0000-0300-00000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3" authorId="0" shapeId="0" xr:uid="{00000000-0006-0000-0300-00000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3" authorId="0" shapeId="0" xr:uid="{00000000-0006-0000-0300-00000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3" authorId="0" shapeId="0" xr:uid="{00000000-0006-0000-0300-00000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3" authorId="0" shapeId="0" xr:uid="{00000000-0006-0000-0300-00000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3" authorId="0" shapeId="0" xr:uid="{00000000-0006-0000-0300-00000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3" authorId="0" shapeId="0" xr:uid="{00000000-0006-0000-0300-00000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3" authorId="0" shapeId="0" xr:uid="{00000000-0006-0000-0300-00000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3" authorId="0" shapeId="0" xr:uid="{00000000-0006-0000-0300-00000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3" authorId="0" shapeId="0" xr:uid="{00000000-0006-0000-0300-00000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3" authorId="0" shapeId="0" xr:uid="{00000000-0006-0000-0300-00001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3" authorId="0" shapeId="0" xr:uid="{00000000-0006-0000-0300-00001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3" authorId="0" shapeId="0" xr:uid="{00000000-0006-0000-0300-00001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3" authorId="0" shapeId="0" xr:uid="{00000000-0006-0000-0300-00001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3" authorId="0" shapeId="0" xr:uid="{00000000-0006-0000-0300-00001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3" authorId="0" shapeId="0" xr:uid="{00000000-0006-0000-0300-00001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3" authorId="0" shapeId="0" xr:uid="{00000000-0006-0000-0300-00001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3" authorId="0" shapeId="0" xr:uid="{00000000-0006-0000-0300-00001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3" authorId="0" shapeId="0" xr:uid="{00000000-0006-0000-0300-00001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3" authorId="0" shapeId="0" xr:uid="{00000000-0006-0000-0300-00001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3" authorId="0" shapeId="0" xr:uid="{00000000-0006-0000-0300-00001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3" authorId="0" shapeId="0" xr:uid="{00000000-0006-0000-0300-00001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3" authorId="0" shapeId="0" xr:uid="{00000000-0006-0000-0300-00001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3" authorId="0" shapeId="0" xr:uid="{00000000-0006-0000-0300-00001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3" authorId="0" shapeId="0" xr:uid="{00000000-0006-0000-0300-00001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3" authorId="0" shapeId="0" xr:uid="{00000000-0006-0000-0300-00001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3" authorId="0" shapeId="0" xr:uid="{00000000-0006-0000-0300-00002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3" authorId="0" shapeId="0" xr:uid="{00000000-0006-0000-0300-00002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3" authorId="0" shapeId="0" xr:uid="{00000000-0006-0000-0300-00002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3" authorId="0" shapeId="0" xr:uid="{00000000-0006-0000-0300-00002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3" authorId="0" shapeId="0" xr:uid="{00000000-0006-0000-0300-00002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3" authorId="0" shapeId="0" xr:uid="{00000000-0006-0000-0300-00002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3" authorId="0" shapeId="0" xr:uid="{00000000-0006-0000-0300-00002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3" authorId="0" shapeId="0" xr:uid="{00000000-0006-0000-0300-00002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4" authorId="0" shapeId="0" xr:uid="{00000000-0006-0000-0300-000028030000}">
      <text>
        <r>
          <rPr>
            <sz val="9"/>
            <color indexed="81"/>
            <rFont val="Tahoma"/>
            <charset val="1"/>
          </rPr>
          <t>Date macro run: 10/9/2017 10:41:41 PM</t>
        </r>
      </text>
    </comment>
    <comment ref="B34" authorId="0" shapeId="0" xr:uid="{00000000-0006-0000-0300-00002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4" authorId="0" shapeId="0" xr:uid="{00000000-0006-0000-0300-00002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4" authorId="0" shapeId="0" xr:uid="{00000000-0006-0000-0300-00002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4" authorId="0" shapeId="0" xr:uid="{00000000-0006-0000-0300-00002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4" authorId="0" shapeId="0" xr:uid="{00000000-0006-0000-0300-00002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4" authorId="0" shapeId="0" xr:uid="{00000000-0006-0000-0300-00002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4" authorId="0" shapeId="0" xr:uid="{00000000-0006-0000-0300-00002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4" authorId="0" shapeId="0" xr:uid="{00000000-0006-0000-0300-00003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4" authorId="0" shapeId="0" xr:uid="{00000000-0006-0000-0300-00003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4" authorId="0" shapeId="0" xr:uid="{00000000-0006-0000-0300-00003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4" authorId="0" shapeId="0" xr:uid="{00000000-0006-0000-0300-00003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4" authorId="0" shapeId="0" xr:uid="{00000000-0006-0000-0300-00003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4" authorId="0" shapeId="0" xr:uid="{00000000-0006-0000-0300-00003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4" authorId="0" shapeId="0" xr:uid="{00000000-0006-0000-0300-00003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4" authorId="0" shapeId="0" xr:uid="{00000000-0006-0000-0300-00003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4" authorId="0" shapeId="0" xr:uid="{00000000-0006-0000-0300-00003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4" authorId="0" shapeId="0" xr:uid="{00000000-0006-0000-0300-00003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4" authorId="0" shapeId="0" xr:uid="{00000000-0006-0000-0300-00003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4" authorId="0" shapeId="0" xr:uid="{00000000-0006-0000-0300-00003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4" authorId="0" shapeId="0" xr:uid="{00000000-0006-0000-0300-00003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4" authorId="0" shapeId="0" xr:uid="{00000000-0006-0000-0300-00003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4" authorId="0" shapeId="0" xr:uid="{00000000-0006-0000-0300-00003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4" authorId="0" shapeId="0" xr:uid="{00000000-0006-0000-0300-00003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4" authorId="0" shapeId="0" xr:uid="{00000000-0006-0000-0300-00004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4" authorId="0" shapeId="0" xr:uid="{00000000-0006-0000-0300-00004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4" authorId="0" shapeId="0" xr:uid="{00000000-0006-0000-0300-00004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4" authorId="0" shapeId="0" xr:uid="{00000000-0006-0000-0300-00004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4" authorId="0" shapeId="0" xr:uid="{00000000-0006-0000-0300-00004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4" authorId="0" shapeId="0" xr:uid="{00000000-0006-0000-0300-00004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4" authorId="0" shapeId="0" xr:uid="{00000000-0006-0000-0300-00004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4" authorId="0" shapeId="0" xr:uid="{00000000-0006-0000-0300-00004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4" authorId="0" shapeId="0" xr:uid="{00000000-0006-0000-0300-00004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4" authorId="0" shapeId="0" xr:uid="{00000000-0006-0000-0300-00004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4" authorId="0" shapeId="0" xr:uid="{00000000-0006-0000-0300-00004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4" authorId="0" shapeId="0" xr:uid="{00000000-0006-0000-0300-00004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4" authorId="0" shapeId="0" xr:uid="{00000000-0006-0000-0300-00004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4" authorId="0" shapeId="0" xr:uid="{00000000-0006-0000-0300-00004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4" authorId="0" shapeId="0" xr:uid="{00000000-0006-0000-0300-00004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4" authorId="0" shapeId="0" xr:uid="{00000000-0006-0000-0300-00004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4" authorId="0" shapeId="0" xr:uid="{00000000-0006-0000-0300-00005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4" authorId="0" shapeId="0" xr:uid="{00000000-0006-0000-0300-00005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4" authorId="0" shapeId="0" xr:uid="{00000000-0006-0000-0300-00005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4" authorId="0" shapeId="0" xr:uid="{00000000-0006-0000-0300-00005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4" authorId="0" shapeId="0" xr:uid="{00000000-0006-0000-0300-00005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4" authorId="0" shapeId="0" xr:uid="{00000000-0006-0000-0300-00005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4" authorId="0" shapeId="0" xr:uid="{00000000-0006-0000-0300-00005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5" authorId="0" shapeId="0" xr:uid="{00000000-0006-0000-0300-000057030000}">
      <text>
        <r>
          <rPr>
            <sz val="9"/>
            <color indexed="81"/>
            <rFont val="Tahoma"/>
            <charset val="1"/>
          </rPr>
          <t>Date macro run: 10/10/2017 9:17:03 PM</t>
        </r>
      </text>
    </comment>
    <comment ref="B35" authorId="0" shapeId="0" xr:uid="{00000000-0006-0000-0300-00005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5" authorId="0" shapeId="0" xr:uid="{00000000-0006-0000-0300-00005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5" authorId="0" shapeId="0" xr:uid="{00000000-0006-0000-0300-00005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5" authorId="0" shapeId="0" xr:uid="{00000000-0006-0000-0300-00005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5" authorId="0" shapeId="0" xr:uid="{00000000-0006-0000-0300-00005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5" authorId="0" shapeId="0" xr:uid="{00000000-0006-0000-0300-00005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5" authorId="0" shapeId="0" xr:uid="{00000000-0006-0000-0300-00005E030000}">
      <text>
        <r>
          <rPr>
            <sz val="9"/>
            <color indexed="81"/>
            <rFont val="Tahoma"/>
            <charset val="1"/>
          </rPr>
          <t xml:space="preserve">Stability=,Expiration=
,(Hadn't been checking this one regularly)
</t>
        </r>
      </text>
    </comment>
    <comment ref="I35" authorId="0" shapeId="0" xr:uid="{00000000-0006-0000-0300-00005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5" authorId="0" shapeId="0" xr:uid="{00000000-0006-0000-0300-00006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5" authorId="0" shapeId="0" xr:uid="{00000000-0006-0000-0300-00006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5" authorId="0" shapeId="0" xr:uid="{00000000-0006-0000-0300-00006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5" authorId="0" shapeId="0" xr:uid="{00000000-0006-0000-0300-00006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5" authorId="0" shapeId="0" xr:uid="{00000000-0006-0000-0300-00006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5" authorId="0" shapeId="0" xr:uid="{00000000-0006-0000-0300-00006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5" authorId="0" shapeId="0" xr:uid="{00000000-0006-0000-0300-00006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5" authorId="0" shapeId="0" xr:uid="{00000000-0006-0000-0300-00006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5" authorId="0" shapeId="0" xr:uid="{00000000-0006-0000-0300-00006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5" authorId="0" shapeId="0" xr:uid="{00000000-0006-0000-0300-00006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5" authorId="0" shapeId="0" xr:uid="{00000000-0006-0000-0300-00006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5" authorId="0" shapeId="0" xr:uid="{00000000-0006-0000-0300-00006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5" authorId="0" shapeId="0" xr:uid="{00000000-0006-0000-0300-00006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5" authorId="0" shapeId="0" xr:uid="{00000000-0006-0000-0300-00006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5" authorId="0" shapeId="0" xr:uid="{00000000-0006-0000-0300-00006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5" authorId="0" shapeId="0" xr:uid="{00000000-0006-0000-0300-00006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5" authorId="0" shapeId="0" xr:uid="{00000000-0006-0000-0300-00007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5" authorId="0" shapeId="0" xr:uid="{00000000-0006-0000-0300-00007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5" authorId="0" shapeId="0" xr:uid="{00000000-0006-0000-0300-00007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5" authorId="0" shapeId="0" xr:uid="{00000000-0006-0000-0300-00007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5" authorId="0" shapeId="0" xr:uid="{00000000-0006-0000-0300-00007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5" authorId="0" shapeId="0" xr:uid="{00000000-0006-0000-0300-00007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5" authorId="0" shapeId="0" xr:uid="{00000000-0006-0000-0300-00007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5" authorId="0" shapeId="0" xr:uid="{00000000-0006-0000-0300-00007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5" authorId="0" shapeId="0" xr:uid="{00000000-0006-0000-0300-00007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5" authorId="0" shapeId="0" xr:uid="{00000000-0006-0000-0300-00007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5" authorId="0" shapeId="0" xr:uid="{00000000-0006-0000-0300-00007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5" authorId="0" shapeId="0" xr:uid="{00000000-0006-0000-0300-00007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5" authorId="0" shapeId="0" xr:uid="{00000000-0006-0000-0300-00007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5" authorId="0" shapeId="0" xr:uid="{00000000-0006-0000-0300-00007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5" authorId="0" shapeId="0" xr:uid="{00000000-0006-0000-0300-00007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5" authorId="0" shapeId="0" xr:uid="{00000000-0006-0000-0300-00007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5" authorId="0" shapeId="0" xr:uid="{00000000-0006-0000-0300-00008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5" authorId="0" shapeId="0" xr:uid="{00000000-0006-0000-0300-00008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35" authorId="0" shapeId="0" xr:uid="{00000000-0006-0000-0300-00008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5" authorId="0" shapeId="0" xr:uid="{00000000-0006-0000-0300-00008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5" authorId="0" shapeId="0" xr:uid="{00000000-0006-0000-0300-00008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35" authorId="0" shapeId="0" xr:uid="{00000000-0006-0000-0300-00008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6" authorId="0" shapeId="0" xr:uid="{00000000-0006-0000-0300-000086030000}">
      <text>
        <r>
          <rPr>
            <sz val="9"/>
            <color indexed="81"/>
            <rFont val="Tahoma"/>
            <charset val="1"/>
          </rPr>
          <t>Date macro run: 10/11/2017 9:40:36 PM</t>
        </r>
      </text>
    </comment>
    <comment ref="B36" authorId="0" shapeId="0" xr:uid="{00000000-0006-0000-0300-00008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6" authorId="0" shapeId="0" xr:uid="{00000000-0006-0000-0300-00008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6" authorId="0" shapeId="0" xr:uid="{00000000-0006-0000-0300-00008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6" authorId="0" shapeId="0" xr:uid="{00000000-0006-0000-0300-00008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6" authorId="0" shapeId="0" xr:uid="{00000000-0006-0000-0300-00008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6" authorId="0" shapeId="0" xr:uid="{00000000-0006-0000-0300-00008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6" authorId="0" shapeId="0" xr:uid="{00000000-0006-0000-0300-00008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6" authorId="0" shapeId="0" xr:uid="{00000000-0006-0000-0300-00008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6" authorId="0" shapeId="0" xr:uid="{00000000-0006-0000-0300-00008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6" authorId="0" shapeId="0" xr:uid="{00000000-0006-0000-0300-00009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6" authorId="0" shapeId="0" xr:uid="{00000000-0006-0000-0300-00009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6" authorId="0" shapeId="0" xr:uid="{00000000-0006-0000-0300-00009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6" authorId="0" shapeId="0" xr:uid="{00000000-0006-0000-0300-00009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6" authorId="0" shapeId="0" xr:uid="{00000000-0006-0000-0300-00009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6" authorId="0" shapeId="0" xr:uid="{00000000-0006-0000-0300-00009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6" authorId="0" shapeId="0" xr:uid="{00000000-0006-0000-0300-00009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6" authorId="0" shapeId="0" xr:uid="{00000000-0006-0000-0300-00009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6" authorId="0" shapeId="0" xr:uid="{00000000-0006-0000-0300-00009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6" authorId="0" shapeId="0" xr:uid="{00000000-0006-0000-0300-00009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6" authorId="0" shapeId="0" xr:uid="{00000000-0006-0000-0300-00009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6" authorId="0" shapeId="0" xr:uid="{00000000-0006-0000-0300-00009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6" authorId="0" shapeId="0" xr:uid="{00000000-0006-0000-0300-00009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6" authorId="0" shapeId="0" xr:uid="{00000000-0006-0000-0300-00009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6" authorId="0" shapeId="0" xr:uid="{00000000-0006-0000-0300-00009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6" authorId="0" shapeId="0" xr:uid="{00000000-0006-0000-0300-00009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6" authorId="0" shapeId="0" xr:uid="{00000000-0006-0000-0300-0000A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6" authorId="0" shapeId="0" xr:uid="{00000000-0006-0000-0300-0000A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6" authorId="0" shapeId="0" xr:uid="{00000000-0006-0000-0300-0000A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6" authorId="0" shapeId="0" xr:uid="{00000000-0006-0000-0300-0000A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6" authorId="0" shapeId="0" xr:uid="{00000000-0006-0000-0300-0000A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6" authorId="0" shapeId="0" xr:uid="{00000000-0006-0000-0300-0000A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6" authorId="0" shapeId="0" xr:uid="{00000000-0006-0000-0300-0000A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6" authorId="0" shapeId="0" xr:uid="{00000000-0006-0000-0300-0000A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6" authorId="0" shapeId="0" xr:uid="{00000000-0006-0000-0300-0000A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6" authorId="0" shapeId="0" xr:uid="{00000000-0006-0000-0300-0000A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6" authorId="0" shapeId="0" xr:uid="{00000000-0006-0000-0300-0000A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6" authorId="0" shapeId="0" xr:uid="{00000000-0006-0000-0300-0000A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6" authorId="0" shapeId="0" xr:uid="{00000000-0006-0000-0300-0000A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6" authorId="0" shapeId="0" xr:uid="{00000000-0006-0000-0300-0000A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6" authorId="0" shapeId="0" xr:uid="{00000000-0006-0000-0300-0000A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6" authorId="0" shapeId="0" xr:uid="{00000000-0006-0000-0300-0000A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6" authorId="0" shapeId="0" xr:uid="{00000000-0006-0000-0300-0000B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6" authorId="0" shapeId="0" xr:uid="{00000000-0006-0000-0300-0000B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6" authorId="0" shapeId="0" xr:uid="{00000000-0006-0000-0300-0000B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6" authorId="0" shapeId="0" xr:uid="{00000000-0006-0000-0300-0000B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36" authorId="0" shapeId="0" xr:uid="{00000000-0006-0000-0300-0000B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36" authorId="0" shapeId="0" xr:uid="{00000000-0006-0000-0300-0000B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36" authorId="0" shapeId="0" xr:uid="{00000000-0006-0000-0300-0000B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36" authorId="0" shapeId="0" xr:uid="{00000000-0006-0000-0300-0000B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36" authorId="0" shapeId="0" xr:uid="{00000000-0006-0000-0300-0000B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36" authorId="0" shapeId="0" xr:uid="{00000000-0006-0000-0300-0000B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36" authorId="0" shapeId="0" xr:uid="{00000000-0006-0000-0300-0000B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36" authorId="0" shapeId="0" xr:uid="{00000000-0006-0000-0300-0000B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36" authorId="0" shapeId="0" xr:uid="{00000000-0006-0000-0300-0000B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36" authorId="0" shapeId="0" xr:uid="{00000000-0006-0000-0300-0000B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36" authorId="0" shapeId="0" xr:uid="{00000000-0006-0000-0300-0000B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36" authorId="0" shapeId="0" xr:uid="{00000000-0006-0000-0300-0000B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36" authorId="0" shapeId="0" xr:uid="{00000000-0006-0000-0300-0000C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36" authorId="0" shapeId="0" xr:uid="{00000000-0006-0000-0300-0000C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36" authorId="0" shapeId="0" xr:uid="{00000000-0006-0000-0300-0000C203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36" authorId="0" shapeId="0" xr:uid="{00000000-0006-0000-0300-0000C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36" authorId="0" shapeId="0" xr:uid="{00000000-0006-0000-0300-0000C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36" authorId="0" shapeId="0" xr:uid="{00000000-0006-0000-0300-0000C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36" authorId="0" shapeId="0" xr:uid="{00000000-0006-0000-0300-0000C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36" authorId="0" shapeId="0" xr:uid="{00000000-0006-0000-0300-0000C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36" authorId="0" shapeId="0" xr:uid="{00000000-0006-0000-0300-0000C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7" authorId="0" shapeId="0" xr:uid="{00000000-0006-0000-0300-0000C9030000}">
      <text>
        <r>
          <rPr>
            <sz val="9"/>
            <color indexed="81"/>
            <rFont val="Tahoma"/>
            <charset val="1"/>
          </rPr>
          <t>Date macro run: 10/13/2017 10:03:38 PM</t>
        </r>
      </text>
    </comment>
    <comment ref="B37" authorId="0" shapeId="0" xr:uid="{00000000-0006-0000-0300-0000C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7" authorId="0" shapeId="0" xr:uid="{00000000-0006-0000-0300-0000C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7" authorId="0" shapeId="0" xr:uid="{00000000-0006-0000-0300-0000C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7" authorId="0" shapeId="0" xr:uid="{00000000-0006-0000-0300-0000C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7" authorId="0" shapeId="0" xr:uid="{00000000-0006-0000-0300-0000C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7" authorId="0" shapeId="0" xr:uid="{00000000-0006-0000-0300-0000C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7" authorId="0" shapeId="0" xr:uid="{00000000-0006-0000-0300-0000D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7" authorId="0" shapeId="0" xr:uid="{00000000-0006-0000-0300-0000D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7" authorId="0" shapeId="0" xr:uid="{00000000-0006-0000-0300-0000D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7" authorId="0" shapeId="0" xr:uid="{00000000-0006-0000-0300-0000D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7" authorId="0" shapeId="0" xr:uid="{00000000-0006-0000-0300-0000D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7" authorId="0" shapeId="0" xr:uid="{00000000-0006-0000-0300-0000D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7" authorId="0" shapeId="0" xr:uid="{00000000-0006-0000-0300-0000D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7" authorId="0" shapeId="0" xr:uid="{00000000-0006-0000-0300-0000D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7" authorId="0" shapeId="0" xr:uid="{00000000-0006-0000-0300-0000D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7" authorId="0" shapeId="0" xr:uid="{00000000-0006-0000-0300-0000D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7" authorId="0" shapeId="0" xr:uid="{00000000-0006-0000-0300-0000D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7" authorId="0" shapeId="0" xr:uid="{00000000-0006-0000-0300-0000D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7" authorId="0" shapeId="0" xr:uid="{00000000-0006-0000-0300-0000D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7" authorId="0" shapeId="0" xr:uid="{00000000-0006-0000-0300-0000D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7" authorId="0" shapeId="0" xr:uid="{00000000-0006-0000-0300-0000D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7" authorId="0" shapeId="0" xr:uid="{00000000-0006-0000-0300-0000D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7" authorId="0" shapeId="0" xr:uid="{00000000-0006-0000-0300-0000E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7" authorId="0" shapeId="0" xr:uid="{00000000-0006-0000-0300-0000E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7" authorId="0" shapeId="0" xr:uid="{00000000-0006-0000-0300-0000E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7" authorId="0" shapeId="0" xr:uid="{00000000-0006-0000-0300-0000E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7" authorId="0" shapeId="0" xr:uid="{00000000-0006-0000-0300-0000E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7" authorId="0" shapeId="0" xr:uid="{00000000-0006-0000-0300-0000E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7" authorId="0" shapeId="0" xr:uid="{00000000-0006-0000-0300-0000E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7" authorId="0" shapeId="0" xr:uid="{00000000-0006-0000-0300-0000E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7" authorId="0" shapeId="0" xr:uid="{00000000-0006-0000-0300-0000E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7" authorId="0" shapeId="0" xr:uid="{00000000-0006-0000-0300-0000E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7" authorId="0" shapeId="0" xr:uid="{00000000-0006-0000-0300-0000E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7" authorId="0" shapeId="0" xr:uid="{00000000-0006-0000-0300-0000E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7" authorId="0" shapeId="0" xr:uid="{00000000-0006-0000-0300-0000E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7" authorId="0" shapeId="0" xr:uid="{00000000-0006-0000-0300-0000E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7" authorId="0" shapeId="0" xr:uid="{00000000-0006-0000-0300-0000E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7" authorId="0" shapeId="0" xr:uid="{00000000-0006-0000-0300-0000E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7" authorId="0" shapeId="0" xr:uid="{00000000-0006-0000-0300-0000F0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7" authorId="0" shapeId="0" xr:uid="{00000000-0006-0000-0300-0000F1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7" authorId="0" shapeId="0" xr:uid="{00000000-0006-0000-0300-0000F2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7" authorId="0" shapeId="0" xr:uid="{00000000-0006-0000-0300-0000F3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7" authorId="0" shapeId="0" xr:uid="{00000000-0006-0000-0300-0000F4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7" authorId="0" shapeId="0" xr:uid="{00000000-0006-0000-0300-0000F5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7" authorId="0" shapeId="0" xr:uid="{00000000-0006-0000-0300-0000F6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37" authorId="0" shapeId="0" xr:uid="{00000000-0006-0000-0300-0000F7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37" authorId="0" shapeId="0" xr:uid="{00000000-0006-0000-0300-0000F8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37" authorId="0" shapeId="0" xr:uid="{00000000-0006-0000-0300-0000F9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37" authorId="0" shapeId="0" xr:uid="{00000000-0006-0000-0300-0000FA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37" authorId="0" shapeId="0" xr:uid="{00000000-0006-0000-0300-0000FB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37" authorId="0" shapeId="0" xr:uid="{00000000-0006-0000-0300-0000FC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37" authorId="0" shapeId="0" xr:uid="{00000000-0006-0000-0300-0000FD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37" authorId="0" shapeId="0" xr:uid="{00000000-0006-0000-0300-0000FE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37" authorId="0" shapeId="0" xr:uid="{00000000-0006-0000-0300-0000FF0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37" authorId="0" shapeId="0" xr:uid="{00000000-0006-0000-0300-00000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37" authorId="0" shapeId="0" xr:uid="{00000000-0006-0000-0300-00000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37" authorId="0" shapeId="0" xr:uid="{00000000-0006-0000-0300-00000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37" authorId="0" shapeId="0" xr:uid="{00000000-0006-0000-0300-00000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37" authorId="0" shapeId="0" xr:uid="{00000000-0006-0000-0300-00000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37" authorId="0" shapeId="0" xr:uid="{00000000-0006-0000-0300-00000504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37" authorId="0" shapeId="0" xr:uid="{00000000-0006-0000-0300-00000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37" authorId="0" shapeId="0" xr:uid="{00000000-0006-0000-0300-00000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37" authorId="0" shapeId="0" xr:uid="{00000000-0006-0000-0300-00000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37" authorId="0" shapeId="0" xr:uid="{00000000-0006-0000-0300-00000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37" authorId="0" shapeId="0" xr:uid="{00000000-0006-0000-0300-00000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37" authorId="0" shapeId="0" xr:uid="{00000000-0006-0000-0300-00000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8" authorId="0" shapeId="0" xr:uid="{00000000-0006-0000-0300-00000C040000}">
      <text>
        <r>
          <rPr>
            <sz val="9"/>
            <color indexed="81"/>
            <rFont val="Tahoma"/>
            <charset val="1"/>
          </rPr>
          <t>Date macro run: 10/16/2017 11:02:01 PM</t>
        </r>
      </text>
    </comment>
    <comment ref="B38" authorId="0" shapeId="0" xr:uid="{00000000-0006-0000-0300-00000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8" authorId="0" shapeId="0" xr:uid="{00000000-0006-0000-0300-00000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8" authorId="0" shapeId="0" xr:uid="{00000000-0006-0000-0300-00000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8" authorId="0" shapeId="0" xr:uid="{00000000-0006-0000-0300-00001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8" authorId="0" shapeId="0" xr:uid="{00000000-0006-0000-0300-00001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8" authorId="0" shapeId="0" xr:uid="{00000000-0006-0000-0300-00001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8" authorId="0" shapeId="0" xr:uid="{00000000-0006-0000-0300-00001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8" authorId="0" shapeId="0" xr:uid="{00000000-0006-0000-0300-00001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8" authorId="0" shapeId="0" xr:uid="{00000000-0006-0000-0300-00001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8" authorId="0" shapeId="0" xr:uid="{00000000-0006-0000-0300-00001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8" authorId="0" shapeId="0" xr:uid="{00000000-0006-0000-0300-00001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8" authorId="0" shapeId="0" xr:uid="{00000000-0006-0000-0300-00001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8" authorId="0" shapeId="0" xr:uid="{00000000-0006-0000-0300-00001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8" authorId="0" shapeId="0" xr:uid="{00000000-0006-0000-0300-00001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8" authorId="0" shapeId="0" xr:uid="{00000000-0006-0000-0300-00001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8" authorId="0" shapeId="0" xr:uid="{00000000-0006-0000-0300-00001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8" authorId="0" shapeId="0" xr:uid="{00000000-0006-0000-0300-00001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8" authorId="0" shapeId="0" xr:uid="{00000000-0006-0000-0300-00001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8" authorId="0" shapeId="0" xr:uid="{00000000-0006-0000-0300-00001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8" authorId="0" shapeId="0" xr:uid="{00000000-0006-0000-0300-00002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8" authorId="0" shapeId="0" xr:uid="{00000000-0006-0000-0300-00002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8" authorId="0" shapeId="0" xr:uid="{00000000-0006-0000-0300-00002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8" authorId="0" shapeId="0" xr:uid="{00000000-0006-0000-0300-00002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8" authorId="0" shapeId="0" xr:uid="{00000000-0006-0000-0300-00002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8" authorId="0" shapeId="0" xr:uid="{00000000-0006-0000-0300-00002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8" authorId="0" shapeId="0" xr:uid="{00000000-0006-0000-0300-00002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8" authorId="0" shapeId="0" xr:uid="{00000000-0006-0000-0300-00002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8" authorId="0" shapeId="0" xr:uid="{00000000-0006-0000-0300-00002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8" authorId="0" shapeId="0" xr:uid="{00000000-0006-0000-0300-00002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8" authorId="0" shapeId="0" xr:uid="{00000000-0006-0000-0300-00002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8" authorId="0" shapeId="0" xr:uid="{00000000-0006-0000-0300-00002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8" authorId="0" shapeId="0" xr:uid="{00000000-0006-0000-0300-00002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8" authorId="0" shapeId="0" xr:uid="{00000000-0006-0000-0300-00002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8" authorId="0" shapeId="0" xr:uid="{00000000-0006-0000-0300-00002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8" authorId="0" shapeId="0" xr:uid="{00000000-0006-0000-0300-00002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8" authorId="0" shapeId="0" xr:uid="{00000000-0006-0000-0300-00003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8" authorId="0" shapeId="0" xr:uid="{00000000-0006-0000-0300-00003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8" authorId="0" shapeId="0" xr:uid="{00000000-0006-0000-0300-00003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8" authorId="0" shapeId="0" xr:uid="{00000000-0006-0000-0300-00003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8" authorId="0" shapeId="0" xr:uid="{00000000-0006-0000-0300-00003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8" authorId="0" shapeId="0" xr:uid="{00000000-0006-0000-0300-00003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8" authorId="0" shapeId="0" xr:uid="{00000000-0006-0000-0300-00003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8" authorId="0" shapeId="0" xr:uid="{00000000-0006-0000-0300-00003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8" authorId="0" shapeId="0" xr:uid="{00000000-0006-0000-0300-00003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8" authorId="0" shapeId="0" xr:uid="{00000000-0006-0000-0300-00003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38" authorId="0" shapeId="0" xr:uid="{00000000-0006-0000-0300-00003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38" authorId="0" shapeId="0" xr:uid="{00000000-0006-0000-0300-00003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38" authorId="0" shapeId="0" xr:uid="{00000000-0006-0000-0300-00003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38" authorId="0" shapeId="0" xr:uid="{00000000-0006-0000-0300-00003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38" authorId="0" shapeId="0" xr:uid="{00000000-0006-0000-0300-00003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38" authorId="0" shapeId="0" xr:uid="{00000000-0006-0000-0300-00003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38" authorId="0" shapeId="0" xr:uid="{00000000-0006-0000-0300-00004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38" authorId="0" shapeId="0" xr:uid="{00000000-0006-0000-0300-00004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38" authorId="0" shapeId="0" xr:uid="{00000000-0006-0000-0300-00004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38" authorId="0" shapeId="0" xr:uid="{00000000-0006-0000-0300-00004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38" authorId="0" shapeId="0" xr:uid="{00000000-0006-0000-0300-00004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38" authorId="0" shapeId="0" xr:uid="{00000000-0006-0000-0300-00004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38" authorId="0" shapeId="0" xr:uid="{00000000-0006-0000-0300-00004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38" authorId="0" shapeId="0" xr:uid="{00000000-0006-0000-0300-00004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38" authorId="0" shapeId="0" xr:uid="{00000000-0006-0000-0300-00004804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38" authorId="0" shapeId="0" xr:uid="{00000000-0006-0000-0300-00004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38" authorId="0" shapeId="0" xr:uid="{00000000-0006-0000-0300-00004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38" authorId="0" shapeId="0" xr:uid="{00000000-0006-0000-0300-00004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38" authorId="0" shapeId="0" xr:uid="{00000000-0006-0000-0300-00004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38" authorId="0" shapeId="0" xr:uid="{00000000-0006-0000-0300-00004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38" authorId="0" shapeId="0" xr:uid="{00000000-0006-0000-0300-00004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39" authorId="0" shapeId="0" xr:uid="{00000000-0006-0000-0300-00004F040000}">
      <text>
        <r>
          <rPr>
            <sz val="9"/>
            <color indexed="81"/>
            <rFont val="Tahoma"/>
            <charset val="1"/>
          </rPr>
          <t>Date macro run: 10/18/2017 10:42:42 PM</t>
        </r>
      </text>
    </comment>
    <comment ref="B39" authorId="0" shapeId="0" xr:uid="{00000000-0006-0000-0300-00005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39" authorId="0" shapeId="0" xr:uid="{00000000-0006-0000-0300-00005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39" authorId="0" shapeId="0" xr:uid="{00000000-0006-0000-0300-00005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39" authorId="0" shapeId="0" xr:uid="{00000000-0006-0000-0300-00005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39" authorId="0" shapeId="0" xr:uid="{00000000-0006-0000-0300-00005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39" authorId="0" shapeId="0" xr:uid="{00000000-0006-0000-0300-00005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39" authorId="0" shapeId="0" xr:uid="{00000000-0006-0000-0300-00005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39" authorId="0" shapeId="0" xr:uid="{00000000-0006-0000-0300-00005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39" authorId="0" shapeId="0" xr:uid="{00000000-0006-0000-0300-00005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39" authorId="0" shapeId="0" xr:uid="{00000000-0006-0000-0300-00005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39" authorId="0" shapeId="0" xr:uid="{00000000-0006-0000-0300-00005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39" authorId="0" shapeId="0" xr:uid="{00000000-0006-0000-0300-00005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39" authorId="0" shapeId="0" xr:uid="{00000000-0006-0000-0300-00005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39" authorId="0" shapeId="0" xr:uid="{00000000-0006-0000-0300-00005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39" authorId="0" shapeId="0" xr:uid="{00000000-0006-0000-0300-00005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39" authorId="0" shapeId="0" xr:uid="{00000000-0006-0000-0300-00005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39" authorId="0" shapeId="0" xr:uid="{00000000-0006-0000-0300-00006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39" authorId="0" shapeId="0" xr:uid="{00000000-0006-0000-0300-00006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39" authorId="0" shapeId="0" xr:uid="{00000000-0006-0000-0300-00006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39" authorId="0" shapeId="0" xr:uid="{00000000-0006-0000-0300-00006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39" authorId="0" shapeId="0" xr:uid="{00000000-0006-0000-0300-00006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39" authorId="0" shapeId="0" xr:uid="{00000000-0006-0000-0300-00006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39" authorId="0" shapeId="0" xr:uid="{00000000-0006-0000-0300-00006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39" authorId="0" shapeId="0" xr:uid="{00000000-0006-0000-0300-00006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39" authorId="0" shapeId="0" xr:uid="{00000000-0006-0000-0300-00006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39" authorId="0" shapeId="0" xr:uid="{00000000-0006-0000-0300-00006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39" authorId="0" shapeId="0" xr:uid="{00000000-0006-0000-0300-00006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39" authorId="0" shapeId="0" xr:uid="{00000000-0006-0000-0300-00006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39" authorId="0" shapeId="0" xr:uid="{00000000-0006-0000-0300-00006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39" authorId="0" shapeId="0" xr:uid="{00000000-0006-0000-0300-00006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39" authorId="0" shapeId="0" xr:uid="{00000000-0006-0000-0300-00006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39" authorId="0" shapeId="0" xr:uid="{00000000-0006-0000-0300-00006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39" authorId="0" shapeId="0" xr:uid="{00000000-0006-0000-0300-00007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39" authorId="0" shapeId="0" xr:uid="{00000000-0006-0000-0300-00007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39" authorId="0" shapeId="0" xr:uid="{00000000-0006-0000-0300-00007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39" authorId="0" shapeId="0" xr:uid="{00000000-0006-0000-0300-00007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39" authorId="0" shapeId="0" xr:uid="{00000000-0006-0000-0300-00007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39" authorId="0" shapeId="0" xr:uid="{00000000-0006-0000-0300-00007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39" authorId="0" shapeId="0" xr:uid="{00000000-0006-0000-0300-00007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39" authorId="0" shapeId="0" xr:uid="{00000000-0006-0000-0300-00007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39" authorId="0" shapeId="0" xr:uid="{00000000-0006-0000-0300-00007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39" authorId="0" shapeId="0" xr:uid="{00000000-0006-0000-0300-00007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39" authorId="0" shapeId="0" xr:uid="{00000000-0006-0000-0300-00007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39" authorId="0" shapeId="0" xr:uid="{00000000-0006-0000-0300-00007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39" authorId="0" shapeId="0" xr:uid="{00000000-0006-0000-0300-00007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39" authorId="0" shapeId="0" xr:uid="{00000000-0006-0000-0300-00007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39" authorId="0" shapeId="0" xr:uid="{00000000-0006-0000-0300-00007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39" authorId="0" shapeId="0" xr:uid="{00000000-0006-0000-0300-00007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39" authorId="0" shapeId="0" xr:uid="{00000000-0006-0000-0300-00008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39" authorId="0" shapeId="0" xr:uid="{00000000-0006-0000-0300-00008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39" authorId="0" shapeId="0" xr:uid="{00000000-0006-0000-0300-00008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39" authorId="0" shapeId="0" xr:uid="{00000000-0006-0000-0300-00008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39" authorId="0" shapeId="0" xr:uid="{00000000-0006-0000-0300-00008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39" authorId="0" shapeId="0" xr:uid="{00000000-0006-0000-0300-00008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39" authorId="0" shapeId="0" xr:uid="{00000000-0006-0000-0300-00008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39" authorId="0" shapeId="0" xr:uid="{00000000-0006-0000-0300-00008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39" authorId="0" shapeId="0" xr:uid="{00000000-0006-0000-0300-00008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39" authorId="0" shapeId="0" xr:uid="{00000000-0006-0000-0300-00008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39" authorId="0" shapeId="0" xr:uid="{00000000-0006-0000-0300-00008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39" authorId="0" shapeId="0" xr:uid="{00000000-0006-0000-0300-00008B04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39" authorId="0" shapeId="0" xr:uid="{00000000-0006-0000-0300-00008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39" authorId="0" shapeId="0" xr:uid="{00000000-0006-0000-0300-00008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39" authorId="0" shapeId="0" xr:uid="{00000000-0006-0000-0300-00008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39" authorId="0" shapeId="0" xr:uid="{00000000-0006-0000-0300-00008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39" authorId="0" shapeId="0" xr:uid="{00000000-0006-0000-0300-00009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39" authorId="0" shapeId="0" xr:uid="{00000000-0006-0000-0300-00009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39" authorId="0" shapeId="0" xr:uid="{00000000-0006-0000-0300-00009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0" authorId="0" shapeId="0" xr:uid="{00000000-0006-0000-0300-000093040000}">
      <text>
        <r>
          <rPr>
            <sz val="9"/>
            <color indexed="81"/>
            <rFont val="Tahoma"/>
            <charset val="1"/>
          </rPr>
          <t>Date macro run: 10/19/2017 10:48:59 PM</t>
        </r>
      </text>
    </comment>
    <comment ref="B40" authorId="0" shapeId="0" xr:uid="{00000000-0006-0000-0300-00009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0" authorId="0" shapeId="0" xr:uid="{00000000-0006-0000-0300-00009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0" authorId="0" shapeId="0" xr:uid="{00000000-0006-0000-0300-00009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0" authorId="0" shapeId="0" xr:uid="{00000000-0006-0000-0300-00009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0" authorId="0" shapeId="0" xr:uid="{00000000-0006-0000-0300-00009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0" authorId="0" shapeId="0" xr:uid="{00000000-0006-0000-0300-00009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0" authorId="0" shapeId="0" xr:uid="{00000000-0006-0000-0300-00009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0" authorId="0" shapeId="0" xr:uid="{00000000-0006-0000-0300-00009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0" authorId="0" shapeId="0" xr:uid="{00000000-0006-0000-0300-00009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0" authorId="0" shapeId="0" xr:uid="{00000000-0006-0000-0300-00009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0" authorId="0" shapeId="0" xr:uid="{00000000-0006-0000-0300-00009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0" authorId="0" shapeId="0" xr:uid="{00000000-0006-0000-0300-00009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0" authorId="0" shapeId="0" xr:uid="{00000000-0006-0000-0300-0000A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0" authorId="0" shapeId="0" xr:uid="{00000000-0006-0000-0300-0000A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0" authorId="0" shapeId="0" xr:uid="{00000000-0006-0000-0300-0000A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0" authorId="0" shapeId="0" xr:uid="{00000000-0006-0000-0300-0000A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0" authorId="0" shapeId="0" xr:uid="{00000000-0006-0000-0300-0000A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0" authorId="0" shapeId="0" xr:uid="{00000000-0006-0000-0300-0000A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0" authorId="0" shapeId="0" xr:uid="{00000000-0006-0000-0300-0000A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0" authorId="0" shapeId="0" xr:uid="{00000000-0006-0000-0300-0000A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0" authorId="0" shapeId="0" xr:uid="{00000000-0006-0000-0300-0000A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0" authorId="0" shapeId="0" xr:uid="{00000000-0006-0000-0300-0000A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0" authorId="0" shapeId="0" xr:uid="{00000000-0006-0000-0300-0000A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0" authorId="0" shapeId="0" xr:uid="{00000000-0006-0000-0300-0000A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0" authorId="0" shapeId="0" xr:uid="{00000000-0006-0000-0300-0000A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0" authorId="0" shapeId="0" xr:uid="{00000000-0006-0000-0300-0000A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0" authorId="0" shapeId="0" xr:uid="{00000000-0006-0000-0300-0000A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0" authorId="0" shapeId="0" xr:uid="{00000000-0006-0000-0300-0000A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0" authorId="0" shapeId="0" xr:uid="{00000000-0006-0000-0300-0000B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0" authorId="0" shapeId="0" xr:uid="{00000000-0006-0000-0300-0000B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0" authorId="0" shapeId="0" xr:uid="{00000000-0006-0000-0300-0000B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0" authorId="0" shapeId="0" xr:uid="{00000000-0006-0000-0300-0000B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0" authorId="0" shapeId="0" xr:uid="{00000000-0006-0000-0300-0000B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0" authorId="0" shapeId="0" xr:uid="{00000000-0006-0000-0300-0000B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0" authorId="0" shapeId="0" xr:uid="{00000000-0006-0000-0300-0000B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0" authorId="0" shapeId="0" xr:uid="{00000000-0006-0000-0300-0000B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0" authorId="0" shapeId="0" xr:uid="{00000000-0006-0000-0300-0000B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0" authorId="0" shapeId="0" xr:uid="{00000000-0006-0000-0300-0000B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0" authorId="0" shapeId="0" xr:uid="{00000000-0006-0000-0300-0000B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0" authorId="0" shapeId="0" xr:uid="{00000000-0006-0000-0300-0000B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0" authorId="0" shapeId="0" xr:uid="{00000000-0006-0000-0300-0000B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0" authorId="0" shapeId="0" xr:uid="{00000000-0006-0000-0300-0000B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0" authorId="0" shapeId="0" xr:uid="{00000000-0006-0000-0300-0000B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0" authorId="0" shapeId="0" xr:uid="{00000000-0006-0000-0300-0000B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0" authorId="0" shapeId="0" xr:uid="{00000000-0006-0000-0300-0000C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0" authorId="0" shapeId="0" xr:uid="{00000000-0006-0000-0300-0000C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0" authorId="0" shapeId="0" xr:uid="{00000000-0006-0000-0300-0000C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0" authorId="0" shapeId="0" xr:uid="{00000000-0006-0000-0300-0000C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0" authorId="0" shapeId="0" xr:uid="{00000000-0006-0000-0300-0000C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0" authorId="0" shapeId="0" xr:uid="{00000000-0006-0000-0300-0000C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0" authorId="0" shapeId="0" xr:uid="{00000000-0006-0000-0300-0000C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0" authorId="0" shapeId="0" xr:uid="{00000000-0006-0000-0300-0000C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0" authorId="0" shapeId="0" xr:uid="{00000000-0006-0000-0300-0000C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0" authorId="0" shapeId="0" xr:uid="{00000000-0006-0000-0300-0000C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0" authorId="0" shapeId="0" xr:uid="{00000000-0006-0000-0300-0000C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0" authorId="0" shapeId="0" xr:uid="{00000000-0006-0000-0300-0000C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0" authorId="0" shapeId="0" xr:uid="{00000000-0006-0000-0300-0000C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0" authorId="0" shapeId="0" xr:uid="{00000000-0006-0000-0300-0000C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0" authorId="0" shapeId="0" xr:uid="{00000000-0006-0000-0300-0000C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0" authorId="0" shapeId="0" xr:uid="{00000000-0006-0000-0300-0000CF04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0" authorId="0" shapeId="0" xr:uid="{00000000-0006-0000-0300-0000D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0" authorId="0" shapeId="0" xr:uid="{00000000-0006-0000-0300-0000D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0" authorId="0" shapeId="0" xr:uid="{00000000-0006-0000-0300-0000D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0" authorId="0" shapeId="0" xr:uid="{00000000-0006-0000-0300-0000D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0" authorId="0" shapeId="0" xr:uid="{00000000-0006-0000-0300-0000D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0" authorId="0" shapeId="0" xr:uid="{00000000-0006-0000-0300-0000D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0" authorId="0" shapeId="0" xr:uid="{00000000-0006-0000-0300-0000D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0" authorId="0" shapeId="0" xr:uid="{00000000-0006-0000-0300-0000D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1" authorId="0" shapeId="0" xr:uid="{00000000-0006-0000-0300-0000D8040000}">
      <text>
        <r>
          <rPr>
            <sz val="9"/>
            <color indexed="81"/>
            <rFont val="Tahoma"/>
            <charset val="1"/>
          </rPr>
          <t>Date macro run: 10/20/2017 10:33:36 PM</t>
        </r>
      </text>
    </comment>
    <comment ref="B41" authorId="0" shapeId="0" xr:uid="{00000000-0006-0000-0300-0000D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1" authorId="0" shapeId="0" xr:uid="{00000000-0006-0000-0300-0000D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1" authorId="0" shapeId="0" xr:uid="{00000000-0006-0000-0300-0000D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1" authorId="0" shapeId="0" xr:uid="{00000000-0006-0000-0300-0000D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1" authorId="0" shapeId="0" xr:uid="{00000000-0006-0000-0300-0000D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1" authorId="0" shapeId="0" xr:uid="{00000000-0006-0000-0300-0000D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1" authorId="0" shapeId="0" xr:uid="{00000000-0006-0000-0300-0000D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1" authorId="0" shapeId="0" xr:uid="{00000000-0006-0000-0300-0000E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1" authorId="0" shapeId="0" xr:uid="{00000000-0006-0000-0300-0000E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1" authorId="0" shapeId="0" xr:uid="{00000000-0006-0000-0300-0000E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1" authorId="0" shapeId="0" xr:uid="{00000000-0006-0000-0300-0000E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1" authorId="0" shapeId="0" xr:uid="{00000000-0006-0000-0300-0000E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1" authorId="0" shapeId="0" xr:uid="{00000000-0006-0000-0300-0000E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1" authorId="0" shapeId="0" xr:uid="{00000000-0006-0000-0300-0000E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1" authorId="0" shapeId="0" xr:uid="{00000000-0006-0000-0300-0000E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1" authorId="0" shapeId="0" xr:uid="{00000000-0006-0000-0300-0000E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1" authorId="0" shapeId="0" xr:uid="{00000000-0006-0000-0300-0000E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1" authorId="0" shapeId="0" xr:uid="{00000000-0006-0000-0300-0000E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1" authorId="0" shapeId="0" xr:uid="{00000000-0006-0000-0300-0000E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1" authorId="0" shapeId="0" xr:uid="{00000000-0006-0000-0300-0000E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1" authorId="0" shapeId="0" xr:uid="{00000000-0006-0000-0300-0000E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1" authorId="0" shapeId="0" xr:uid="{00000000-0006-0000-0300-0000E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1" authorId="0" shapeId="0" xr:uid="{00000000-0006-0000-0300-0000E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1" authorId="0" shapeId="0" xr:uid="{00000000-0006-0000-0300-0000F0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1" authorId="0" shapeId="0" xr:uid="{00000000-0006-0000-0300-0000F1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1" authorId="0" shapeId="0" xr:uid="{00000000-0006-0000-0300-0000F2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1" authorId="0" shapeId="0" xr:uid="{00000000-0006-0000-0300-0000F3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1" authorId="0" shapeId="0" xr:uid="{00000000-0006-0000-0300-0000F4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1" authorId="0" shapeId="0" xr:uid="{00000000-0006-0000-0300-0000F5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1" authorId="0" shapeId="0" xr:uid="{00000000-0006-0000-0300-0000F6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1" authorId="0" shapeId="0" xr:uid="{00000000-0006-0000-0300-0000F7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1" authorId="0" shapeId="0" xr:uid="{00000000-0006-0000-0300-0000F8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1" authorId="0" shapeId="0" xr:uid="{00000000-0006-0000-0300-0000F9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1" authorId="0" shapeId="0" xr:uid="{00000000-0006-0000-0300-0000FA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1" authorId="0" shapeId="0" xr:uid="{00000000-0006-0000-0300-0000FB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1" authorId="0" shapeId="0" xr:uid="{00000000-0006-0000-0300-0000FC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1" authorId="0" shapeId="0" xr:uid="{00000000-0006-0000-0300-0000FD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1" authorId="0" shapeId="0" xr:uid="{00000000-0006-0000-0300-0000FE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1" authorId="0" shapeId="0" xr:uid="{00000000-0006-0000-0300-0000FF0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1" authorId="0" shapeId="0" xr:uid="{00000000-0006-0000-0300-00000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1" authorId="0" shapeId="0" xr:uid="{00000000-0006-0000-0300-00000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1" authorId="0" shapeId="0" xr:uid="{00000000-0006-0000-0300-00000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1" authorId="0" shapeId="0" xr:uid="{00000000-0006-0000-0300-00000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1" authorId="0" shapeId="0" xr:uid="{00000000-0006-0000-0300-00000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1" authorId="0" shapeId="0" xr:uid="{00000000-0006-0000-0300-00000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1" authorId="0" shapeId="0" xr:uid="{00000000-0006-0000-0300-00000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1" authorId="0" shapeId="0" xr:uid="{00000000-0006-0000-0300-00000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1" authorId="0" shapeId="0" xr:uid="{00000000-0006-0000-0300-00000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1" authorId="0" shapeId="0" xr:uid="{00000000-0006-0000-0300-00000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1" authorId="0" shapeId="0" xr:uid="{00000000-0006-0000-0300-00000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1" authorId="0" shapeId="0" xr:uid="{00000000-0006-0000-0300-00000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1" authorId="0" shapeId="0" xr:uid="{00000000-0006-0000-0300-00000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1" authorId="0" shapeId="0" xr:uid="{00000000-0006-0000-0300-00000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1" authorId="0" shapeId="0" xr:uid="{00000000-0006-0000-0300-00000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1" authorId="0" shapeId="0" xr:uid="{00000000-0006-0000-0300-00000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1" authorId="0" shapeId="0" xr:uid="{00000000-0006-0000-0300-00001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1" authorId="0" shapeId="0" xr:uid="{00000000-0006-0000-0300-00001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1" authorId="0" shapeId="0" xr:uid="{00000000-0006-0000-0300-00001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1" authorId="0" shapeId="0" xr:uid="{00000000-0006-0000-0300-00001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1" authorId="0" shapeId="0" xr:uid="{00000000-0006-0000-0300-00001405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1" authorId="0" shapeId="0" xr:uid="{00000000-0006-0000-0300-00001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1" authorId="0" shapeId="0" xr:uid="{00000000-0006-0000-0300-00001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1" authorId="0" shapeId="0" xr:uid="{00000000-0006-0000-0300-00001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1" authorId="0" shapeId="0" xr:uid="{00000000-0006-0000-0300-00001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1" authorId="0" shapeId="0" xr:uid="{00000000-0006-0000-0300-00001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1" authorId="0" shapeId="0" xr:uid="{00000000-0006-0000-0300-00001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1" authorId="0" shapeId="0" xr:uid="{00000000-0006-0000-0300-00001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1" authorId="0" shapeId="0" xr:uid="{00000000-0006-0000-0300-00001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2" authorId="0" shapeId="0" xr:uid="{00000000-0006-0000-0300-00001D050000}">
      <text>
        <r>
          <rPr>
            <sz val="9"/>
            <color indexed="81"/>
            <rFont val="Tahoma"/>
            <charset val="1"/>
          </rPr>
          <t>Date macro run: 10/23/2017 10:22:13 PM</t>
        </r>
      </text>
    </comment>
    <comment ref="B42" authorId="0" shapeId="0" xr:uid="{00000000-0006-0000-0300-00001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2" authorId="0" shapeId="0" xr:uid="{00000000-0006-0000-0300-00001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2" authorId="0" shapeId="0" xr:uid="{00000000-0006-0000-0300-00002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2" authorId="0" shapeId="0" xr:uid="{00000000-0006-0000-0300-00002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2" authorId="0" shapeId="0" xr:uid="{00000000-0006-0000-0300-00002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2" authorId="0" shapeId="0" xr:uid="{00000000-0006-0000-0300-00002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2" authorId="0" shapeId="0" xr:uid="{00000000-0006-0000-0300-00002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2" authorId="0" shapeId="0" xr:uid="{00000000-0006-0000-0300-00002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2" authorId="0" shapeId="0" xr:uid="{00000000-0006-0000-0300-00002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2" authorId="0" shapeId="0" xr:uid="{00000000-0006-0000-0300-00002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2" authorId="0" shapeId="0" xr:uid="{00000000-0006-0000-0300-00002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2" authorId="0" shapeId="0" xr:uid="{00000000-0006-0000-0300-00002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2" authorId="0" shapeId="0" xr:uid="{00000000-0006-0000-0300-00002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2" authorId="0" shapeId="0" xr:uid="{00000000-0006-0000-0300-00002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2" authorId="0" shapeId="0" xr:uid="{00000000-0006-0000-0300-00002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2" authorId="0" shapeId="0" xr:uid="{00000000-0006-0000-0300-00002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2" authorId="0" shapeId="0" xr:uid="{00000000-0006-0000-0300-00002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2" authorId="0" shapeId="0" xr:uid="{00000000-0006-0000-0300-00002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2" authorId="0" shapeId="0" xr:uid="{00000000-0006-0000-0300-00003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2" authorId="0" shapeId="0" xr:uid="{00000000-0006-0000-0300-00003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2" authorId="0" shapeId="0" xr:uid="{00000000-0006-0000-0300-00003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2" authorId="0" shapeId="0" xr:uid="{00000000-0006-0000-0300-00003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2" authorId="0" shapeId="0" xr:uid="{00000000-0006-0000-0300-00003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2" authorId="0" shapeId="0" xr:uid="{00000000-0006-0000-0300-00003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2" authorId="0" shapeId="0" xr:uid="{00000000-0006-0000-0300-00003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2" authorId="0" shapeId="0" xr:uid="{00000000-0006-0000-0300-00003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2" authorId="0" shapeId="0" xr:uid="{00000000-0006-0000-0300-00003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2" authorId="0" shapeId="0" xr:uid="{00000000-0006-0000-0300-00003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2" authorId="0" shapeId="0" xr:uid="{00000000-0006-0000-0300-00003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2" authorId="0" shapeId="0" xr:uid="{00000000-0006-0000-0300-00003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2" authorId="0" shapeId="0" xr:uid="{00000000-0006-0000-0300-00003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2" authorId="0" shapeId="0" xr:uid="{00000000-0006-0000-0300-00003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2" authorId="0" shapeId="0" xr:uid="{00000000-0006-0000-0300-00003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2" authorId="0" shapeId="0" xr:uid="{00000000-0006-0000-0300-00003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2" authorId="0" shapeId="0" xr:uid="{00000000-0006-0000-0300-00004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2" authorId="0" shapeId="0" xr:uid="{00000000-0006-0000-0300-00004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2" authorId="0" shapeId="0" xr:uid="{00000000-0006-0000-0300-00004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2" authorId="0" shapeId="0" xr:uid="{00000000-0006-0000-0300-00004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2" authorId="0" shapeId="0" xr:uid="{00000000-0006-0000-0300-00004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2" authorId="0" shapeId="0" xr:uid="{00000000-0006-0000-0300-00004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2" authorId="0" shapeId="0" xr:uid="{00000000-0006-0000-0300-00004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2" authorId="0" shapeId="0" xr:uid="{00000000-0006-0000-0300-00004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2" authorId="0" shapeId="0" xr:uid="{00000000-0006-0000-0300-00004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2" authorId="0" shapeId="0" xr:uid="{00000000-0006-0000-0300-00004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2" authorId="0" shapeId="0" xr:uid="{00000000-0006-0000-0300-00004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2" authorId="0" shapeId="0" xr:uid="{00000000-0006-0000-0300-00004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2" authorId="0" shapeId="0" xr:uid="{00000000-0006-0000-0300-00004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2" authorId="0" shapeId="0" xr:uid="{00000000-0006-0000-0300-00004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2" authorId="0" shapeId="0" xr:uid="{00000000-0006-0000-0300-00004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2" authorId="0" shapeId="0" xr:uid="{00000000-0006-0000-0300-00004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2" authorId="0" shapeId="0" xr:uid="{00000000-0006-0000-0300-00005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2" authorId="0" shapeId="0" xr:uid="{00000000-0006-0000-0300-00005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2" authorId="0" shapeId="0" xr:uid="{00000000-0006-0000-0300-00005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2" authorId="0" shapeId="0" xr:uid="{00000000-0006-0000-0300-00005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2" authorId="0" shapeId="0" xr:uid="{00000000-0006-0000-0300-00005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2" authorId="0" shapeId="0" xr:uid="{00000000-0006-0000-0300-00005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2" authorId="0" shapeId="0" xr:uid="{00000000-0006-0000-0300-00005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2" authorId="0" shapeId="0" xr:uid="{00000000-0006-0000-0300-00005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2" authorId="0" shapeId="0" xr:uid="{00000000-0006-0000-0300-00005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2" authorId="0" shapeId="0" xr:uid="{00000000-0006-0000-0300-00005905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2" authorId="0" shapeId="0" xr:uid="{00000000-0006-0000-0300-00005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2" authorId="0" shapeId="0" xr:uid="{00000000-0006-0000-0300-00005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2" authorId="0" shapeId="0" xr:uid="{00000000-0006-0000-0300-00005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2" authorId="0" shapeId="0" xr:uid="{00000000-0006-0000-0300-00005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2" authorId="0" shapeId="0" xr:uid="{00000000-0006-0000-0300-00005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2" authorId="0" shapeId="0" xr:uid="{00000000-0006-0000-0300-00005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2" authorId="0" shapeId="0" xr:uid="{00000000-0006-0000-0300-00006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2" authorId="0" shapeId="0" xr:uid="{00000000-0006-0000-0300-00006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3" authorId="0" shapeId="0" xr:uid="{00000000-0006-0000-0300-000062050000}">
      <text>
        <r>
          <rPr>
            <sz val="9"/>
            <color indexed="81"/>
            <rFont val="Tahoma"/>
            <charset val="1"/>
          </rPr>
          <t>Date macro run: 10/26/2017 10:01:46 PM</t>
        </r>
      </text>
    </comment>
    <comment ref="B43" authorId="0" shapeId="0" xr:uid="{00000000-0006-0000-0300-00006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3" authorId="0" shapeId="0" xr:uid="{00000000-0006-0000-0300-00006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3" authorId="0" shapeId="0" xr:uid="{00000000-0006-0000-0300-00006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3" authorId="0" shapeId="0" xr:uid="{00000000-0006-0000-0300-00006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3" authorId="0" shapeId="0" xr:uid="{00000000-0006-0000-0300-00006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3" authorId="0" shapeId="0" xr:uid="{00000000-0006-0000-0300-00006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3" authorId="0" shapeId="0" xr:uid="{00000000-0006-0000-0300-00006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3" authorId="0" shapeId="0" xr:uid="{00000000-0006-0000-0300-00006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3" authorId="0" shapeId="0" xr:uid="{00000000-0006-0000-0300-00006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3" authorId="0" shapeId="0" xr:uid="{00000000-0006-0000-0300-00006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3" authorId="0" shapeId="0" xr:uid="{00000000-0006-0000-0300-00006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3" authorId="0" shapeId="0" xr:uid="{00000000-0006-0000-0300-00006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3" authorId="0" shapeId="0" xr:uid="{00000000-0006-0000-0300-00006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3" authorId="0" shapeId="0" xr:uid="{00000000-0006-0000-0300-00007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3" authorId="0" shapeId="0" xr:uid="{00000000-0006-0000-0300-00007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3" authorId="0" shapeId="0" xr:uid="{00000000-0006-0000-0300-00007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3" authorId="0" shapeId="0" xr:uid="{00000000-0006-0000-0300-00007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3" authorId="0" shapeId="0" xr:uid="{00000000-0006-0000-0300-00007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3" authorId="0" shapeId="0" xr:uid="{00000000-0006-0000-0300-00007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3" authorId="0" shapeId="0" xr:uid="{00000000-0006-0000-0300-00007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3" authorId="0" shapeId="0" xr:uid="{00000000-0006-0000-0300-00007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3" authorId="0" shapeId="0" xr:uid="{00000000-0006-0000-0300-00007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3" authorId="0" shapeId="0" xr:uid="{00000000-0006-0000-0300-00007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3" authorId="0" shapeId="0" xr:uid="{00000000-0006-0000-0300-00007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3" authorId="0" shapeId="0" xr:uid="{00000000-0006-0000-0300-00007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3" authorId="0" shapeId="0" xr:uid="{00000000-0006-0000-0300-00007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3" authorId="0" shapeId="0" xr:uid="{00000000-0006-0000-0300-00007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3" authorId="0" shapeId="0" xr:uid="{00000000-0006-0000-0300-00007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3" authorId="0" shapeId="0" xr:uid="{00000000-0006-0000-0300-00007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3" authorId="0" shapeId="0" xr:uid="{00000000-0006-0000-0300-00008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3" authorId="0" shapeId="0" xr:uid="{00000000-0006-0000-0300-00008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3" authorId="0" shapeId="0" xr:uid="{00000000-0006-0000-0300-00008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3" authorId="0" shapeId="0" xr:uid="{00000000-0006-0000-0300-00008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3" authorId="0" shapeId="0" xr:uid="{00000000-0006-0000-0300-00008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3" authorId="0" shapeId="0" xr:uid="{00000000-0006-0000-0300-00008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3" authorId="0" shapeId="0" xr:uid="{00000000-0006-0000-0300-00008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3" authorId="0" shapeId="0" xr:uid="{00000000-0006-0000-0300-00008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3" authorId="0" shapeId="0" xr:uid="{00000000-0006-0000-0300-00008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3" authorId="0" shapeId="0" xr:uid="{00000000-0006-0000-0300-00008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3" authorId="0" shapeId="0" xr:uid="{00000000-0006-0000-0300-00008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3" authorId="0" shapeId="0" xr:uid="{00000000-0006-0000-0300-00008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3" authorId="0" shapeId="0" xr:uid="{00000000-0006-0000-0300-00008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3" authorId="0" shapeId="0" xr:uid="{00000000-0006-0000-0300-00008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3" authorId="0" shapeId="0" xr:uid="{00000000-0006-0000-0300-00008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3" authorId="0" shapeId="0" xr:uid="{00000000-0006-0000-0300-00008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3" authorId="0" shapeId="0" xr:uid="{00000000-0006-0000-0300-00009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3" authorId="0" shapeId="0" xr:uid="{00000000-0006-0000-0300-00009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3" authorId="0" shapeId="0" xr:uid="{00000000-0006-0000-0300-00009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3" authorId="0" shapeId="0" xr:uid="{00000000-0006-0000-0300-00009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3" authorId="0" shapeId="0" xr:uid="{00000000-0006-0000-0300-00009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3" authorId="0" shapeId="0" xr:uid="{00000000-0006-0000-0300-00009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3" authorId="0" shapeId="0" xr:uid="{00000000-0006-0000-0300-00009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3" authorId="0" shapeId="0" xr:uid="{00000000-0006-0000-0300-00009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3" authorId="0" shapeId="0" xr:uid="{00000000-0006-0000-0300-00009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3" authorId="0" shapeId="0" xr:uid="{00000000-0006-0000-0300-00009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3" authorId="0" shapeId="0" xr:uid="{00000000-0006-0000-0300-00009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3" authorId="0" shapeId="0" xr:uid="{00000000-0006-0000-0300-00009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3" authorId="0" shapeId="0" xr:uid="{00000000-0006-0000-0300-00009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3" authorId="0" shapeId="0" xr:uid="{00000000-0006-0000-0300-00009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3" authorId="0" shapeId="0" xr:uid="{00000000-0006-0000-0300-00009E05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3" authorId="0" shapeId="0" xr:uid="{00000000-0006-0000-0300-00009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3" authorId="0" shapeId="0" xr:uid="{00000000-0006-0000-0300-0000A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3" authorId="0" shapeId="0" xr:uid="{00000000-0006-0000-0300-0000A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3" authorId="0" shapeId="0" xr:uid="{00000000-0006-0000-0300-0000A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3" authorId="0" shapeId="0" xr:uid="{00000000-0006-0000-0300-0000A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3" authorId="0" shapeId="0" xr:uid="{00000000-0006-0000-0300-0000A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3" authorId="0" shapeId="0" xr:uid="{00000000-0006-0000-0300-0000A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3" authorId="0" shapeId="0" xr:uid="{00000000-0006-0000-0300-0000A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4" authorId="0" shapeId="0" xr:uid="{00000000-0006-0000-0300-0000A7050000}">
      <text>
        <r>
          <rPr>
            <sz val="9"/>
            <color indexed="81"/>
            <rFont val="Tahoma"/>
            <charset val="1"/>
          </rPr>
          <t>Date macro run: 10/27/2017 9:59:54 PM</t>
        </r>
      </text>
    </comment>
    <comment ref="B44" authorId="0" shapeId="0" xr:uid="{00000000-0006-0000-0300-0000A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4" authorId="0" shapeId="0" xr:uid="{00000000-0006-0000-0300-0000A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4" authorId="0" shapeId="0" xr:uid="{00000000-0006-0000-0300-0000A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4" authorId="0" shapeId="0" xr:uid="{00000000-0006-0000-0300-0000A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4" authorId="0" shapeId="0" xr:uid="{00000000-0006-0000-0300-0000A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4" authorId="0" shapeId="0" xr:uid="{00000000-0006-0000-0300-0000A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4" authorId="0" shapeId="0" xr:uid="{00000000-0006-0000-0300-0000A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4" authorId="0" shapeId="0" xr:uid="{00000000-0006-0000-0300-0000A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4" authorId="0" shapeId="0" xr:uid="{00000000-0006-0000-0300-0000B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4" authorId="0" shapeId="0" xr:uid="{00000000-0006-0000-0300-0000B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4" authorId="0" shapeId="0" xr:uid="{00000000-0006-0000-0300-0000B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4" authorId="0" shapeId="0" xr:uid="{00000000-0006-0000-0300-0000B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4" authorId="0" shapeId="0" xr:uid="{00000000-0006-0000-0300-0000B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4" authorId="0" shapeId="0" xr:uid="{00000000-0006-0000-0300-0000B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4" authorId="0" shapeId="0" xr:uid="{00000000-0006-0000-0300-0000B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4" authorId="0" shapeId="0" xr:uid="{00000000-0006-0000-0300-0000B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4" authorId="0" shapeId="0" xr:uid="{00000000-0006-0000-0300-0000B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4" authorId="0" shapeId="0" xr:uid="{00000000-0006-0000-0300-0000B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4" authorId="0" shapeId="0" xr:uid="{00000000-0006-0000-0300-0000B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4" authorId="0" shapeId="0" xr:uid="{00000000-0006-0000-0300-0000B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4" authorId="0" shapeId="0" xr:uid="{00000000-0006-0000-0300-0000B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4" authorId="0" shapeId="0" xr:uid="{00000000-0006-0000-0300-0000B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4" authorId="0" shapeId="0" xr:uid="{00000000-0006-0000-0300-0000B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4" authorId="0" shapeId="0" xr:uid="{00000000-0006-0000-0300-0000B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4" authorId="0" shapeId="0" xr:uid="{00000000-0006-0000-0300-0000C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4" authorId="0" shapeId="0" xr:uid="{00000000-0006-0000-0300-0000C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4" authorId="0" shapeId="0" xr:uid="{00000000-0006-0000-0300-0000C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4" authorId="0" shapeId="0" xr:uid="{00000000-0006-0000-0300-0000C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4" authorId="0" shapeId="0" xr:uid="{00000000-0006-0000-0300-0000C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4" authorId="0" shapeId="0" xr:uid="{00000000-0006-0000-0300-0000C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4" authorId="0" shapeId="0" xr:uid="{00000000-0006-0000-0300-0000C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4" authorId="0" shapeId="0" xr:uid="{00000000-0006-0000-0300-0000C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4" authorId="0" shapeId="0" xr:uid="{00000000-0006-0000-0300-0000C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4" authorId="0" shapeId="0" xr:uid="{00000000-0006-0000-0300-0000C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4" authorId="0" shapeId="0" xr:uid="{00000000-0006-0000-0300-0000C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4" authorId="0" shapeId="0" xr:uid="{00000000-0006-0000-0300-0000C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4" authorId="0" shapeId="0" xr:uid="{00000000-0006-0000-0300-0000C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4" authorId="0" shapeId="0" xr:uid="{00000000-0006-0000-0300-0000C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4" authorId="0" shapeId="0" xr:uid="{00000000-0006-0000-0300-0000C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4" authorId="0" shapeId="0" xr:uid="{00000000-0006-0000-0300-0000C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4" authorId="0" shapeId="0" xr:uid="{00000000-0006-0000-0300-0000D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4" authorId="0" shapeId="0" xr:uid="{00000000-0006-0000-0300-0000D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4" authorId="0" shapeId="0" xr:uid="{00000000-0006-0000-0300-0000D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4" authorId="0" shapeId="0" xr:uid="{00000000-0006-0000-0300-0000D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4" authorId="0" shapeId="0" xr:uid="{00000000-0006-0000-0300-0000D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4" authorId="0" shapeId="0" xr:uid="{00000000-0006-0000-0300-0000D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4" authorId="0" shapeId="0" xr:uid="{00000000-0006-0000-0300-0000D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4" authorId="0" shapeId="0" xr:uid="{00000000-0006-0000-0300-0000D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4" authorId="0" shapeId="0" xr:uid="{00000000-0006-0000-0300-0000D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4" authorId="0" shapeId="0" xr:uid="{00000000-0006-0000-0300-0000D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4" authorId="0" shapeId="0" xr:uid="{00000000-0006-0000-0300-0000D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4" authorId="0" shapeId="0" xr:uid="{00000000-0006-0000-0300-0000D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4" authorId="0" shapeId="0" xr:uid="{00000000-0006-0000-0300-0000D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4" authorId="0" shapeId="0" xr:uid="{00000000-0006-0000-0300-0000D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4" authorId="0" shapeId="0" xr:uid="{00000000-0006-0000-0300-0000D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4" authorId="0" shapeId="0" xr:uid="{00000000-0006-0000-0300-0000D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4" authorId="0" shapeId="0" xr:uid="{00000000-0006-0000-0300-0000E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4" authorId="0" shapeId="0" xr:uid="{00000000-0006-0000-0300-0000E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4" authorId="0" shapeId="0" xr:uid="{00000000-0006-0000-0300-0000E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4" authorId="0" shapeId="0" xr:uid="{00000000-0006-0000-0300-0000E305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4" authorId="0" shapeId="0" xr:uid="{00000000-0006-0000-0300-0000E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4" authorId="0" shapeId="0" xr:uid="{00000000-0006-0000-0300-0000E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4" authorId="0" shapeId="0" xr:uid="{00000000-0006-0000-0300-0000E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4" authorId="0" shapeId="0" xr:uid="{00000000-0006-0000-0300-0000E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4" authorId="0" shapeId="0" xr:uid="{00000000-0006-0000-0300-0000E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4" authorId="0" shapeId="0" xr:uid="{00000000-0006-0000-0300-0000E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4" authorId="0" shapeId="0" xr:uid="{00000000-0006-0000-0300-0000E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4" authorId="0" shapeId="0" xr:uid="{00000000-0006-0000-0300-0000E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5" authorId="0" shapeId="0" xr:uid="{00000000-0006-0000-0300-0000EC050000}">
      <text>
        <r>
          <rPr>
            <sz val="9"/>
            <color indexed="81"/>
            <rFont val="Tahoma"/>
            <charset val="1"/>
          </rPr>
          <t>Date macro run: 10/30/2017 10:38:50 PM</t>
        </r>
      </text>
    </comment>
    <comment ref="B45" authorId="0" shapeId="0" xr:uid="{00000000-0006-0000-0300-0000E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5" authorId="0" shapeId="0" xr:uid="{00000000-0006-0000-0300-0000E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5" authorId="0" shapeId="0" xr:uid="{00000000-0006-0000-0300-0000E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5" authorId="0" shapeId="0" xr:uid="{00000000-0006-0000-0300-0000F0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5" authorId="0" shapeId="0" xr:uid="{00000000-0006-0000-0300-0000F1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5" authorId="0" shapeId="0" xr:uid="{00000000-0006-0000-0300-0000F2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5" authorId="0" shapeId="0" xr:uid="{00000000-0006-0000-0300-0000F3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5" authorId="0" shapeId="0" xr:uid="{00000000-0006-0000-0300-0000F4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5" authorId="0" shapeId="0" xr:uid="{00000000-0006-0000-0300-0000F5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5" authorId="0" shapeId="0" xr:uid="{00000000-0006-0000-0300-0000F6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5" authorId="0" shapeId="0" xr:uid="{00000000-0006-0000-0300-0000F7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5" authorId="0" shapeId="0" xr:uid="{00000000-0006-0000-0300-0000F8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5" authorId="0" shapeId="0" xr:uid="{00000000-0006-0000-0300-0000F9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5" authorId="0" shapeId="0" xr:uid="{00000000-0006-0000-0300-0000FA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5" authorId="0" shapeId="0" xr:uid="{00000000-0006-0000-0300-0000FB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5" authorId="0" shapeId="0" xr:uid="{00000000-0006-0000-0300-0000FC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5" authorId="0" shapeId="0" xr:uid="{00000000-0006-0000-0300-0000FD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5" authorId="0" shapeId="0" xr:uid="{00000000-0006-0000-0300-0000FE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5" authorId="0" shapeId="0" xr:uid="{00000000-0006-0000-0300-0000FF0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5" authorId="0" shapeId="0" xr:uid="{00000000-0006-0000-0300-00000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5" authorId="0" shapeId="0" xr:uid="{00000000-0006-0000-0300-00000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5" authorId="0" shapeId="0" xr:uid="{00000000-0006-0000-0300-00000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5" authorId="0" shapeId="0" xr:uid="{00000000-0006-0000-0300-00000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5" authorId="0" shapeId="0" xr:uid="{00000000-0006-0000-0300-00000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5" authorId="0" shapeId="0" xr:uid="{00000000-0006-0000-0300-00000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5" authorId="0" shapeId="0" xr:uid="{00000000-0006-0000-0300-00000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5" authorId="0" shapeId="0" xr:uid="{00000000-0006-0000-0300-00000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5" authorId="0" shapeId="0" xr:uid="{00000000-0006-0000-0300-00000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5" authorId="0" shapeId="0" xr:uid="{00000000-0006-0000-0300-00000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5" authorId="0" shapeId="0" xr:uid="{00000000-0006-0000-0300-00000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5" authorId="0" shapeId="0" xr:uid="{00000000-0006-0000-0300-00000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5" authorId="0" shapeId="0" xr:uid="{00000000-0006-0000-0300-00000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5" authorId="0" shapeId="0" xr:uid="{00000000-0006-0000-0300-00000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5" authorId="0" shapeId="0" xr:uid="{00000000-0006-0000-0300-00000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5" authorId="0" shapeId="0" xr:uid="{00000000-0006-0000-0300-00000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5" authorId="0" shapeId="0" xr:uid="{00000000-0006-0000-0300-00001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5" authorId="0" shapeId="0" xr:uid="{00000000-0006-0000-0300-00001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5" authorId="0" shapeId="0" xr:uid="{00000000-0006-0000-0300-00001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5" authorId="0" shapeId="0" xr:uid="{00000000-0006-0000-0300-00001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5" authorId="0" shapeId="0" xr:uid="{00000000-0006-0000-0300-00001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5" authorId="0" shapeId="0" xr:uid="{00000000-0006-0000-0300-00001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5" authorId="0" shapeId="0" xr:uid="{00000000-0006-0000-0300-00001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5" authorId="0" shapeId="0" xr:uid="{00000000-0006-0000-0300-00001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5" authorId="0" shapeId="0" xr:uid="{00000000-0006-0000-0300-00001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5" authorId="0" shapeId="0" xr:uid="{00000000-0006-0000-0300-00001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5" authorId="0" shapeId="0" xr:uid="{00000000-0006-0000-0300-00001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5" authorId="0" shapeId="0" xr:uid="{00000000-0006-0000-0300-00001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5" authorId="0" shapeId="0" xr:uid="{00000000-0006-0000-0300-00001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5" authorId="0" shapeId="0" xr:uid="{00000000-0006-0000-0300-00001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5" authorId="0" shapeId="0" xr:uid="{00000000-0006-0000-0300-00001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5" authorId="0" shapeId="0" xr:uid="{00000000-0006-0000-0300-00001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5" authorId="0" shapeId="0" xr:uid="{00000000-0006-0000-0300-00002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5" authorId="0" shapeId="0" xr:uid="{00000000-0006-0000-0300-00002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5" authorId="0" shapeId="0" xr:uid="{00000000-0006-0000-0300-00002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5" authorId="0" shapeId="0" xr:uid="{00000000-0006-0000-0300-00002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5" authorId="0" shapeId="0" xr:uid="{00000000-0006-0000-0300-00002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5" authorId="0" shapeId="0" xr:uid="{00000000-0006-0000-0300-00002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5" authorId="0" shapeId="0" xr:uid="{00000000-0006-0000-0300-00002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5" authorId="0" shapeId="0" xr:uid="{00000000-0006-0000-0300-00002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5" authorId="0" shapeId="0" xr:uid="{00000000-0006-0000-0300-00002806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5" authorId="0" shapeId="0" xr:uid="{00000000-0006-0000-0300-00002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5" authorId="0" shapeId="0" xr:uid="{00000000-0006-0000-0300-00002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5" authorId="0" shapeId="0" xr:uid="{00000000-0006-0000-0300-00002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5" authorId="0" shapeId="0" xr:uid="{00000000-0006-0000-0300-00002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5" authorId="0" shapeId="0" xr:uid="{00000000-0006-0000-0300-00002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5" authorId="0" shapeId="0" xr:uid="{00000000-0006-0000-0300-00002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5" authorId="0" shapeId="0" xr:uid="{00000000-0006-0000-0300-00002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5" authorId="0" shapeId="0" xr:uid="{00000000-0006-0000-0300-00003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6" authorId="0" shapeId="0" xr:uid="{00000000-0006-0000-0300-000031060000}">
      <text>
        <r>
          <rPr>
            <sz val="9"/>
            <color indexed="81"/>
            <rFont val="Tahoma"/>
            <charset val="1"/>
          </rPr>
          <t>Date macro run: 10/31/2017 10:22:33 PM</t>
        </r>
      </text>
    </comment>
    <comment ref="B46" authorId="0" shapeId="0" xr:uid="{00000000-0006-0000-0300-00003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6" authorId="0" shapeId="0" xr:uid="{00000000-0006-0000-0300-00003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6" authorId="0" shapeId="0" xr:uid="{00000000-0006-0000-0300-00003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6" authorId="0" shapeId="0" xr:uid="{00000000-0006-0000-0300-00003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6" authorId="0" shapeId="0" xr:uid="{00000000-0006-0000-0300-00003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6" authorId="0" shapeId="0" xr:uid="{00000000-0006-0000-0300-00003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6" authorId="0" shapeId="0" xr:uid="{00000000-0006-0000-0300-00003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6" authorId="0" shapeId="0" xr:uid="{00000000-0006-0000-0300-00003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6" authorId="0" shapeId="0" xr:uid="{00000000-0006-0000-0300-00003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6" authorId="0" shapeId="0" xr:uid="{00000000-0006-0000-0300-00003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6" authorId="0" shapeId="0" xr:uid="{00000000-0006-0000-0300-00003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6" authorId="0" shapeId="0" xr:uid="{00000000-0006-0000-0300-00003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6" authorId="0" shapeId="0" xr:uid="{00000000-0006-0000-0300-00003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6" authorId="0" shapeId="0" xr:uid="{00000000-0006-0000-0300-00003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6" authorId="0" shapeId="0" xr:uid="{00000000-0006-0000-0300-00004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6" authorId="0" shapeId="0" xr:uid="{00000000-0006-0000-0300-00004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6" authorId="0" shapeId="0" xr:uid="{00000000-0006-0000-0300-00004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6" authorId="0" shapeId="0" xr:uid="{00000000-0006-0000-0300-00004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6" authorId="0" shapeId="0" xr:uid="{00000000-0006-0000-0300-00004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6" authorId="0" shapeId="0" xr:uid="{00000000-0006-0000-0300-00004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6" authorId="0" shapeId="0" xr:uid="{00000000-0006-0000-0300-00004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6" authorId="0" shapeId="0" xr:uid="{00000000-0006-0000-0300-00004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6" authorId="0" shapeId="0" xr:uid="{00000000-0006-0000-0300-00004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6" authorId="0" shapeId="0" xr:uid="{00000000-0006-0000-0300-00004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6" authorId="0" shapeId="0" xr:uid="{00000000-0006-0000-0300-00004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6" authorId="0" shapeId="0" xr:uid="{00000000-0006-0000-0300-00004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6" authorId="0" shapeId="0" xr:uid="{00000000-0006-0000-0300-00004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6" authorId="0" shapeId="0" xr:uid="{00000000-0006-0000-0300-00004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6" authorId="0" shapeId="0" xr:uid="{00000000-0006-0000-0300-00004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6" authorId="0" shapeId="0" xr:uid="{00000000-0006-0000-0300-00004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6" authorId="0" shapeId="0" xr:uid="{00000000-0006-0000-0300-00005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6" authorId="0" shapeId="0" xr:uid="{00000000-0006-0000-0300-00005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6" authorId="0" shapeId="0" xr:uid="{00000000-0006-0000-0300-00005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6" authorId="0" shapeId="0" xr:uid="{00000000-0006-0000-0300-00005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6" authorId="0" shapeId="0" xr:uid="{00000000-0006-0000-0300-00005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6" authorId="0" shapeId="0" xr:uid="{00000000-0006-0000-0300-00005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6" authorId="0" shapeId="0" xr:uid="{00000000-0006-0000-0300-00005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6" authorId="0" shapeId="0" xr:uid="{00000000-0006-0000-0300-00005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6" authorId="0" shapeId="0" xr:uid="{00000000-0006-0000-0300-00005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6" authorId="0" shapeId="0" xr:uid="{00000000-0006-0000-0300-00005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6" authorId="0" shapeId="0" xr:uid="{00000000-0006-0000-0300-00005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6" authorId="0" shapeId="0" xr:uid="{00000000-0006-0000-0300-00005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6" authorId="0" shapeId="0" xr:uid="{00000000-0006-0000-0300-00005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6" authorId="0" shapeId="0" xr:uid="{00000000-0006-0000-0300-00005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6" authorId="0" shapeId="0" xr:uid="{00000000-0006-0000-0300-00005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6" authorId="0" shapeId="0" xr:uid="{00000000-0006-0000-0300-00005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6" authorId="0" shapeId="0" xr:uid="{00000000-0006-0000-0300-00006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6" authorId="0" shapeId="0" xr:uid="{00000000-0006-0000-0300-00006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6" authorId="0" shapeId="0" xr:uid="{00000000-0006-0000-0300-00006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6" authorId="0" shapeId="0" xr:uid="{00000000-0006-0000-0300-00006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6" authorId="0" shapeId="0" xr:uid="{00000000-0006-0000-0300-00006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6" authorId="0" shapeId="0" xr:uid="{00000000-0006-0000-0300-00006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6" authorId="0" shapeId="0" xr:uid="{00000000-0006-0000-0300-00006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6" authorId="0" shapeId="0" xr:uid="{00000000-0006-0000-0300-00006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6" authorId="0" shapeId="0" xr:uid="{00000000-0006-0000-0300-00006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6" authorId="0" shapeId="0" xr:uid="{00000000-0006-0000-0300-00006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6" authorId="0" shapeId="0" xr:uid="{00000000-0006-0000-0300-00006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6" authorId="0" shapeId="0" xr:uid="{00000000-0006-0000-0300-00006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6" authorId="0" shapeId="0" xr:uid="{00000000-0006-0000-0300-00006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6" authorId="0" shapeId="0" xr:uid="{00000000-0006-0000-0300-00006D06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6" authorId="0" shapeId="0" xr:uid="{00000000-0006-0000-0300-00006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6" authorId="0" shapeId="0" xr:uid="{00000000-0006-0000-0300-00006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6" authorId="0" shapeId="0" xr:uid="{00000000-0006-0000-0300-00007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6" authorId="0" shapeId="0" xr:uid="{00000000-0006-0000-0300-00007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6" authorId="0" shapeId="0" xr:uid="{00000000-0006-0000-0300-00007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6" authorId="0" shapeId="0" xr:uid="{00000000-0006-0000-0300-00007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6" authorId="0" shapeId="0" xr:uid="{00000000-0006-0000-0300-00007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6" authorId="0" shapeId="0" xr:uid="{00000000-0006-0000-0300-00007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7" authorId="0" shapeId="0" xr:uid="{00000000-0006-0000-0300-000076060000}">
      <text>
        <r>
          <rPr>
            <sz val="9"/>
            <color indexed="81"/>
            <rFont val="Tahoma"/>
            <charset val="1"/>
          </rPr>
          <t>Date macro run: 11/1/2017 10:34:09 PM</t>
        </r>
      </text>
    </comment>
    <comment ref="B47" authorId="0" shapeId="0" xr:uid="{00000000-0006-0000-0300-00007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7" authorId="0" shapeId="0" xr:uid="{00000000-0006-0000-0300-00007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7" authorId="0" shapeId="0" xr:uid="{00000000-0006-0000-0300-00007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7" authorId="0" shapeId="0" xr:uid="{00000000-0006-0000-0300-00007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7" authorId="0" shapeId="0" xr:uid="{00000000-0006-0000-0300-00007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7" authorId="0" shapeId="0" xr:uid="{00000000-0006-0000-0300-00007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7" authorId="0" shapeId="0" xr:uid="{00000000-0006-0000-0300-00007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7" authorId="0" shapeId="0" xr:uid="{00000000-0006-0000-0300-00007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7" authorId="0" shapeId="0" xr:uid="{00000000-0006-0000-0300-00007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7" authorId="0" shapeId="0" xr:uid="{00000000-0006-0000-0300-00008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7" authorId="0" shapeId="0" xr:uid="{00000000-0006-0000-0300-00008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7" authorId="0" shapeId="0" xr:uid="{00000000-0006-0000-0300-00008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7" authorId="0" shapeId="0" xr:uid="{00000000-0006-0000-0300-00008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7" authorId="0" shapeId="0" xr:uid="{00000000-0006-0000-0300-00008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7" authorId="0" shapeId="0" xr:uid="{00000000-0006-0000-0300-00008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7" authorId="0" shapeId="0" xr:uid="{00000000-0006-0000-0300-00008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7" authorId="0" shapeId="0" xr:uid="{00000000-0006-0000-0300-00008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7" authorId="0" shapeId="0" xr:uid="{00000000-0006-0000-0300-00008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7" authorId="0" shapeId="0" xr:uid="{00000000-0006-0000-0300-00008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7" authorId="0" shapeId="0" xr:uid="{00000000-0006-0000-0300-00008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7" authorId="0" shapeId="0" xr:uid="{00000000-0006-0000-0300-00008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7" authorId="0" shapeId="0" xr:uid="{00000000-0006-0000-0300-00008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7" authorId="0" shapeId="0" xr:uid="{00000000-0006-0000-0300-00008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7" authorId="0" shapeId="0" xr:uid="{00000000-0006-0000-0300-00008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7" authorId="0" shapeId="0" xr:uid="{00000000-0006-0000-0300-00008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7" authorId="0" shapeId="0" xr:uid="{00000000-0006-0000-0300-00009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7" authorId="0" shapeId="0" xr:uid="{00000000-0006-0000-0300-00009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7" authorId="0" shapeId="0" xr:uid="{00000000-0006-0000-0300-00009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7" authorId="0" shapeId="0" xr:uid="{00000000-0006-0000-0300-00009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7" authorId="0" shapeId="0" xr:uid="{00000000-0006-0000-0300-00009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7" authorId="0" shapeId="0" xr:uid="{00000000-0006-0000-0300-00009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7" authorId="0" shapeId="0" xr:uid="{00000000-0006-0000-0300-00009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7" authorId="0" shapeId="0" xr:uid="{00000000-0006-0000-0300-00009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7" authorId="0" shapeId="0" xr:uid="{00000000-0006-0000-0300-00009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7" authorId="0" shapeId="0" xr:uid="{00000000-0006-0000-0300-00009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7" authorId="0" shapeId="0" xr:uid="{00000000-0006-0000-0300-00009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7" authorId="0" shapeId="0" xr:uid="{00000000-0006-0000-0300-00009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7" authorId="0" shapeId="0" xr:uid="{00000000-0006-0000-0300-00009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7" authorId="0" shapeId="0" xr:uid="{00000000-0006-0000-0300-00009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7" authorId="0" shapeId="0" xr:uid="{00000000-0006-0000-0300-00009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7" authorId="0" shapeId="0" xr:uid="{00000000-0006-0000-0300-00009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7" authorId="0" shapeId="0" xr:uid="{00000000-0006-0000-0300-0000A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7" authorId="0" shapeId="0" xr:uid="{00000000-0006-0000-0300-0000A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7" authorId="0" shapeId="0" xr:uid="{00000000-0006-0000-0300-0000A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7" authorId="0" shapeId="0" xr:uid="{00000000-0006-0000-0300-0000A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7" authorId="0" shapeId="0" xr:uid="{00000000-0006-0000-0300-0000A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7" authorId="0" shapeId="0" xr:uid="{00000000-0006-0000-0300-0000A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7" authorId="0" shapeId="0" xr:uid="{00000000-0006-0000-0300-0000A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7" authorId="0" shapeId="0" xr:uid="{00000000-0006-0000-0300-0000A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7" authorId="0" shapeId="0" xr:uid="{00000000-0006-0000-0300-0000A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7" authorId="0" shapeId="0" xr:uid="{00000000-0006-0000-0300-0000A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7" authorId="0" shapeId="0" xr:uid="{00000000-0006-0000-0300-0000A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7" authorId="0" shapeId="0" xr:uid="{00000000-0006-0000-0300-0000A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7" authorId="0" shapeId="0" xr:uid="{00000000-0006-0000-0300-0000A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7" authorId="0" shapeId="0" xr:uid="{00000000-0006-0000-0300-0000A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7" authorId="0" shapeId="0" xr:uid="{00000000-0006-0000-0300-0000A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7" authorId="0" shapeId="0" xr:uid="{00000000-0006-0000-0300-0000A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7" authorId="0" shapeId="0" xr:uid="{00000000-0006-0000-0300-0000B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7" authorId="0" shapeId="0" xr:uid="{00000000-0006-0000-0300-0000B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7" authorId="0" shapeId="0" xr:uid="{00000000-0006-0000-0300-0000B206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7" authorId="0" shapeId="0" xr:uid="{00000000-0006-0000-0300-0000B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7" authorId="0" shapeId="0" xr:uid="{00000000-0006-0000-0300-0000B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7" authorId="0" shapeId="0" xr:uid="{00000000-0006-0000-0300-0000B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7" authorId="0" shapeId="0" xr:uid="{00000000-0006-0000-0300-0000B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7" authorId="0" shapeId="0" xr:uid="{00000000-0006-0000-0300-0000B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7" authorId="0" shapeId="0" xr:uid="{00000000-0006-0000-0300-0000B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7" authorId="0" shapeId="0" xr:uid="{00000000-0006-0000-0300-0000B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7" authorId="0" shapeId="0" xr:uid="{00000000-0006-0000-0300-0000B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8" authorId="0" shapeId="0" xr:uid="{00000000-0006-0000-0300-0000BB060000}">
      <text>
        <r>
          <rPr>
            <sz val="9"/>
            <color indexed="81"/>
            <rFont val="Tahoma"/>
            <charset val="1"/>
          </rPr>
          <t>Date macro run: 11/3/2017 10:16:30 PM</t>
        </r>
      </text>
    </comment>
    <comment ref="B48" authorId="0" shapeId="0" xr:uid="{00000000-0006-0000-0300-0000B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C48" authorId="0" shapeId="0" xr:uid="{00000000-0006-0000-0300-0000B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D48" authorId="0" shapeId="0" xr:uid="{00000000-0006-0000-0300-0000B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E48" authorId="0" shapeId="0" xr:uid="{00000000-0006-0000-0300-0000B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F48" authorId="0" shapeId="0" xr:uid="{00000000-0006-0000-0300-0000C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G48" authorId="0" shapeId="0" xr:uid="{00000000-0006-0000-0300-0000C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H48" authorId="0" shapeId="0" xr:uid="{00000000-0006-0000-0300-0000C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8" authorId="0" shapeId="0" xr:uid="{00000000-0006-0000-0300-0000C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8" authorId="0" shapeId="0" xr:uid="{00000000-0006-0000-0300-0000C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K48" authorId="0" shapeId="0" xr:uid="{00000000-0006-0000-0300-0000C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8" authorId="0" shapeId="0" xr:uid="{00000000-0006-0000-0300-0000C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M48" authorId="0" shapeId="0" xr:uid="{00000000-0006-0000-0300-0000C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N48" authorId="0" shapeId="0" xr:uid="{00000000-0006-0000-0300-0000C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O48" authorId="0" shapeId="0" xr:uid="{00000000-0006-0000-0300-0000C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P48" authorId="0" shapeId="0" xr:uid="{00000000-0006-0000-0300-0000C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Q48" authorId="0" shapeId="0" xr:uid="{00000000-0006-0000-0300-0000C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R48" authorId="0" shapeId="0" xr:uid="{00000000-0006-0000-0300-0000C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S48" authorId="0" shapeId="0" xr:uid="{00000000-0006-0000-0300-0000C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48" authorId="0" shapeId="0" xr:uid="{00000000-0006-0000-0300-0000C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U48" authorId="0" shapeId="0" xr:uid="{00000000-0006-0000-0300-0000C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V48" authorId="0" shapeId="0" xr:uid="{00000000-0006-0000-0300-0000D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W48" authorId="0" shapeId="0" xr:uid="{00000000-0006-0000-0300-0000D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X48" authorId="0" shapeId="0" xr:uid="{00000000-0006-0000-0300-0000D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Y48" authorId="0" shapeId="0" xr:uid="{00000000-0006-0000-0300-0000D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Z48" authorId="0" shapeId="0" xr:uid="{00000000-0006-0000-0300-0000D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A48" authorId="0" shapeId="0" xr:uid="{00000000-0006-0000-0300-0000D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B48" authorId="0" shapeId="0" xr:uid="{00000000-0006-0000-0300-0000D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48" authorId="0" shapeId="0" xr:uid="{00000000-0006-0000-0300-0000D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48" authorId="0" shapeId="0" xr:uid="{00000000-0006-0000-0300-0000D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48" authorId="0" shapeId="0" xr:uid="{00000000-0006-0000-0300-0000D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48" authorId="0" shapeId="0" xr:uid="{00000000-0006-0000-0300-0000D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48" authorId="0" shapeId="0" xr:uid="{00000000-0006-0000-0300-0000D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48" authorId="0" shapeId="0" xr:uid="{00000000-0006-0000-0300-0000D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48" authorId="0" shapeId="0" xr:uid="{00000000-0006-0000-0300-0000D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48" authorId="0" shapeId="0" xr:uid="{00000000-0006-0000-0300-0000D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48" authorId="0" shapeId="0" xr:uid="{00000000-0006-0000-0300-0000D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8" authorId="0" shapeId="0" xr:uid="{00000000-0006-0000-0300-0000E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8" authorId="0" shapeId="0" xr:uid="{00000000-0006-0000-0300-0000E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8" authorId="0" shapeId="0" xr:uid="{00000000-0006-0000-0300-0000E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8" authorId="0" shapeId="0" xr:uid="{00000000-0006-0000-0300-0000E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8" authorId="0" shapeId="0" xr:uid="{00000000-0006-0000-0300-0000E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8" authorId="0" shapeId="0" xr:uid="{00000000-0006-0000-0300-0000E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8" authorId="0" shapeId="0" xr:uid="{00000000-0006-0000-0300-0000E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8" authorId="0" shapeId="0" xr:uid="{00000000-0006-0000-0300-0000E7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8" authorId="0" shapeId="0" xr:uid="{00000000-0006-0000-0300-0000E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W48" authorId="0" shapeId="0" xr:uid="{00000000-0006-0000-0300-0000E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8" authorId="0" shapeId="0" xr:uid="{00000000-0006-0000-0300-0000E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8" authorId="0" shapeId="0" xr:uid="{00000000-0006-0000-0300-0000E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8" authorId="0" shapeId="0" xr:uid="{00000000-0006-0000-0300-0000E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8" authorId="0" shapeId="0" xr:uid="{00000000-0006-0000-0300-0000E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8" authorId="0" shapeId="0" xr:uid="{00000000-0006-0000-0300-0000E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8" authorId="0" shapeId="0" xr:uid="{00000000-0006-0000-0300-0000E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8" authorId="0" shapeId="0" xr:uid="{00000000-0006-0000-0300-0000F0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8" authorId="0" shapeId="0" xr:uid="{00000000-0006-0000-0300-0000F1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F48" authorId="0" shapeId="0" xr:uid="{00000000-0006-0000-0300-0000F2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G48" authorId="0" shapeId="0" xr:uid="{00000000-0006-0000-0300-0000F3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H48" authorId="0" shapeId="0" xr:uid="{00000000-0006-0000-0300-0000F4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I48" authorId="0" shapeId="0" xr:uid="{00000000-0006-0000-0300-0000F5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J48" authorId="0" shapeId="0" xr:uid="{00000000-0006-0000-0300-0000F6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K48" authorId="0" shapeId="0" xr:uid="{00000000-0006-0000-0300-0000F706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8" authorId="0" shapeId="0" xr:uid="{00000000-0006-0000-0300-0000F8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8" authorId="0" shapeId="0" xr:uid="{00000000-0006-0000-0300-0000F9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8" authorId="0" shapeId="0" xr:uid="{00000000-0006-0000-0300-0000FA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8" authorId="0" shapeId="0" xr:uid="{00000000-0006-0000-0300-0000FB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8" authorId="0" shapeId="0" xr:uid="{00000000-0006-0000-0300-0000FC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8" authorId="0" shapeId="0" xr:uid="{00000000-0006-0000-0300-0000FD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8" authorId="0" shapeId="0" xr:uid="{00000000-0006-0000-0300-0000FE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8" authorId="0" shapeId="0" xr:uid="{00000000-0006-0000-0300-0000FF0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49" authorId="0" shapeId="0" xr:uid="{00000000-0006-0000-0300-000000070000}">
      <text>
        <r>
          <rPr>
            <sz val="9"/>
            <color indexed="81"/>
            <rFont val="Tahoma"/>
            <charset val="1"/>
          </rPr>
          <t>Date macro run: 11/6/2017 10:48:58 PM</t>
        </r>
      </text>
    </comment>
    <comment ref="B49" authorId="0" shapeId="0" xr:uid="{00000000-0006-0000-0300-0000010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49" authorId="0" shapeId="0" xr:uid="{00000000-0006-0000-0300-000002070000}">
      <text>
        <r>
          <rPr>
            <sz val="9"/>
            <color indexed="81"/>
            <rFont val="Tahoma"/>
            <charset val="1"/>
          </rPr>
          <t>Stability=,Expiration=10/4/2018</t>
        </r>
      </text>
    </comment>
    <comment ref="D49" authorId="0" shapeId="0" xr:uid="{00000000-0006-0000-0300-00000307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49" authorId="0" shapeId="0" xr:uid="{00000000-0006-0000-0300-00000407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49" authorId="0" shapeId="0" xr:uid="{00000000-0006-0000-0300-00000507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49" authorId="0" shapeId="0" xr:uid="{00000000-0006-0000-0300-0000060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49" authorId="0" shapeId="0" xr:uid="{00000000-0006-0000-0300-000007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I49" authorId="0" shapeId="0" xr:uid="{00000000-0006-0000-0300-000008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49" authorId="0" shapeId="0" xr:uid="{00000000-0006-0000-0300-0000090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49" authorId="0" shapeId="0" xr:uid="{00000000-0006-0000-0300-00000A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49" authorId="0" shapeId="0" xr:uid="{00000000-0006-0000-0300-00000B07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49" authorId="0" shapeId="0" xr:uid="{00000000-0006-0000-0300-00000C07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49" authorId="0" shapeId="0" xr:uid="{00000000-0006-0000-0300-00000D07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49" authorId="0" shapeId="0" xr:uid="{00000000-0006-0000-0300-00000E07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49" authorId="0" shapeId="0" xr:uid="{00000000-0006-0000-0300-00000F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49" authorId="0" shapeId="0" xr:uid="{00000000-0006-0000-0300-00001007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49" authorId="0" shapeId="0" xr:uid="{00000000-0006-0000-0300-0000110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49" authorId="0" shapeId="0" xr:uid="{00000000-0006-0000-0300-0000120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49" authorId="0" shapeId="0" xr:uid="{00000000-0006-0000-0300-00001307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49" authorId="0" shapeId="0" xr:uid="{00000000-0006-0000-0300-000014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49" authorId="0" shapeId="0" xr:uid="{00000000-0006-0000-0300-0000150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49" authorId="0" shapeId="0" xr:uid="{00000000-0006-0000-0300-00001607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49" authorId="0" shapeId="0" xr:uid="{00000000-0006-0000-0300-000017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49" authorId="0" shapeId="0" xr:uid="{00000000-0006-0000-0300-000018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49" authorId="0" shapeId="0" xr:uid="{00000000-0006-0000-0300-00001907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49" authorId="0" shapeId="0" xr:uid="{00000000-0006-0000-0300-00001A0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49" authorId="0" shapeId="0" xr:uid="{00000000-0006-0000-0300-00001B07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49" authorId="0" shapeId="0" xr:uid="{00000000-0006-0000-0300-00001C0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49" authorId="0" shapeId="0" xr:uid="{00000000-0006-0000-0300-00001D0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49" authorId="0" shapeId="0" xr:uid="{00000000-0006-0000-0300-00001E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49" authorId="0" shapeId="0" xr:uid="{00000000-0006-0000-0300-00001F07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49" authorId="0" shapeId="0" xr:uid="{00000000-0006-0000-0300-0000200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49" authorId="0" shapeId="0" xr:uid="{00000000-0006-0000-0300-0000210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49" authorId="0" shapeId="0" xr:uid="{00000000-0006-0000-0300-00002207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49" authorId="0" shapeId="0" xr:uid="{00000000-0006-0000-0300-00002307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49" authorId="0" shapeId="0" xr:uid="{00000000-0006-0000-0300-00002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49" authorId="0" shapeId="0" xr:uid="{00000000-0006-0000-0300-000025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49" authorId="0" shapeId="0" xr:uid="{00000000-0006-0000-0300-000026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49" authorId="0" shapeId="0" xr:uid="{00000000-0006-0000-0300-000027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49" authorId="0" shapeId="0" xr:uid="{00000000-0006-0000-0300-000028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49" authorId="0" shapeId="0" xr:uid="{00000000-0006-0000-0300-00002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49" authorId="0" shapeId="0" xr:uid="{00000000-0006-0000-0300-00002A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49" authorId="0" shapeId="0" xr:uid="{00000000-0006-0000-0300-00002B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49" authorId="0" shapeId="0" xr:uid="{00000000-0006-0000-0300-00002C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49" authorId="0" shapeId="0" xr:uid="{00000000-0006-0000-0300-00002D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49" authorId="0" shapeId="0" xr:uid="{00000000-0006-0000-0300-00002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49" authorId="0" shapeId="0" xr:uid="{00000000-0006-0000-0300-00002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49" authorId="0" shapeId="0" xr:uid="{00000000-0006-0000-0300-000030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Z49" authorId="0" shapeId="0" xr:uid="{00000000-0006-0000-0300-000031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A49" authorId="0" shapeId="0" xr:uid="{00000000-0006-0000-0300-000032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B49" authorId="0" shapeId="0" xr:uid="{00000000-0006-0000-0300-00003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C49" authorId="0" shapeId="0" xr:uid="{00000000-0006-0000-0300-00003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D49" authorId="0" shapeId="0" xr:uid="{00000000-0006-0000-0300-000035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E49" authorId="0" shapeId="0" xr:uid="{00000000-0006-0000-0300-00003607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49" authorId="0" shapeId="0" xr:uid="{00000000-0006-0000-0300-0000370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49" authorId="0" shapeId="0" xr:uid="{00000000-0006-0000-0300-000038070000}">
      <text>
        <r>
          <rPr>
            <sz val="9"/>
            <color indexed="81"/>
            <rFont val="Tahoma"/>
            <charset val="1"/>
          </rPr>
          <t>Stability=,Expiration=11/11/2017</t>
        </r>
      </text>
    </comment>
    <comment ref="BH49" authorId="0" shapeId="0" xr:uid="{00000000-0006-0000-0300-00003907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49" authorId="0" shapeId="0" xr:uid="{00000000-0006-0000-0300-00003A07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49" authorId="0" shapeId="0" xr:uid="{00000000-0006-0000-0300-00003B07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49" authorId="0" shapeId="0" xr:uid="{00000000-0006-0000-0300-00003C07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49" authorId="0" shapeId="0" xr:uid="{00000000-0006-0000-0300-00003D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M49" authorId="0" shapeId="0" xr:uid="{00000000-0006-0000-0300-00003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N49" authorId="0" shapeId="0" xr:uid="{00000000-0006-0000-0300-00003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O49" authorId="0" shapeId="0" xr:uid="{00000000-0006-0000-0300-000040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P49" authorId="0" shapeId="0" xr:uid="{00000000-0006-0000-0300-000041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Q49" authorId="0" shapeId="0" xr:uid="{00000000-0006-0000-0300-000042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R49" authorId="0" shapeId="0" xr:uid="{00000000-0006-0000-0300-00004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BS49" authorId="0" shapeId="0" xr:uid="{00000000-0006-0000-0300-00004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50" authorId="0" shapeId="0" xr:uid="{00000000-0006-0000-0300-000045070000}">
      <text>
        <r>
          <rPr>
            <sz val="9"/>
            <color indexed="81"/>
            <rFont val="Tahoma"/>
            <charset val="1"/>
          </rPr>
          <t>Date macro run: 11/8/2017 9:54:20 PM</t>
        </r>
      </text>
    </comment>
    <comment ref="B50" authorId="0" shapeId="0" xr:uid="{00000000-0006-0000-0300-0000460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0" authorId="0" shapeId="0" xr:uid="{00000000-0006-0000-0300-000047070000}">
      <text>
        <r>
          <rPr>
            <sz val="9"/>
            <color indexed="81"/>
            <rFont val="Tahoma"/>
            <charset val="1"/>
          </rPr>
          <t>Stability=,Expiration=10/4/2018</t>
        </r>
      </text>
    </comment>
    <comment ref="D50" authorId="0" shapeId="0" xr:uid="{00000000-0006-0000-0300-00004807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0" authorId="0" shapeId="0" xr:uid="{00000000-0006-0000-0300-00004907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0" authorId="0" shapeId="0" xr:uid="{00000000-0006-0000-0300-00004A07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0" authorId="0" shapeId="0" xr:uid="{00000000-0006-0000-0300-00004B0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0" authorId="0" shapeId="0" xr:uid="{00000000-0006-0000-0300-00004C07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0" authorId="0" shapeId="0" xr:uid="{00000000-0006-0000-0300-00004D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0" authorId="0" shapeId="0" xr:uid="{00000000-0006-0000-0300-00004E0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0" authorId="0" shapeId="0" xr:uid="{00000000-0006-0000-0300-00004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0" authorId="0" shapeId="0" xr:uid="{00000000-0006-0000-0300-00005007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0" authorId="0" shapeId="0" xr:uid="{00000000-0006-0000-0300-00005107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0" authorId="0" shapeId="0" xr:uid="{00000000-0006-0000-0300-00005207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0" authorId="0" shapeId="0" xr:uid="{00000000-0006-0000-0300-00005307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0" authorId="0" shapeId="0" xr:uid="{00000000-0006-0000-0300-000054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0" authorId="0" shapeId="0" xr:uid="{00000000-0006-0000-0300-00005507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0" authorId="0" shapeId="0" xr:uid="{00000000-0006-0000-0300-0000560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0" authorId="0" shapeId="0" xr:uid="{00000000-0006-0000-0300-0000570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0" authorId="0" shapeId="0" xr:uid="{00000000-0006-0000-0300-00005807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0" authorId="0" shapeId="0" xr:uid="{00000000-0006-0000-0300-000059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0" authorId="0" shapeId="0" xr:uid="{00000000-0006-0000-0300-00005A0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0" authorId="0" shapeId="0" xr:uid="{00000000-0006-0000-0300-00005B07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0" authorId="0" shapeId="0" xr:uid="{00000000-0006-0000-0300-00005C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0" authorId="0" shapeId="0" xr:uid="{00000000-0006-0000-0300-00005D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0" authorId="0" shapeId="0" xr:uid="{00000000-0006-0000-0300-00005E07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0" authorId="0" shapeId="0" xr:uid="{00000000-0006-0000-0300-00005F0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0" authorId="0" shapeId="0" xr:uid="{00000000-0006-0000-0300-00006007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0" authorId="0" shapeId="0" xr:uid="{00000000-0006-0000-0300-0000610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0" authorId="0" shapeId="0" xr:uid="{00000000-0006-0000-0300-0000620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0" authorId="0" shapeId="0" xr:uid="{00000000-0006-0000-0300-000063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0" authorId="0" shapeId="0" xr:uid="{00000000-0006-0000-0300-00006407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0" authorId="0" shapeId="0" xr:uid="{00000000-0006-0000-0300-0000650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0" authorId="0" shapeId="0" xr:uid="{00000000-0006-0000-0300-0000660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0" authorId="0" shapeId="0" xr:uid="{00000000-0006-0000-0300-00006707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0" authorId="0" shapeId="0" xr:uid="{00000000-0006-0000-0300-00006807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0" authorId="0" shapeId="0" xr:uid="{00000000-0006-0000-0300-00006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0" authorId="0" shapeId="0" xr:uid="{00000000-0006-0000-0300-00006A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0" authorId="0" shapeId="0" xr:uid="{00000000-0006-0000-0300-00006B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0" authorId="0" shapeId="0" xr:uid="{00000000-0006-0000-0300-00006C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0" authorId="0" shapeId="0" xr:uid="{00000000-0006-0000-0300-00006D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0" authorId="0" shapeId="0" xr:uid="{00000000-0006-0000-0300-00006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0" authorId="0" shapeId="0" xr:uid="{00000000-0006-0000-0300-00006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0" authorId="0" shapeId="0" xr:uid="{00000000-0006-0000-0300-000070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0" authorId="0" shapeId="0" xr:uid="{00000000-0006-0000-0300-000071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0" authorId="0" shapeId="0" xr:uid="{00000000-0006-0000-0300-000072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0" authorId="0" shapeId="0" xr:uid="{00000000-0006-0000-0300-00007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0" authorId="0" shapeId="0" xr:uid="{00000000-0006-0000-0300-00007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0" authorId="0" shapeId="0" xr:uid="{00000000-0006-0000-0300-00007507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0" authorId="0" shapeId="0" xr:uid="{00000000-0006-0000-0300-0000760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0" authorId="0" shapeId="0" xr:uid="{00000000-0006-0000-0300-00007707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0" authorId="0" shapeId="0" xr:uid="{00000000-0006-0000-0300-000078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0" authorId="0" shapeId="0" xr:uid="{00000000-0006-0000-0300-0000790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0" authorId="0" shapeId="0" xr:uid="{00000000-0006-0000-0300-00007A07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0" authorId="0" shapeId="0" xr:uid="{00000000-0006-0000-0300-00007B07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0" authorId="0" shapeId="0" xr:uid="{00000000-0006-0000-0300-00007C0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0" authorId="0" shapeId="0" xr:uid="{00000000-0006-0000-0300-00007D070000}">
      <text>
        <r>
          <rPr>
            <sz val="9"/>
            <color indexed="81"/>
            <rFont val="Tahoma"/>
            <charset val="1"/>
          </rPr>
          <t>Stability=,Expiration=11/11/2017</t>
        </r>
      </text>
    </comment>
    <comment ref="BH50" authorId="0" shapeId="0" xr:uid="{00000000-0006-0000-0300-00007E07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0" authorId="0" shapeId="0" xr:uid="{00000000-0006-0000-0300-00007F07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0" authorId="0" shapeId="0" xr:uid="{00000000-0006-0000-0300-00008007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0" authorId="0" shapeId="0" xr:uid="{00000000-0006-0000-0300-00008107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0" authorId="0" shapeId="0" xr:uid="{00000000-0006-0000-0300-000082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0" authorId="0" shapeId="0" xr:uid="{00000000-0006-0000-0300-00008307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0" authorId="0" shapeId="0" xr:uid="{00000000-0006-0000-0300-0000840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0" authorId="0" shapeId="0" xr:uid="{00000000-0006-0000-0300-0000850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0" authorId="0" shapeId="0" xr:uid="{00000000-0006-0000-0300-0000860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0" authorId="0" shapeId="0" xr:uid="{00000000-0006-0000-0300-0000870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0" authorId="0" shapeId="0" xr:uid="{00000000-0006-0000-0300-0000880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0" authorId="0" shapeId="0" xr:uid="{00000000-0006-0000-0300-0000890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1" authorId="0" shapeId="0" xr:uid="{00000000-0006-0000-0300-00008A070000}">
      <text>
        <r>
          <rPr>
            <sz val="9"/>
            <color indexed="81"/>
            <rFont val="Tahoma"/>
            <charset val="1"/>
          </rPr>
          <t>Date macro run: 11/9/2017 8:54:24 PM</t>
        </r>
      </text>
    </comment>
    <comment ref="B51" authorId="0" shapeId="0" xr:uid="{00000000-0006-0000-0300-00008B0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1" authorId="0" shapeId="0" xr:uid="{00000000-0006-0000-0300-00008C07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1" authorId="0" shapeId="0" xr:uid="{00000000-0006-0000-0300-00008D07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1" authorId="0" shapeId="0" xr:uid="{00000000-0006-0000-0300-00008E07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1" authorId="0" shapeId="0" xr:uid="{00000000-0006-0000-0300-00008F07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1" authorId="0" shapeId="0" xr:uid="{00000000-0006-0000-0300-0000900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1" authorId="0" shapeId="0" xr:uid="{00000000-0006-0000-0300-00009107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1" authorId="0" shapeId="0" xr:uid="{00000000-0006-0000-0300-000092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1" authorId="0" shapeId="0" xr:uid="{00000000-0006-0000-0300-0000930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1" authorId="0" shapeId="0" xr:uid="{00000000-0006-0000-0300-00009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1" authorId="0" shapeId="0" xr:uid="{00000000-0006-0000-0300-00009507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1" authorId="0" shapeId="0" xr:uid="{00000000-0006-0000-0300-00009607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1" authorId="0" shapeId="0" xr:uid="{00000000-0006-0000-0300-00009707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1" authorId="0" shapeId="0" xr:uid="{00000000-0006-0000-0300-00009807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1" authorId="0" shapeId="0" xr:uid="{00000000-0006-0000-0300-000099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1" authorId="0" shapeId="0" xr:uid="{00000000-0006-0000-0300-00009A07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1" authorId="0" shapeId="0" xr:uid="{00000000-0006-0000-0300-00009B0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1" authorId="0" shapeId="0" xr:uid="{00000000-0006-0000-0300-00009C0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1" authorId="0" shapeId="0" xr:uid="{00000000-0006-0000-0300-00009D07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1" authorId="0" shapeId="0" xr:uid="{00000000-0006-0000-0300-00009E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1" authorId="0" shapeId="0" xr:uid="{00000000-0006-0000-0300-00009F0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1" authorId="0" shapeId="0" xr:uid="{00000000-0006-0000-0300-0000A007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1" authorId="0" shapeId="0" xr:uid="{00000000-0006-0000-0300-0000A1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1" authorId="0" shapeId="0" xr:uid="{00000000-0006-0000-0300-0000A2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1" authorId="0" shapeId="0" xr:uid="{00000000-0006-0000-0300-0000A307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1" authorId="0" shapeId="0" xr:uid="{00000000-0006-0000-0300-0000A40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1" authorId="0" shapeId="0" xr:uid="{00000000-0006-0000-0300-0000A507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1" authorId="0" shapeId="0" xr:uid="{00000000-0006-0000-0300-0000A60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1" authorId="0" shapeId="0" xr:uid="{00000000-0006-0000-0300-0000A70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1" authorId="0" shapeId="0" xr:uid="{00000000-0006-0000-0300-0000A8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1" authorId="0" shapeId="0" xr:uid="{00000000-0006-0000-0300-0000A907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1" authorId="0" shapeId="0" xr:uid="{00000000-0006-0000-0300-0000AA0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1" authorId="0" shapeId="0" xr:uid="{00000000-0006-0000-0300-0000AB0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1" authorId="0" shapeId="0" xr:uid="{00000000-0006-0000-0300-0000AC07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1" authorId="0" shapeId="0" xr:uid="{00000000-0006-0000-0300-0000AD07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1" authorId="0" shapeId="0" xr:uid="{00000000-0006-0000-0300-0000A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1" authorId="0" shapeId="0" xr:uid="{00000000-0006-0000-0300-0000AF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1" authorId="0" shapeId="0" xr:uid="{00000000-0006-0000-0300-0000B0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1" authorId="0" shapeId="0" xr:uid="{00000000-0006-0000-0300-0000B1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1" authorId="0" shapeId="0" xr:uid="{00000000-0006-0000-0300-0000B2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1" authorId="0" shapeId="0" xr:uid="{00000000-0006-0000-0300-0000B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1" authorId="0" shapeId="0" xr:uid="{00000000-0006-0000-0300-0000B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1" authorId="0" shapeId="0" xr:uid="{00000000-0006-0000-0300-0000B5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1" authorId="0" shapeId="0" xr:uid="{00000000-0006-0000-0300-0000B6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1" authorId="0" shapeId="0" xr:uid="{00000000-0006-0000-0300-0000B7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1" authorId="0" shapeId="0" xr:uid="{00000000-0006-0000-0300-0000B8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1" authorId="0" shapeId="0" xr:uid="{00000000-0006-0000-0300-0000B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1" authorId="0" shapeId="0" xr:uid="{00000000-0006-0000-0300-0000BA07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1" authorId="0" shapeId="0" xr:uid="{00000000-0006-0000-0300-0000BB0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1" authorId="0" shapeId="0" xr:uid="{00000000-0006-0000-0300-0000BC07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1" authorId="0" shapeId="0" xr:uid="{00000000-0006-0000-0300-0000BD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1" authorId="0" shapeId="0" xr:uid="{00000000-0006-0000-0300-0000BE0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1" authorId="0" shapeId="0" xr:uid="{00000000-0006-0000-0300-0000BF07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1" authorId="0" shapeId="0" xr:uid="{00000000-0006-0000-0300-0000C007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1" authorId="0" shapeId="0" xr:uid="{00000000-0006-0000-0300-0000C10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1" authorId="0" shapeId="0" xr:uid="{00000000-0006-0000-0300-0000C2070000}">
      <text>
        <r>
          <rPr>
            <sz val="9"/>
            <color indexed="81"/>
            <rFont val="Tahoma"/>
            <charset val="1"/>
          </rPr>
          <t>Stability=,Expiration=11/11/2017,CHANGED TO 3 BECAUSE WE TOSSED 2 DUE TO EXPIRING</t>
        </r>
      </text>
    </comment>
    <comment ref="BH51" authorId="0" shapeId="0" xr:uid="{00000000-0006-0000-0300-0000C307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1" authorId="0" shapeId="0" xr:uid="{00000000-0006-0000-0300-0000C407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1" authorId="0" shapeId="0" xr:uid="{00000000-0006-0000-0300-0000C507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1" authorId="0" shapeId="0" xr:uid="{00000000-0006-0000-0300-0000C607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1" authorId="0" shapeId="0" xr:uid="{00000000-0006-0000-0300-0000C7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1" authorId="0" shapeId="0" xr:uid="{00000000-0006-0000-0300-0000C807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1" authorId="0" shapeId="0" xr:uid="{00000000-0006-0000-0300-0000C90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1" authorId="0" shapeId="0" xr:uid="{00000000-0006-0000-0300-0000CA0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1" authorId="0" shapeId="0" xr:uid="{00000000-0006-0000-0300-0000CB0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1" authorId="0" shapeId="0" xr:uid="{00000000-0006-0000-0300-0000CC0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1" authorId="0" shapeId="0" xr:uid="{00000000-0006-0000-0300-0000CD0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1" authorId="0" shapeId="0" xr:uid="{00000000-0006-0000-0300-0000CE0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2" authorId="0" shapeId="0" xr:uid="{00000000-0006-0000-0300-0000CF070000}">
      <text>
        <r>
          <rPr>
            <sz val="9"/>
            <color indexed="81"/>
            <rFont val="Tahoma"/>
            <charset val="1"/>
          </rPr>
          <t>Date macro run: 11/10/2017 10:33:21 PM</t>
        </r>
      </text>
    </comment>
    <comment ref="B52" authorId="0" shapeId="0" xr:uid="{00000000-0006-0000-0300-0000D00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2" authorId="0" shapeId="0" xr:uid="{00000000-0006-0000-0300-0000D107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2" authorId="0" shapeId="0" xr:uid="{00000000-0006-0000-0300-0000D207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2" authorId="0" shapeId="0" xr:uid="{00000000-0006-0000-0300-0000D307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2" authorId="0" shapeId="0" xr:uid="{00000000-0006-0000-0300-0000D407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2" authorId="0" shapeId="0" xr:uid="{00000000-0006-0000-0300-0000D50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2" authorId="0" shapeId="0" xr:uid="{00000000-0006-0000-0300-0000D607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2" authorId="0" shapeId="0" xr:uid="{00000000-0006-0000-0300-0000D7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2" authorId="0" shapeId="0" xr:uid="{00000000-0006-0000-0300-0000D80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2" authorId="0" shapeId="0" xr:uid="{00000000-0006-0000-0300-0000D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2" authorId="0" shapeId="0" xr:uid="{00000000-0006-0000-0300-0000DA07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2" authorId="0" shapeId="0" xr:uid="{00000000-0006-0000-0300-0000DB07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2" authorId="0" shapeId="0" xr:uid="{00000000-0006-0000-0300-0000DC07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2" authorId="0" shapeId="0" xr:uid="{00000000-0006-0000-0300-0000DD07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2" authorId="0" shapeId="0" xr:uid="{00000000-0006-0000-0300-0000DE0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2" authorId="0" shapeId="0" xr:uid="{00000000-0006-0000-0300-0000DF07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2" authorId="0" shapeId="0" xr:uid="{00000000-0006-0000-0300-0000E00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2" authorId="0" shapeId="0" xr:uid="{00000000-0006-0000-0300-0000E10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2" authorId="0" shapeId="0" xr:uid="{00000000-0006-0000-0300-0000E207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2" authorId="0" shapeId="0" xr:uid="{00000000-0006-0000-0300-0000E3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2" authorId="0" shapeId="0" xr:uid="{00000000-0006-0000-0300-0000E40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2" authorId="0" shapeId="0" xr:uid="{00000000-0006-0000-0300-0000E507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2" authorId="0" shapeId="0" xr:uid="{00000000-0006-0000-0300-0000E6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2" authorId="0" shapeId="0" xr:uid="{00000000-0006-0000-0300-0000E70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2" authorId="0" shapeId="0" xr:uid="{00000000-0006-0000-0300-0000E807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2" authorId="0" shapeId="0" xr:uid="{00000000-0006-0000-0300-0000E90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2" authorId="0" shapeId="0" xr:uid="{00000000-0006-0000-0300-0000EA07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2" authorId="0" shapeId="0" xr:uid="{00000000-0006-0000-0300-0000EB0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2" authorId="0" shapeId="0" xr:uid="{00000000-0006-0000-0300-0000EC0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2" authorId="0" shapeId="0" xr:uid="{00000000-0006-0000-0300-0000ED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2" authorId="0" shapeId="0" xr:uid="{00000000-0006-0000-0300-0000EE07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2" authorId="0" shapeId="0" xr:uid="{00000000-0006-0000-0300-0000EF0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2" authorId="0" shapeId="0" xr:uid="{00000000-0006-0000-0300-0000F00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2" authorId="0" shapeId="0" xr:uid="{00000000-0006-0000-0300-0000F107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2" authorId="0" shapeId="0" xr:uid="{00000000-0006-0000-0300-0000F207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2" authorId="0" shapeId="0" xr:uid="{00000000-0006-0000-0300-0000F3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2" authorId="0" shapeId="0" xr:uid="{00000000-0006-0000-0300-0000F4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2" authorId="0" shapeId="0" xr:uid="{00000000-0006-0000-0300-0000F5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2" authorId="0" shapeId="0" xr:uid="{00000000-0006-0000-0300-0000F6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2" authorId="0" shapeId="0" xr:uid="{00000000-0006-0000-0300-0000F7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2" authorId="0" shapeId="0" xr:uid="{00000000-0006-0000-0300-0000F8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2" authorId="0" shapeId="0" xr:uid="{00000000-0006-0000-0300-0000F9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2" authorId="0" shapeId="0" xr:uid="{00000000-0006-0000-0300-0000FA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2" authorId="0" shapeId="0" xr:uid="{00000000-0006-0000-0300-0000FB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2" authorId="0" shapeId="0" xr:uid="{00000000-0006-0000-0300-0000FC0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2" authorId="0" shapeId="0" xr:uid="{00000000-0006-0000-0300-0000FD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2" authorId="0" shapeId="0" xr:uid="{00000000-0006-0000-0300-0000FE0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2" authorId="0" shapeId="0" xr:uid="{00000000-0006-0000-0300-0000FF07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2" authorId="0" shapeId="0" xr:uid="{00000000-0006-0000-0300-000000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2" authorId="0" shapeId="0" xr:uid="{00000000-0006-0000-0300-00000108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2" authorId="0" shapeId="0" xr:uid="{00000000-0006-0000-0300-000002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2" authorId="0" shapeId="0" xr:uid="{00000000-0006-0000-0300-0000030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2" authorId="0" shapeId="0" xr:uid="{00000000-0006-0000-0300-00000408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2" authorId="0" shapeId="0" xr:uid="{00000000-0006-0000-0300-00000508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2" authorId="0" shapeId="0" xr:uid="{00000000-0006-0000-0300-0000060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2" authorId="0" shapeId="0" xr:uid="{00000000-0006-0000-0300-000007080000}">
      <text>
        <r>
          <rPr>
            <sz val="9"/>
            <color indexed="81"/>
            <rFont val="Tahoma"/>
            <charset val="1"/>
          </rPr>
          <t>Stability=,Expiration=11/11/2017</t>
        </r>
      </text>
    </comment>
    <comment ref="BH52" authorId="0" shapeId="0" xr:uid="{00000000-0006-0000-0300-00000808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2" authorId="0" shapeId="0" xr:uid="{00000000-0006-0000-0300-00000908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2" authorId="0" shapeId="0" xr:uid="{00000000-0006-0000-0300-00000A08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2" authorId="0" shapeId="0" xr:uid="{00000000-0006-0000-0300-00000B08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2" authorId="0" shapeId="0" xr:uid="{00000000-0006-0000-0300-00000C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2" authorId="0" shapeId="0" xr:uid="{00000000-0006-0000-0300-00000D08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2" authorId="0" shapeId="0" xr:uid="{00000000-0006-0000-0300-00000E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2" authorId="0" shapeId="0" xr:uid="{00000000-0006-0000-0300-00000F0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2" authorId="0" shapeId="0" xr:uid="{00000000-0006-0000-0300-0000100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2" authorId="0" shapeId="0" xr:uid="{00000000-0006-0000-0300-0000110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2" authorId="0" shapeId="0" xr:uid="{00000000-0006-0000-0300-0000120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2" authorId="0" shapeId="0" xr:uid="{00000000-0006-0000-0300-0000130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3" authorId="0" shapeId="0" xr:uid="{00000000-0006-0000-0300-000014080000}">
      <text>
        <r>
          <rPr>
            <sz val="9"/>
            <color indexed="81"/>
            <rFont val="Tahoma"/>
            <charset val="1"/>
          </rPr>
          <t>Date macro run: 11/13/2017 10:37:02 PM</t>
        </r>
      </text>
    </comment>
    <comment ref="B53" authorId="0" shapeId="0" xr:uid="{00000000-0006-0000-0300-0000150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3" authorId="0" shapeId="0" xr:uid="{00000000-0006-0000-0300-00001608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3" authorId="0" shapeId="0" xr:uid="{00000000-0006-0000-0300-00001708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3" authorId="0" shapeId="0" xr:uid="{00000000-0006-0000-0300-00001808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3" authorId="0" shapeId="0" xr:uid="{00000000-0006-0000-0300-00001908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3" authorId="0" shapeId="0" xr:uid="{00000000-0006-0000-0300-00001A0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3" authorId="0" shapeId="0" xr:uid="{00000000-0006-0000-0300-00001B08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3" authorId="0" shapeId="0" xr:uid="{00000000-0006-0000-0300-00001C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3" authorId="0" shapeId="0" xr:uid="{00000000-0006-0000-0300-00001D0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3" authorId="0" shapeId="0" xr:uid="{00000000-0006-0000-0300-00001E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3" authorId="0" shapeId="0" xr:uid="{00000000-0006-0000-0300-00001F08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3" authorId="0" shapeId="0" xr:uid="{00000000-0006-0000-0300-00002008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3" authorId="0" shapeId="0" xr:uid="{00000000-0006-0000-0300-00002108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3" authorId="0" shapeId="0" xr:uid="{00000000-0006-0000-0300-00002208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3" authorId="0" shapeId="0" xr:uid="{00000000-0006-0000-0300-000023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3" authorId="0" shapeId="0" xr:uid="{00000000-0006-0000-0300-00002408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3" authorId="0" shapeId="0" xr:uid="{00000000-0006-0000-0300-0000250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3" authorId="0" shapeId="0" xr:uid="{00000000-0006-0000-0300-0000260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3" authorId="0" shapeId="0" xr:uid="{00000000-0006-0000-0300-00002708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3" authorId="0" shapeId="0" xr:uid="{00000000-0006-0000-0300-000028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3" authorId="0" shapeId="0" xr:uid="{00000000-0006-0000-0300-0000290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3" authorId="0" shapeId="0" xr:uid="{00000000-0006-0000-0300-00002A08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3" authorId="0" shapeId="0" xr:uid="{00000000-0006-0000-0300-00002B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3" authorId="0" shapeId="0" xr:uid="{00000000-0006-0000-0300-00002C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3" authorId="0" shapeId="0" xr:uid="{00000000-0006-0000-0300-00002D08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3" authorId="0" shapeId="0" xr:uid="{00000000-0006-0000-0300-00002E0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3" authorId="0" shapeId="0" xr:uid="{00000000-0006-0000-0300-00002F08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3" authorId="0" shapeId="0" xr:uid="{00000000-0006-0000-0300-00003008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3" authorId="0" shapeId="0" xr:uid="{00000000-0006-0000-0300-0000310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3" authorId="0" shapeId="0" xr:uid="{00000000-0006-0000-0300-000032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3" authorId="0" shapeId="0" xr:uid="{00000000-0006-0000-0300-00003308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3" authorId="0" shapeId="0" xr:uid="{00000000-0006-0000-0300-00003408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3" authorId="0" shapeId="0" xr:uid="{00000000-0006-0000-0300-0000350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3" authorId="0" shapeId="0" xr:uid="{00000000-0006-0000-0300-00003608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3" authorId="0" shapeId="0" xr:uid="{00000000-0006-0000-0300-00003708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3" authorId="0" shapeId="0" xr:uid="{00000000-0006-0000-0300-000038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3" authorId="0" shapeId="0" xr:uid="{00000000-0006-0000-0300-000039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3" authorId="0" shapeId="0" xr:uid="{00000000-0006-0000-0300-00003A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3" authorId="0" shapeId="0" xr:uid="{00000000-0006-0000-0300-00003B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3" authorId="0" shapeId="0" xr:uid="{00000000-0006-0000-0300-00003C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3" authorId="0" shapeId="0" xr:uid="{00000000-0006-0000-0300-00003D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3" authorId="0" shapeId="0" xr:uid="{00000000-0006-0000-0300-00003E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3" authorId="0" shapeId="0" xr:uid="{00000000-0006-0000-0300-00003F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3" authorId="0" shapeId="0" xr:uid="{00000000-0006-0000-0300-000040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3" authorId="0" shapeId="0" xr:uid="{00000000-0006-0000-0300-000041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3" authorId="0" shapeId="0" xr:uid="{00000000-0006-0000-0300-000042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3" authorId="0" shapeId="0" xr:uid="{00000000-0006-0000-0300-000043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3" authorId="0" shapeId="0" xr:uid="{00000000-0006-0000-0300-00004408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3" authorId="0" shapeId="0" xr:uid="{00000000-0006-0000-0300-000045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3" authorId="0" shapeId="0" xr:uid="{00000000-0006-0000-0300-00004608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3" authorId="0" shapeId="0" xr:uid="{00000000-0006-0000-0300-000047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3" authorId="0" shapeId="0" xr:uid="{00000000-0006-0000-0300-0000480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3" authorId="0" shapeId="0" xr:uid="{00000000-0006-0000-0300-00004908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3" authorId="0" shapeId="0" xr:uid="{00000000-0006-0000-0300-00004A08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3" authorId="0" shapeId="0" xr:uid="{00000000-0006-0000-0300-00004B0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3" authorId="0" shapeId="0" xr:uid="{00000000-0006-0000-0300-00004C080000}">
      <text>
        <r>
          <rPr>
            <sz val="9"/>
            <color indexed="81"/>
            <rFont val="Tahoma"/>
            <charset val="1"/>
          </rPr>
          <t>Stability=,Expiration=11/11/2017</t>
        </r>
      </text>
    </comment>
    <comment ref="BH53" authorId="0" shapeId="0" xr:uid="{00000000-0006-0000-0300-00004D08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3" authorId="0" shapeId="0" xr:uid="{00000000-0006-0000-0300-00004E08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3" authorId="0" shapeId="0" xr:uid="{00000000-0006-0000-0300-00004F08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3" authorId="0" shapeId="0" xr:uid="{00000000-0006-0000-0300-00005008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3" authorId="0" shapeId="0" xr:uid="{00000000-0006-0000-0300-000051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3" authorId="0" shapeId="0" xr:uid="{00000000-0006-0000-0300-00005208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3" authorId="0" shapeId="0" xr:uid="{00000000-0006-0000-0300-000053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3" authorId="0" shapeId="0" xr:uid="{00000000-0006-0000-0300-0000540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3" authorId="0" shapeId="0" xr:uid="{00000000-0006-0000-0300-0000550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3" authorId="0" shapeId="0" xr:uid="{00000000-0006-0000-0300-0000560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3" authorId="0" shapeId="0" xr:uid="{00000000-0006-0000-0300-0000570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3" authorId="0" shapeId="0" xr:uid="{00000000-0006-0000-0300-0000580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4" authorId="0" shapeId="0" xr:uid="{00000000-0006-0000-0300-000059080000}">
      <text>
        <r>
          <rPr>
            <sz val="9"/>
            <color indexed="81"/>
            <rFont val="Tahoma"/>
            <charset val="1"/>
          </rPr>
          <t>Date macro run: 11/15/2017 9:28:47 PM</t>
        </r>
      </text>
    </comment>
    <comment ref="B54" authorId="0" shapeId="0" xr:uid="{00000000-0006-0000-0300-00005A0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4" authorId="0" shapeId="0" xr:uid="{00000000-0006-0000-0300-00005B08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4" authorId="0" shapeId="0" xr:uid="{00000000-0006-0000-0300-00005C08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4" authorId="0" shapeId="0" xr:uid="{00000000-0006-0000-0300-00005D08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4" authorId="0" shapeId="0" xr:uid="{00000000-0006-0000-0300-00005E08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4" authorId="0" shapeId="0" xr:uid="{00000000-0006-0000-0300-00005F0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4" authorId="0" shapeId="0" xr:uid="{00000000-0006-0000-0300-00006008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4" authorId="0" shapeId="0" xr:uid="{00000000-0006-0000-0300-000061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4" authorId="0" shapeId="0" xr:uid="{00000000-0006-0000-0300-0000620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4" authorId="0" shapeId="0" xr:uid="{00000000-0006-0000-0300-000063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4" authorId="0" shapeId="0" xr:uid="{00000000-0006-0000-0300-00006408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4" authorId="0" shapeId="0" xr:uid="{00000000-0006-0000-0300-00006508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4" authorId="0" shapeId="0" xr:uid="{00000000-0006-0000-0300-00006608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4" authorId="0" shapeId="0" xr:uid="{00000000-0006-0000-0300-00006708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4" authorId="0" shapeId="0" xr:uid="{00000000-0006-0000-0300-000068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4" authorId="0" shapeId="0" xr:uid="{00000000-0006-0000-0300-00006908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4" authorId="0" shapeId="0" xr:uid="{00000000-0006-0000-0300-00006A0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4" authorId="0" shapeId="0" xr:uid="{00000000-0006-0000-0300-00006B0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4" authorId="0" shapeId="0" xr:uid="{00000000-0006-0000-0300-00006C08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4" authorId="0" shapeId="0" xr:uid="{00000000-0006-0000-0300-00006D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4" authorId="0" shapeId="0" xr:uid="{00000000-0006-0000-0300-00006E0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4" authorId="0" shapeId="0" xr:uid="{00000000-0006-0000-0300-00006F08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4" authorId="0" shapeId="0" xr:uid="{00000000-0006-0000-0300-000070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4" authorId="0" shapeId="0" xr:uid="{00000000-0006-0000-0300-000071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4" authorId="0" shapeId="0" xr:uid="{00000000-0006-0000-0300-00007208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4" authorId="0" shapeId="0" xr:uid="{00000000-0006-0000-0300-0000730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4" authorId="0" shapeId="0" xr:uid="{00000000-0006-0000-0300-00007408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4" authorId="0" shapeId="0" xr:uid="{00000000-0006-0000-0300-00007508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4" authorId="0" shapeId="0" xr:uid="{00000000-0006-0000-0300-0000760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4" authorId="0" shapeId="0" xr:uid="{00000000-0006-0000-0300-000077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4" authorId="0" shapeId="0" xr:uid="{00000000-0006-0000-0300-00007808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4" authorId="0" shapeId="0" xr:uid="{00000000-0006-0000-0300-00007908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4" authorId="0" shapeId="0" xr:uid="{00000000-0006-0000-0300-00007A0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4" authorId="0" shapeId="0" xr:uid="{00000000-0006-0000-0300-00007B08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4" authorId="0" shapeId="0" xr:uid="{00000000-0006-0000-0300-00007C08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4" authorId="0" shapeId="0" xr:uid="{00000000-0006-0000-0300-00007D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4" authorId="0" shapeId="0" xr:uid="{00000000-0006-0000-0300-00007E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4" authorId="0" shapeId="0" xr:uid="{00000000-0006-0000-0300-00007F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4" authorId="0" shapeId="0" xr:uid="{00000000-0006-0000-0300-000080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4" authorId="0" shapeId="0" xr:uid="{00000000-0006-0000-0300-000081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4" authorId="0" shapeId="0" xr:uid="{00000000-0006-0000-0300-000082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4" authorId="0" shapeId="0" xr:uid="{00000000-0006-0000-0300-000083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4" authorId="0" shapeId="0" xr:uid="{00000000-0006-0000-0300-000084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4" authorId="0" shapeId="0" xr:uid="{00000000-0006-0000-0300-000085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4" authorId="0" shapeId="0" xr:uid="{00000000-0006-0000-0300-000086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4" authorId="0" shapeId="0" xr:uid="{00000000-0006-0000-0300-000087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4" authorId="0" shapeId="0" xr:uid="{00000000-0006-0000-0300-000088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4" authorId="0" shapeId="0" xr:uid="{00000000-0006-0000-0300-00008908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4" authorId="0" shapeId="0" xr:uid="{00000000-0006-0000-0300-00008A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4" authorId="0" shapeId="0" xr:uid="{00000000-0006-0000-0300-00008B08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4" authorId="0" shapeId="0" xr:uid="{00000000-0006-0000-0300-00008C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4" authorId="0" shapeId="0" xr:uid="{00000000-0006-0000-0300-00008D0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4" authorId="0" shapeId="0" xr:uid="{00000000-0006-0000-0300-00008E08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4" authorId="0" shapeId="0" xr:uid="{00000000-0006-0000-0300-00008F08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4" authorId="0" shapeId="0" xr:uid="{00000000-0006-0000-0300-0000900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4" authorId="0" shapeId="0" xr:uid="{00000000-0006-0000-0300-00009108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4" authorId="0" shapeId="0" xr:uid="{00000000-0006-0000-0300-00009208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4" authorId="0" shapeId="0" xr:uid="{00000000-0006-0000-0300-00009308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4" authorId="0" shapeId="0" xr:uid="{00000000-0006-0000-0300-00009408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4" authorId="0" shapeId="0" xr:uid="{00000000-0006-0000-0300-00009508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4" authorId="0" shapeId="0" xr:uid="{00000000-0006-0000-0300-000096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4" authorId="0" shapeId="0" xr:uid="{00000000-0006-0000-0300-00009708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4" authorId="0" shapeId="0" xr:uid="{00000000-0006-0000-0300-000098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4" authorId="0" shapeId="0" xr:uid="{00000000-0006-0000-0300-0000990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4" authorId="0" shapeId="0" xr:uid="{00000000-0006-0000-0300-00009A0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4" authorId="0" shapeId="0" xr:uid="{00000000-0006-0000-0300-00009B0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4" authorId="0" shapeId="0" xr:uid="{00000000-0006-0000-0300-00009C0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4" authorId="0" shapeId="0" xr:uid="{00000000-0006-0000-0300-00009D0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5" authorId="0" shapeId="0" xr:uid="{00000000-0006-0000-0300-00009E080000}">
      <text>
        <r>
          <rPr>
            <sz val="9"/>
            <color indexed="81"/>
            <rFont val="Tahoma"/>
            <charset val="1"/>
          </rPr>
          <t>Date macro run: 11/17/2017 10:05:55 PM</t>
        </r>
      </text>
    </comment>
    <comment ref="B55" authorId="0" shapeId="0" xr:uid="{00000000-0006-0000-0300-00009F0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5" authorId="0" shapeId="0" xr:uid="{00000000-0006-0000-0300-0000A008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5" authorId="0" shapeId="0" xr:uid="{00000000-0006-0000-0300-0000A108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5" authorId="0" shapeId="0" xr:uid="{00000000-0006-0000-0300-0000A208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5" authorId="0" shapeId="0" xr:uid="{00000000-0006-0000-0300-0000A308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5" authorId="0" shapeId="0" xr:uid="{00000000-0006-0000-0300-0000A40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5" authorId="0" shapeId="0" xr:uid="{00000000-0006-0000-0300-0000A508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5" authorId="0" shapeId="0" xr:uid="{00000000-0006-0000-0300-0000A6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5" authorId="0" shapeId="0" xr:uid="{00000000-0006-0000-0300-0000A70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5" authorId="0" shapeId="0" xr:uid="{00000000-0006-0000-0300-0000A8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5" authorId="0" shapeId="0" xr:uid="{00000000-0006-0000-0300-0000A908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5" authorId="0" shapeId="0" xr:uid="{00000000-0006-0000-0300-0000AA08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5" authorId="0" shapeId="0" xr:uid="{00000000-0006-0000-0300-0000AB08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5" authorId="0" shapeId="0" xr:uid="{00000000-0006-0000-0300-0000AC08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5" authorId="0" shapeId="0" xr:uid="{00000000-0006-0000-0300-0000AD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5" authorId="0" shapeId="0" xr:uid="{00000000-0006-0000-0300-0000AE08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5" authorId="0" shapeId="0" xr:uid="{00000000-0006-0000-0300-0000AF0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5" authorId="0" shapeId="0" xr:uid="{00000000-0006-0000-0300-0000B00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5" authorId="0" shapeId="0" xr:uid="{00000000-0006-0000-0300-0000B108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5" authorId="0" shapeId="0" xr:uid="{00000000-0006-0000-0300-0000B2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5" authorId="0" shapeId="0" xr:uid="{00000000-0006-0000-0300-0000B30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5" authorId="0" shapeId="0" xr:uid="{00000000-0006-0000-0300-0000B408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5" authorId="0" shapeId="0" xr:uid="{00000000-0006-0000-0300-0000B5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5" authorId="0" shapeId="0" xr:uid="{00000000-0006-0000-0300-0000B6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5" authorId="0" shapeId="0" xr:uid="{00000000-0006-0000-0300-0000B708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5" authorId="0" shapeId="0" xr:uid="{00000000-0006-0000-0300-0000B80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5" authorId="0" shapeId="0" xr:uid="{00000000-0006-0000-0300-0000B908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5" authorId="0" shapeId="0" xr:uid="{00000000-0006-0000-0300-0000BA08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5" authorId="0" shapeId="0" xr:uid="{00000000-0006-0000-0300-0000BB0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5" authorId="0" shapeId="0" xr:uid="{00000000-0006-0000-0300-0000BC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5" authorId="0" shapeId="0" xr:uid="{00000000-0006-0000-0300-0000BD08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5" authorId="0" shapeId="0" xr:uid="{00000000-0006-0000-0300-0000BE08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5" authorId="0" shapeId="0" xr:uid="{00000000-0006-0000-0300-0000BF0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5" authorId="0" shapeId="0" xr:uid="{00000000-0006-0000-0300-0000C008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5" authorId="0" shapeId="0" xr:uid="{00000000-0006-0000-0300-0000C108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5" authorId="0" shapeId="0" xr:uid="{00000000-0006-0000-0300-0000C2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5" authorId="0" shapeId="0" xr:uid="{00000000-0006-0000-0300-0000C3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5" authorId="0" shapeId="0" xr:uid="{00000000-0006-0000-0300-0000C4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5" authorId="0" shapeId="0" xr:uid="{00000000-0006-0000-0300-0000C5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5" authorId="0" shapeId="0" xr:uid="{00000000-0006-0000-0300-0000C6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5" authorId="0" shapeId="0" xr:uid="{00000000-0006-0000-0300-0000C7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5" authorId="0" shapeId="0" xr:uid="{00000000-0006-0000-0300-0000C8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5" authorId="0" shapeId="0" xr:uid="{00000000-0006-0000-0300-0000C9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5" authorId="0" shapeId="0" xr:uid="{00000000-0006-0000-0300-0000CA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5" authorId="0" shapeId="0" xr:uid="{00000000-0006-0000-0300-0000CB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5" authorId="0" shapeId="0" xr:uid="{00000000-0006-0000-0300-0000CC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5" authorId="0" shapeId="0" xr:uid="{00000000-0006-0000-0300-0000CD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5" authorId="0" shapeId="0" xr:uid="{00000000-0006-0000-0300-0000CE08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5" authorId="0" shapeId="0" xr:uid="{00000000-0006-0000-0300-0000CF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5" authorId="0" shapeId="0" xr:uid="{00000000-0006-0000-0300-0000D008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5" authorId="0" shapeId="0" xr:uid="{00000000-0006-0000-0300-0000D1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5" authorId="0" shapeId="0" xr:uid="{00000000-0006-0000-0300-0000D20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5" authorId="0" shapeId="0" xr:uid="{00000000-0006-0000-0300-0000D308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5" authorId="0" shapeId="0" xr:uid="{00000000-0006-0000-0300-0000D408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5" authorId="0" shapeId="0" xr:uid="{00000000-0006-0000-0300-0000D50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5" authorId="0" shapeId="0" xr:uid="{00000000-0006-0000-0300-0000D608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5" authorId="0" shapeId="0" xr:uid="{00000000-0006-0000-0300-0000D708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5" authorId="0" shapeId="0" xr:uid="{00000000-0006-0000-0300-0000D808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5" authorId="0" shapeId="0" xr:uid="{00000000-0006-0000-0300-0000D908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5" authorId="0" shapeId="0" xr:uid="{00000000-0006-0000-0300-0000DA08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5" authorId="0" shapeId="0" xr:uid="{00000000-0006-0000-0300-0000DB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5" authorId="0" shapeId="0" xr:uid="{00000000-0006-0000-0300-0000DC08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5" authorId="0" shapeId="0" xr:uid="{00000000-0006-0000-0300-0000DD0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5" authorId="0" shapeId="0" xr:uid="{00000000-0006-0000-0300-0000DE0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5" authorId="0" shapeId="0" xr:uid="{00000000-0006-0000-0300-0000DF0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5" authorId="0" shapeId="0" xr:uid="{00000000-0006-0000-0300-0000E00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5" authorId="0" shapeId="0" xr:uid="{00000000-0006-0000-0300-0000E10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5" authorId="0" shapeId="0" xr:uid="{00000000-0006-0000-0300-0000E20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6" authorId="0" shapeId="0" xr:uid="{00000000-0006-0000-0300-0000E3080000}">
      <text>
        <r>
          <rPr>
            <sz val="9"/>
            <color indexed="81"/>
            <rFont val="Tahoma"/>
            <charset val="1"/>
          </rPr>
          <t>Date macro run: 11/20/2017 10:14:53 PM</t>
        </r>
      </text>
    </comment>
    <comment ref="B56" authorId="0" shapeId="0" xr:uid="{00000000-0006-0000-0300-0000E40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6" authorId="0" shapeId="0" xr:uid="{00000000-0006-0000-0300-0000E508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6" authorId="0" shapeId="0" xr:uid="{00000000-0006-0000-0300-0000E6080000}">
      <text>
        <r>
          <rPr>
            <sz val="9"/>
            <color indexed="81"/>
            <rFont val="Tahoma"/>
            <charset val="1"/>
          </rPr>
          <t>Stability=,Expiration=3/12/2017</t>
        </r>
      </text>
    </comment>
    <comment ref="E56" authorId="0" shapeId="0" xr:uid="{00000000-0006-0000-0300-0000E708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6" authorId="0" shapeId="0" xr:uid="{00000000-0006-0000-0300-0000E808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6" authorId="0" shapeId="0" xr:uid="{00000000-0006-0000-0300-0000E90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6" authorId="0" shapeId="0" xr:uid="{00000000-0006-0000-0300-0000EA08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6" authorId="0" shapeId="0" xr:uid="{00000000-0006-0000-0300-0000EB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J56" authorId="0" shapeId="0" xr:uid="{00000000-0006-0000-0300-0000EC0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6" authorId="0" shapeId="0" xr:uid="{00000000-0006-0000-0300-0000ED0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6" authorId="0" shapeId="0" xr:uid="{00000000-0006-0000-0300-0000EE08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6" authorId="0" shapeId="0" xr:uid="{00000000-0006-0000-0300-0000EF08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6" authorId="0" shapeId="0" xr:uid="{00000000-0006-0000-0300-0000F008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6" authorId="0" shapeId="0" xr:uid="{00000000-0006-0000-0300-0000F108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6" authorId="0" shapeId="0" xr:uid="{00000000-0006-0000-0300-0000F20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6" authorId="0" shapeId="0" xr:uid="{00000000-0006-0000-0300-0000F308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R56" authorId="0" shapeId="0" xr:uid="{00000000-0006-0000-0300-0000F40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6" authorId="0" shapeId="0" xr:uid="{00000000-0006-0000-0300-0000F50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6" authorId="0" shapeId="0" xr:uid="{00000000-0006-0000-0300-0000F608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6" authorId="0" shapeId="0" xr:uid="{00000000-0006-0000-0300-0000F7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6" authorId="0" shapeId="0" xr:uid="{00000000-0006-0000-0300-0000F80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6" authorId="0" shapeId="0" xr:uid="{00000000-0006-0000-0300-0000F908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6" authorId="0" shapeId="0" xr:uid="{00000000-0006-0000-0300-0000FA0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6" authorId="0" shapeId="0" xr:uid="{00000000-0006-0000-0300-0000FB0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6" authorId="0" shapeId="0" xr:uid="{00000000-0006-0000-0300-0000FC08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6" authorId="0" shapeId="0" xr:uid="{00000000-0006-0000-0300-0000FD0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6" authorId="0" shapeId="0" xr:uid="{00000000-0006-0000-0300-0000FE08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6" authorId="0" shapeId="0" xr:uid="{00000000-0006-0000-0300-0000FF08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6" authorId="0" shapeId="0" xr:uid="{00000000-0006-0000-0300-000000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6" authorId="0" shapeId="0" xr:uid="{00000000-0006-0000-0300-000001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6" authorId="0" shapeId="0" xr:uid="{00000000-0006-0000-0300-000002090000}">
      <text>
        <r>
          <rPr>
            <sz val="9"/>
            <color indexed="81"/>
            <rFont val="Tahoma"/>
            <charset val="1"/>
          </rPr>
          <t>Stability=,Expiration=4/29/2018</t>
        </r>
      </text>
    </comment>
    <comment ref="AG56" authorId="0" shapeId="0" xr:uid="{00000000-0006-0000-0300-00000309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6" authorId="0" shapeId="0" xr:uid="{00000000-0006-0000-0300-00000409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I56" authorId="0" shapeId="0" xr:uid="{00000000-0006-0000-0300-00000509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6" authorId="0" shapeId="0" xr:uid="{00000000-0006-0000-0300-00000609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6" authorId="0" shapeId="0" xr:uid="{00000000-0006-0000-0300-000007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6" authorId="0" shapeId="0" xr:uid="{00000000-0006-0000-0300-000008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6" authorId="0" shapeId="0" xr:uid="{00000000-0006-0000-0300-000009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6" authorId="0" shapeId="0" xr:uid="{00000000-0006-0000-0300-00000A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6" authorId="0" shapeId="0" xr:uid="{00000000-0006-0000-0300-00000B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6" authorId="0" shapeId="0" xr:uid="{00000000-0006-0000-0300-00000C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6" authorId="0" shapeId="0" xr:uid="{00000000-0006-0000-0300-00000D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6" authorId="0" shapeId="0" xr:uid="{00000000-0006-0000-0300-00000E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6" authorId="0" shapeId="0" xr:uid="{00000000-0006-0000-0300-00000F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6" authorId="0" shapeId="0" xr:uid="{00000000-0006-0000-0300-000010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W56" authorId="0" shapeId="0" xr:uid="{00000000-0006-0000-0300-000011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6" authorId="0" shapeId="0" xr:uid="{00000000-0006-0000-0300-000012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6" authorId="0" shapeId="0" xr:uid="{00000000-0006-0000-0300-00001309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6" authorId="0" shapeId="0" xr:uid="{00000000-0006-0000-0300-000014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6" authorId="0" shapeId="0" xr:uid="{00000000-0006-0000-0300-00001509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6" authorId="0" shapeId="0" xr:uid="{00000000-0006-0000-0300-000016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6" authorId="0" shapeId="0" xr:uid="{00000000-0006-0000-0300-0000170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6" authorId="0" shapeId="0" xr:uid="{00000000-0006-0000-0300-000018090000}">
      <text>
        <r>
          <rPr>
            <sz val="9"/>
            <color indexed="81"/>
            <rFont val="Tahoma"/>
            <charset val="1"/>
          </rPr>
          <t>Stability=,Expiration=8/31/2018</t>
        </r>
      </text>
    </comment>
    <comment ref="BE56" authorId="0" shapeId="0" xr:uid="{00000000-0006-0000-0300-00001909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6" authorId="0" shapeId="0" xr:uid="{00000000-0006-0000-0300-00001A0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6" authorId="0" shapeId="0" xr:uid="{00000000-0006-0000-0300-00001B09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6" authorId="0" shapeId="0" xr:uid="{00000000-0006-0000-0300-00001C09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6" authorId="0" shapeId="0" xr:uid="{00000000-0006-0000-0300-00001D09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6" authorId="0" shapeId="0" xr:uid="{00000000-0006-0000-0300-00001E090000}">
      <text>
        <r>
          <rPr>
            <sz val="9"/>
            <color indexed="81"/>
            <rFont val="Tahoma"/>
            <charset val="1"/>
          </rPr>
          <t>Stability=,Expiration=1/7/2018</t>
        </r>
      </text>
    </comment>
    <comment ref="BK56" authorId="0" shapeId="0" xr:uid="{00000000-0006-0000-0300-00001F09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6" authorId="0" shapeId="0" xr:uid="{00000000-0006-0000-0300-000020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6" authorId="0" shapeId="0" xr:uid="{00000000-0006-0000-0300-000021090000}">
      <text>
        <r>
          <rPr>
            <sz val="9"/>
            <color indexed="81"/>
            <rFont val="Tahoma"/>
            <charset val="1"/>
          </rPr>
          <t>Stability=,Expiration=31-Jan</t>
        </r>
      </text>
    </comment>
    <comment ref="BN56" authorId="0" shapeId="0" xr:uid="{00000000-0006-0000-0300-000022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6" authorId="0" shapeId="0" xr:uid="{00000000-0006-0000-0300-0000230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6" authorId="0" shapeId="0" xr:uid="{00000000-0006-0000-0300-0000240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6" authorId="0" shapeId="0" xr:uid="{00000000-0006-0000-0300-0000250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6" authorId="0" shapeId="0" xr:uid="{00000000-0006-0000-0300-0000260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6" authorId="0" shapeId="0" xr:uid="{00000000-0006-0000-0300-000027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57" authorId="0" shapeId="0" xr:uid="{00000000-0006-0000-0300-000028090000}">
      <text>
        <r>
          <rPr>
            <sz val="9"/>
            <color indexed="81"/>
            <rFont val="Tahoma"/>
            <family val="2"/>
          </rPr>
          <t>Date macro run: 11/27/2017 9:19:39 PM</t>
        </r>
      </text>
    </comment>
    <comment ref="B57" authorId="0" shapeId="0" xr:uid="{00000000-0006-0000-0300-000029090000}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57" authorId="0" shapeId="0" xr:uid="{00000000-0006-0000-0300-00002A090000}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57" authorId="0" shapeId="0" xr:uid="{00000000-0006-0000-0300-00002B090000}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57" authorId="0" shapeId="0" xr:uid="{00000000-0006-0000-0300-00002C090000}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57" authorId="0" shapeId="0" xr:uid="{00000000-0006-0000-0300-00002D090000}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57" authorId="0" shapeId="0" xr:uid="{00000000-0006-0000-0300-00002E090000}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57" authorId="0" shapeId="0" xr:uid="{00000000-0006-0000-0300-00002F090000}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57" authorId="0" shapeId="0" xr:uid="{00000000-0006-0000-0300-000030090000}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57" authorId="0" shapeId="0" xr:uid="{00000000-0006-0000-0300-000031090000}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57" authorId="0" shapeId="0" xr:uid="{00000000-0006-0000-0300-000032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57" authorId="0" shapeId="0" xr:uid="{00000000-0006-0000-0300-000033090000}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57" authorId="0" shapeId="0" xr:uid="{00000000-0006-0000-0300-000034090000}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57" authorId="0" shapeId="0" xr:uid="{00000000-0006-0000-0300-000035090000}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57" authorId="0" shapeId="0" xr:uid="{00000000-0006-0000-0300-000036090000}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57" authorId="0" shapeId="0" xr:uid="{00000000-0006-0000-0300-000037090000}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57" authorId="0" shapeId="0" xr:uid="{00000000-0006-0000-0300-000038090000}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57" authorId="0" shapeId="0" xr:uid="{00000000-0006-0000-0300-000039090000}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57" authorId="0" shapeId="0" xr:uid="{00000000-0006-0000-0300-00003A090000}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57" authorId="0" shapeId="0" xr:uid="{00000000-0006-0000-0300-00003B090000}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57" authorId="0" shapeId="0" xr:uid="{00000000-0006-0000-0300-00003C090000}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57" authorId="0" shapeId="0" xr:uid="{00000000-0006-0000-0300-00003D090000}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57" authorId="0" shapeId="0" xr:uid="{00000000-0006-0000-0300-00003E090000}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57" authorId="0" shapeId="0" xr:uid="{00000000-0006-0000-0300-00003F090000}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57" authorId="0" shapeId="0" xr:uid="{00000000-0006-0000-0300-000040090000}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57" authorId="0" shapeId="0" xr:uid="{00000000-0006-0000-0300-000041090000}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57" authorId="0" shapeId="0" xr:uid="{00000000-0006-0000-0300-000042090000}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57" authorId="0" shapeId="0" xr:uid="{00000000-0006-0000-0300-000043090000}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57" authorId="0" shapeId="0" xr:uid="{00000000-0006-0000-0300-000044090000}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57" authorId="0" shapeId="0" xr:uid="{00000000-0006-0000-0300-000045090000}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57" authorId="0" shapeId="0" xr:uid="{00000000-0006-0000-0300-000046090000}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57" authorId="0" shapeId="0" xr:uid="{00000000-0006-0000-0300-000047090000}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57" authorId="0" shapeId="0" xr:uid="{00000000-0006-0000-0300-000048090000}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57" authorId="0" shapeId="0" xr:uid="{00000000-0006-0000-0300-000049090000}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57" authorId="0" shapeId="0" xr:uid="{00000000-0006-0000-0300-00004A090000}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57" authorId="0" shapeId="0" xr:uid="{00000000-0006-0000-0300-00004B090000}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57" authorId="0" shapeId="0" xr:uid="{00000000-0006-0000-0300-00004C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7" authorId="0" shapeId="0" xr:uid="{00000000-0006-0000-0300-00004D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7" authorId="0" shapeId="0" xr:uid="{00000000-0006-0000-0300-00004E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7" authorId="0" shapeId="0" xr:uid="{00000000-0006-0000-0300-00004F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7" authorId="0" shapeId="0" xr:uid="{00000000-0006-0000-0300-000050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7" authorId="0" shapeId="0" xr:uid="{00000000-0006-0000-0300-000051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7" authorId="0" shapeId="0" xr:uid="{00000000-0006-0000-0300-000052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7" authorId="0" shapeId="0" xr:uid="{00000000-0006-0000-0300-000053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7" authorId="0" shapeId="0" xr:uid="{00000000-0006-0000-0300-000054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7" authorId="0" shapeId="0" xr:uid="{00000000-0006-0000-0300-000055090000}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57" authorId="0" shapeId="0" xr:uid="{00000000-0006-0000-0300-000056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57" authorId="0" shapeId="0" xr:uid="{00000000-0006-0000-0300-000057090000}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57" authorId="0" shapeId="0" xr:uid="{00000000-0006-0000-0300-000058090000}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57" authorId="0" shapeId="0" xr:uid="{00000000-0006-0000-0300-000059090000}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57" authorId="0" shapeId="0" xr:uid="{00000000-0006-0000-0300-00005A090000}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57" authorId="0" shapeId="0" xr:uid="{00000000-0006-0000-0300-00005B090000}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57" authorId="0" shapeId="0" xr:uid="{00000000-0006-0000-0300-00005C090000}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57" authorId="0" shapeId="0" xr:uid="{00000000-0006-0000-0300-00005D090000}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57" authorId="0" shapeId="0" xr:uid="{00000000-0006-0000-0300-00005E090000}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57" authorId="0" shapeId="0" xr:uid="{00000000-0006-0000-0300-00005F090000}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57" authorId="0" shapeId="0" xr:uid="{00000000-0006-0000-0300-000060090000}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57" authorId="0" shapeId="0" xr:uid="{00000000-0006-0000-0300-000061090000}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57" authorId="0" shapeId="0" xr:uid="{00000000-0006-0000-0300-000062090000}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57" authorId="0" shapeId="0" xr:uid="{00000000-0006-0000-0300-000063090000}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57" authorId="0" shapeId="0" xr:uid="{00000000-0006-0000-0300-000064090000}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57" authorId="0" shapeId="0" xr:uid="{00000000-0006-0000-0300-000065090000}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57" authorId="0" shapeId="0" xr:uid="{00000000-0006-0000-0300-000066090000}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57" authorId="0" shapeId="0" xr:uid="{00000000-0006-0000-0300-000067090000}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57" authorId="0" shapeId="0" xr:uid="{00000000-0006-0000-0300-000068090000}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57" authorId="0" shapeId="0" xr:uid="{00000000-0006-0000-0300-000069090000}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57" authorId="0" shapeId="0" xr:uid="{00000000-0006-0000-0300-00006A090000}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57" authorId="0" shapeId="0" xr:uid="{00000000-0006-0000-0300-00006B090000}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57" authorId="0" shapeId="0" xr:uid="{00000000-0006-0000-0300-00006C090000}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58" authorId="0" shapeId="0" xr:uid="{00000000-0006-0000-0300-00006D090000}">
      <text>
        <r>
          <rPr>
            <sz val="9"/>
            <color indexed="81"/>
            <rFont val="Tahoma"/>
            <charset val="1"/>
          </rPr>
          <t>Date macro run: 11/29/2017 9:51:48 PM</t>
        </r>
      </text>
    </comment>
    <comment ref="B58" authorId="0" shapeId="0" xr:uid="{00000000-0006-0000-0300-00006E0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8" authorId="0" shapeId="0" xr:uid="{00000000-0006-0000-0300-00006F09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8" authorId="0" shapeId="0" xr:uid="{00000000-0006-0000-0300-00007009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58" authorId="0" shapeId="0" xr:uid="{00000000-0006-0000-0300-00007109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8" authorId="0" shapeId="0" xr:uid="{00000000-0006-0000-0300-00007209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8" authorId="0" shapeId="0" xr:uid="{00000000-0006-0000-0300-0000730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8" authorId="0" shapeId="0" xr:uid="{00000000-0006-0000-0300-00007409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8" authorId="0" shapeId="0" xr:uid="{00000000-0006-0000-0300-00007509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58" authorId="0" shapeId="0" xr:uid="{00000000-0006-0000-0300-00007609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8" authorId="0" shapeId="0" xr:uid="{00000000-0006-0000-0300-000077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8" authorId="0" shapeId="0" xr:uid="{00000000-0006-0000-0300-00007809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8" authorId="0" shapeId="0" xr:uid="{00000000-0006-0000-0300-00007909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8" authorId="0" shapeId="0" xr:uid="{00000000-0006-0000-0300-00007A09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8" authorId="0" shapeId="0" xr:uid="{00000000-0006-0000-0300-00007B09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8" authorId="0" shapeId="0" xr:uid="{00000000-0006-0000-0300-00007C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8" authorId="0" shapeId="0" xr:uid="{00000000-0006-0000-0300-00007D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58" authorId="0" shapeId="0" xr:uid="{00000000-0006-0000-0300-00007E09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8" authorId="0" shapeId="0" xr:uid="{00000000-0006-0000-0300-00007F0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8" authorId="0" shapeId="0" xr:uid="{00000000-0006-0000-0300-00008009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8" authorId="0" shapeId="0" xr:uid="{00000000-0006-0000-0300-000081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8" authorId="0" shapeId="0" xr:uid="{00000000-0006-0000-0300-0000820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8" authorId="0" shapeId="0" xr:uid="{00000000-0006-0000-0300-00008309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8" authorId="0" shapeId="0" xr:uid="{00000000-0006-0000-0300-000084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8" authorId="0" shapeId="0" xr:uid="{00000000-0006-0000-0300-000085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8" authorId="0" shapeId="0" xr:uid="{00000000-0006-0000-0300-00008609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8" authorId="0" shapeId="0" xr:uid="{00000000-0006-0000-0300-00008709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8" authorId="0" shapeId="0" xr:uid="{00000000-0006-0000-0300-00008809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8" authorId="0" shapeId="0" xr:uid="{00000000-0006-0000-0300-00008909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8" authorId="0" shapeId="0" xr:uid="{00000000-0006-0000-0300-00008A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8" authorId="0" shapeId="0" xr:uid="{00000000-0006-0000-0300-00008B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8" authorId="0" shapeId="0" xr:uid="{00000000-0006-0000-0300-00008C09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58" authorId="0" shapeId="0" xr:uid="{00000000-0006-0000-0300-00008D09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8" authorId="0" shapeId="0" xr:uid="{00000000-0006-0000-0300-00008E09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58" authorId="0" shapeId="0" xr:uid="{00000000-0006-0000-0300-00008F09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8" authorId="0" shapeId="0" xr:uid="{00000000-0006-0000-0300-00009009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8" authorId="0" shapeId="0" xr:uid="{00000000-0006-0000-0300-000091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8" authorId="0" shapeId="0" xr:uid="{00000000-0006-0000-0300-000092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8" authorId="0" shapeId="0" xr:uid="{00000000-0006-0000-0300-000093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8" authorId="0" shapeId="0" xr:uid="{00000000-0006-0000-0300-000094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8" authorId="0" shapeId="0" xr:uid="{00000000-0006-0000-0300-000095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8" authorId="0" shapeId="0" xr:uid="{00000000-0006-0000-0300-000096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8" authorId="0" shapeId="0" xr:uid="{00000000-0006-0000-0300-000097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8" authorId="0" shapeId="0" xr:uid="{00000000-0006-0000-0300-000098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8" authorId="0" shapeId="0" xr:uid="{00000000-0006-0000-0300-000099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8" authorId="0" shapeId="0" xr:uid="{00000000-0006-0000-0300-00009A0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58" authorId="0" shapeId="0" xr:uid="{00000000-0006-0000-0300-00009B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8" authorId="0" shapeId="0" xr:uid="{00000000-0006-0000-0300-00009C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8" authorId="0" shapeId="0" xr:uid="{00000000-0006-0000-0300-00009D09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8" authorId="0" shapeId="0" xr:uid="{00000000-0006-0000-0300-00009E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8" authorId="0" shapeId="0" xr:uid="{00000000-0006-0000-0300-00009F09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8" authorId="0" shapeId="0" xr:uid="{00000000-0006-0000-0300-0000A0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8" authorId="0" shapeId="0" xr:uid="{00000000-0006-0000-0300-0000A10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8" authorId="0" shapeId="0" xr:uid="{00000000-0006-0000-0300-0000A2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58" authorId="0" shapeId="0" xr:uid="{00000000-0006-0000-0300-0000A309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8" authorId="0" shapeId="0" xr:uid="{00000000-0006-0000-0300-0000A40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8" authorId="0" shapeId="0" xr:uid="{00000000-0006-0000-0300-0000A509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8" authorId="0" shapeId="0" xr:uid="{00000000-0006-0000-0300-0000A609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8" authorId="0" shapeId="0" xr:uid="{00000000-0006-0000-0300-0000A709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8" authorId="0" shapeId="0" xr:uid="{00000000-0006-0000-0300-0000A809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58" authorId="0" shapeId="0" xr:uid="{00000000-0006-0000-0300-0000A909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8" authorId="0" shapeId="0" xr:uid="{00000000-0006-0000-0300-0000AA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8" authorId="0" shapeId="0" xr:uid="{00000000-0006-0000-0300-0000AB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58" authorId="0" shapeId="0" xr:uid="{00000000-0006-0000-0300-0000AC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8" authorId="0" shapeId="0" xr:uid="{00000000-0006-0000-0300-0000AD0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8" authorId="0" shapeId="0" xr:uid="{00000000-0006-0000-0300-0000AE0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8" authorId="0" shapeId="0" xr:uid="{00000000-0006-0000-0300-0000AF0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8" authorId="0" shapeId="0" xr:uid="{00000000-0006-0000-0300-0000B00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8" authorId="0" shapeId="0" xr:uid="{00000000-0006-0000-0300-0000B1090000}">
      <text>
        <r>
          <rPr>
            <sz val="9"/>
            <color indexed="81"/>
            <rFont val="Tahoma"/>
            <charset val="1"/>
          </rPr>
          <t>Stability=,Expiration=1/31/2019, umm may have been double counting up to this point</t>
        </r>
      </text>
    </comment>
    <comment ref="BT58" authorId="0" shapeId="0" xr:uid="{00000000-0006-0000-0300-0000B2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59" authorId="0" shapeId="0" xr:uid="{00000000-0006-0000-0300-0000B3090000}">
      <text>
        <r>
          <rPr>
            <sz val="9"/>
            <color indexed="81"/>
            <rFont val="Tahoma"/>
            <charset val="1"/>
          </rPr>
          <t>Date macro run: 11/30/2017 9:17:08 PM</t>
        </r>
      </text>
    </comment>
    <comment ref="B59" authorId="0" shapeId="0" xr:uid="{00000000-0006-0000-0300-0000B40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59" authorId="0" shapeId="0" xr:uid="{00000000-0006-0000-0300-0000B509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59" authorId="0" shapeId="0" xr:uid="{00000000-0006-0000-0300-0000B609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59" authorId="0" shapeId="0" xr:uid="{00000000-0006-0000-0300-0000B709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59" authorId="0" shapeId="0" xr:uid="{00000000-0006-0000-0300-0000B809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59" authorId="0" shapeId="0" xr:uid="{00000000-0006-0000-0300-0000B90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59" authorId="0" shapeId="0" xr:uid="{00000000-0006-0000-0300-0000BA09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59" authorId="0" shapeId="0" xr:uid="{00000000-0006-0000-0300-0000BB09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59" authorId="0" shapeId="0" xr:uid="{00000000-0006-0000-0300-0000BC09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59" authorId="0" shapeId="0" xr:uid="{00000000-0006-0000-0300-0000BD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59" authorId="0" shapeId="0" xr:uid="{00000000-0006-0000-0300-0000BE09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59" authorId="0" shapeId="0" xr:uid="{00000000-0006-0000-0300-0000BF09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59" authorId="0" shapeId="0" xr:uid="{00000000-0006-0000-0300-0000C009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59" authorId="0" shapeId="0" xr:uid="{00000000-0006-0000-0300-0000C109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59" authorId="0" shapeId="0" xr:uid="{00000000-0006-0000-0300-0000C2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59" authorId="0" shapeId="0" xr:uid="{00000000-0006-0000-0300-0000C3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59" authorId="0" shapeId="0" xr:uid="{00000000-0006-0000-0300-0000C409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59" authorId="0" shapeId="0" xr:uid="{00000000-0006-0000-0300-0000C50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59" authorId="0" shapeId="0" xr:uid="{00000000-0006-0000-0300-0000C609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59" authorId="0" shapeId="0" xr:uid="{00000000-0006-0000-0300-0000C7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59" authorId="0" shapeId="0" xr:uid="{00000000-0006-0000-0300-0000C80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59" authorId="0" shapeId="0" xr:uid="{00000000-0006-0000-0300-0000C909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59" authorId="0" shapeId="0" xr:uid="{00000000-0006-0000-0300-0000CA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59" authorId="0" shapeId="0" xr:uid="{00000000-0006-0000-0300-0000CB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59" authorId="0" shapeId="0" xr:uid="{00000000-0006-0000-0300-0000CC09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59" authorId="0" shapeId="0" xr:uid="{00000000-0006-0000-0300-0000CD09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59" authorId="0" shapeId="0" xr:uid="{00000000-0006-0000-0300-0000CE09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59" authorId="0" shapeId="0" xr:uid="{00000000-0006-0000-0300-0000CF09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59" authorId="0" shapeId="0" xr:uid="{00000000-0006-0000-0300-0000D00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59" authorId="0" shapeId="0" xr:uid="{00000000-0006-0000-0300-0000D1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59" authorId="0" shapeId="0" xr:uid="{00000000-0006-0000-0300-0000D209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59" authorId="0" shapeId="0" xr:uid="{00000000-0006-0000-0300-0000D309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59" authorId="0" shapeId="0" xr:uid="{00000000-0006-0000-0300-0000D409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59" authorId="0" shapeId="0" xr:uid="{00000000-0006-0000-0300-0000D509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59" authorId="0" shapeId="0" xr:uid="{00000000-0006-0000-0300-0000D609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59" authorId="0" shapeId="0" xr:uid="{00000000-0006-0000-0300-0000D7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59" authorId="0" shapeId="0" xr:uid="{00000000-0006-0000-0300-0000D8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59" authorId="0" shapeId="0" xr:uid="{00000000-0006-0000-0300-0000D9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59" authorId="0" shapeId="0" xr:uid="{00000000-0006-0000-0300-0000DA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59" authorId="0" shapeId="0" xr:uid="{00000000-0006-0000-0300-0000DB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59" authorId="0" shapeId="0" xr:uid="{00000000-0006-0000-0300-0000DC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59" authorId="0" shapeId="0" xr:uid="{00000000-0006-0000-0300-0000DD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59" authorId="0" shapeId="0" xr:uid="{00000000-0006-0000-0300-0000DE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59" authorId="0" shapeId="0" xr:uid="{00000000-0006-0000-0300-0000DF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59" authorId="0" shapeId="0" xr:uid="{00000000-0006-0000-0300-0000E00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59" authorId="0" shapeId="0" xr:uid="{00000000-0006-0000-0300-0000E1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59" authorId="0" shapeId="0" xr:uid="{00000000-0006-0000-0300-0000E20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59" authorId="0" shapeId="0" xr:uid="{00000000-0006-0000-0300-0000E309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59" authorId="0" shapeId="0" xr:uid="{00000000-0006-0000-0300-0000E4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59" authorId="0" shapeId="0" xr:uid="{00000000-0006-0000-0300-0000E509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59" authorId="0" shapeId="0" xr:uid="{00000000-0006-0000-0300-0000E60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59" authorId="0" shapeId="0" xr:uid="{00000000-0006-0000-0300-0000E70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59" authorId="0" shapeId="0" xr:uid="{00000000-0006-0000-0300-0000E8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59" authorId="0" shapeId="0" xr:uid="{00000000-0006-0000-0300-0000E909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59" authorId="0" shapeId="0" xr:uid="{00000000-0006-0000-0300-0000EA0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59" authorId="0" shapeId="0" xr:uid="{00000000-0006-0000-0300-0000EB09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59" authorId="0" shapeId="0" xr:uid="{00000000-0006-0000-0300-0000EC09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59" authorId="0" shapeId="0" xr:uid="{00000000-0006-0000-0300-0000ED09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59" authorId="0" shapeId="0" xr:uid="{00000000-0006-0000-0300-0000EE09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59" authorId="0" shapeId="0" xr:uid="{00000000-0006-0000-0300-0000EF09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59" authorId="0" shapeId="0" xr:uid="{00000000-0006-0000-0300-0000F00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59" authorId="0" shapeId="0" xr:uid="{00000000-0006-0000-0300-0000F1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59" authorId="0" shapeId="0" xr:uid="{00000000-0006-0000-0300-0000F20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59" authorId="0" shapeId="0" xr:uid="{00000000-0006-0000-0300-0000F30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59" authorId="0" shapeId="0" xr:uid="{00000000-0006-0000-0300-0000F40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59" authorId="0" shapeId="0" xr:uid="{00000000-0006-0000-0300-0000F50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59" authorId="0" shapeId="0" xr:uid="{00000000-0006-0000-0300-0000F60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59" authorId="0" shapeId="0" xr:uid="{00000000-0006-0000-0300-0000F70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59" authorId="0" shapeId="0" xr:uid="{00000000-0006-0000-0300-0000F80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0" authorId="0" shapeId="0" xr:uid="{00000000-0006-0000-0300-0000F9090000}">
      <text>
        <r>
          <rPr>
            <sz val="9"/>
            <color indexed="81"/>
            <rFont val="Tahoma"/>
            <charset val="1"/>
          </rPr>
          <t>Date macro run: 12/1/2017 10:15:41 PM</t>
        </r>
      </text>
    </comment>
    <comment ref="B60" authorId="0" shapeId="0" xr:uid="{00000000-0006-0000-0300-0000FA0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0" authorId="0" shapeId="0" xr:uid="{00000000-0006-0000-0300-0000FB09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0" authorId="0" shapeId="0" xr:uid="{00000000-0006-0000-0300-0000FC09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0" authorId="0" shapeId="0" xr:uid="{00000000-0006-0000-0300-0000FD09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0" authorId="0" shapeId="0" xr:uid="{00000000-0006-0000-0300-0000FE09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0" authorId="0" shapeId="0" xr:uid="{00000000-0006-0000-0300-0000FF0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0" authorId="0" shapeId="0" xr:uid="{00000000-0006-0000-0300-0000000A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0" authorId="0" shapeId="0" xr:uid="{00000000-0006-0000-0300-0000010A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0" authorId="0" shapeId="0" xr:uid="{00000000-0006-0000-0300-0000020A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0" authorId="0" shapeId="0" xr:uid="{00000000-0006-0000-0300-00000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0" authorId="0" shapeId="0" xr:uid="{00000000-0006-0000-0300-0000040A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0" authorId="0" shapeId="0" xr:uid="{00000000-0006-0000-0300-0000050A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0" authorId="0" shapeId="0" xr:uid="{00000000-0006-0000-0300-0000060A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0" authorId="0" shapeId="0" xr:uid="{00000000-0006-0000-0300-0000070A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0" authorId="0" shapeId="0" xr:uid="{00000000-0006-0000-0300-000008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0" authorId="0" shapeId="0" xr:uid="{00000000-0006-0000-0300-000009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0" authorId="0" shapeId="0" xr:uid="{00000000-0006-0000-0300-00000A0A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0" authorId="0" shapeId="0" xr:uid="{00000000-0006-0000-0300-00000B0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0" authorId="0" shapeId="0" xr:uid="{00000000-0006-0000-0300-00000C0A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0" authorId="0" shapeId="0" xr:uid="{00000000-0006-0000-0300-00000D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0" authorId="0" shapeId="0" xr:uid="{00000000-0006-0000-0300-00000E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0" authorId="0" shapeId="0" xr:uid="{00000000-0006-0000-0300-00000F0A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0" authorId="0" shapeId="0" xr:uid="{00000000-0006-0000-0300-000010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0" authorId="0" shapeId="0" xr:uid="{00000000-0006-0000-0300-000011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0" authorId="0" shapeId="0" xr:uid="{00000000-0006-0000-0300-0000120A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0" authorId="0" shapeId="0" xr:uid="{00000000-0006-0000-0300-0000130A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0" authorId="0" shapeId="0" xr:uid="{00000000-0006-0000-0300-0000140A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0" authorId="0" shapeId="0" xr:uid="{00000000-0006-0000-0300-0000150A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0" authorId="0" shapeId="0" xr:uid="{00000000-0006-0000-0300-000016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0" authorId="0" shapeId="0" xr:uid="{00000000-0006-0000-0300-000017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0" authorId="0" shapeId="0" xr:uid="{00000000-0006-0000-0300-0000180A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0" authorId="0" shapeId="0" xr:uid="{00000000-0006-0000-0300-0000190A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0" authorId="0" shapeId="0" xr:uid="{00000000-0006-0000-0300-00001A0A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0" authorId="0" shapeId="0" xr:uid="{00000000-0006-0000-0300-00001B0A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0" authorId="0" shapeId="0" xr:uid="{00000000-0006-0000-0300-00001C0A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0" authorId="0" shapeId="0" xr:uid="{00000000-0006-0000-0300-00001D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0" authorId="0" shapeId="0" xr:uid="{00000000-0006-0000-0300-00001E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0" authorId="0" shapeId="0" xr:uid="{00000000-0006-0000-0300-00001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0" authorId="0" shapeId="0" xr:uid="{00000000-0006-0000-0300-000020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0" authorId="0" shapeId="0" xr:uid="{00000000-0006-0000-0300-000021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0" authorId="0" shapeId="0" xr:uid="{00000000-0006-0000-0300-000022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0" authorId="0" shapeId="0" xr:uid="{00000000-0006-0000-0300-00002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0" authorId="0" shapeId="0" xr:uid="{00000000-0006-0000-0300-00002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0" authorId="0" shapeId="0" xr:uid="{00000000-0006-0000-0300-00002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0" authorId="0" shapeId="0" xr:uid="{00000000-0006-0000-0300-000026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0" authorId="0" shapeId="0" xr:uid="{00000000-0006-0000-0300-00002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0" authorId="0" shapeId="0" xr:uid="{00000000-0006-0000-0300-000028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0" authorId="0" shapeId="0" xr:uid="{00000000-0006-0000-0300-0000290A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0" authorId="0" shapeId="0" xr:uid="{00000000-0006-0000-0300-00002A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0" authorId="0" shapeId="0" xr:uid="{00000000-0006-0000-0300-00002B0A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0" authorId="0" shapeId="0" xr:uid="{00000000-0006-0000-0300-00002C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0" authorId="0" shapeId="0" xr:uid="{00000000-0006-0000-0300-00002D0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0" authorId="0" shapeId="0" xr:uid="{00000000-0006-0000-0300-00002E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0" authorId="0" shapeId="0" xr:uid="{00000000-0006-0000-0300-00002F0A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0" authorId="0" shapeId="0" xr:uid="{00000000-0006-0000-0300-000030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0" authorId="0" shapeId="0" xr:uid="{00000000-0006-0000-0300-0000310A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0" authorId="0" shapeId="0" xr:uid="{00000000-0006-0000-0300-0000320A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0" authorId="0" shapeId="0" xr:uid="{00000000-0006-0000-0300-0000330A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0" authorId="0" shapeId="0" xr:uid="{00000000-0006-0000-0300-0000340A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0" authorId="0" shapeId="0" xr:uid="{00000000-0006-0000-0300-0000350A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0" authorId="0" shapeId="0" xr:uid="{00000000-0006-0000-0300-000036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0" authorId="0" shapeId="0" xr:uid="{00000000-0006-0000-0300-000037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0" authorId="0" shapeId="0" xr:uid="{00000000-0006-0000-0300-000038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0" authorId="0" shapeId="0" xr:uid="{00000000-0006-0000-0300-0000390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0" authorId="0" shapeId="0" xr:uid="{00000000-0006-0000-0300-00003A0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0" authorId="0" shapeId="0" xr:uid="{00000000-0006-0000-0300-00003B0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0" authorId="0" shapeId="0" xr:uid="{00000000-0006-0000-0300-00003C0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0" authorId="0" shapeId="0" xr:uid="{00000000-0006-0000-0300-00003D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0" authorId="0" shapeId="0" xr:uid="{00000000-0006-0000-0300-00003E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1" authorId="0" shapeId="0" xr:uid="{00000000-0006-0000-0300-00003F0A0000}">
      <text>
        <r>
          <rPr>
            <sz val="9"/>
            <color indexed="81"/>
            <rFont val="Tahoma"/>
            <charset val="1"/>
          </rPr>
          <t>Date macro run: 12/4/2017 10:17:42 PM</t>
        </r>
      </text>
    </comment>
    <comment ref="B61" authorId="0" shapeId="0" xr:uid="{00000000-0006-0000-0300-0000400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1" authorId="0" shapeId="0" xr:uid="{00000000-0006-0000-0300-0000410A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1" authorId="0" shapeId="0" xr:uid="{00000000-0006-0000-0300-0000420A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1" authorId="0" shapeId="0" xr:uid="{00000000-0006-0000-0300-0000430A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1" authorId="0" shapeId="0" xr:uid="{00000000-0006-0000-0300-0000440A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1" authorId="0" shapeId="0" xr:uid="{00000000-0006-0000-0300-0000450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1" authorId="0" shapeId="0" xr:uid="{00000000-0006-0000-0300-0000460A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1" authorId="0" shapeId="0" xr:uid="{00000000-0006-0000-0300-0000470A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1" authorId="0" shapeId="0" xr:uid="{00000000-0006-0000-0300-0000480A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1" authorId="0" shapeId="0" xr:uid="{00000000-0006-0000-0300-00004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1" authorId="0" shapeId="0" xr:uid="{00000000-0006-0000-0300-00004A0A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1" authorId="0" shapeId="0" xr:uid="{00000000-0006-0000-0300-00004B0A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1" authorId="0" shapeId="0" xr:uid="{00000000-0006-0000-0300-00004C0A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1" authorId="0" shapeId="0" xr:uid="{00000000-0006-0000-0300-00004D0A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1" authorId="0" shapeId="0" xr:uid="{00000000-0006-0000-0300-00004E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1" authorId="0" shapeId="0" xr:uid="{00000000-0006-0000-0300-00004F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1" authorId="0" shapeId="0" xr:uid="{00000000-0006-0000-0300-0000500A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1" authorId="0" shapeId="0" xr:uid="{00000000-0006-0000-0300-0000510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1" authorId="0" shapeId="0" xr:uid="{00000000-0006-0000-0300-0000520A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1" authorId="0" shapeId="0" xr:uid="{00000000-0006-0000-0300-000053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1" authorId="0" shapeId="0" xr:uid="{00000000-0006-0000-0300-000054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1" authorId="0" shapeId="0" xr:uid="{00000000-0006-0000-0300-0000550A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1" authorId="0" shapeId="0" xr:uid="{00000000-0006-0000-0300-000056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1" authorId="0" shapeId="0" xr:uid="{00000000-0006-0000-0300-000057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1" authorId="0" shapeId="0" xr:uid="{00000000-0006-0000-0300-0000580A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1" authorId="0" shapeId="0" xr:uid="{00000000-0006-0000-0300-0000590A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1" authorId="0" shapeId="0" xr:uid="{00000000-0006-0000-0300-00005A0A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1" authorId="0" shapeId="0" xr:uid="{00000000-0006-0000-0300-00005B0A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1" authorId="0" shapeId="0" xr:uid="{00000000-0006-0000-0300-00005C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1" authorId="0" shapeId="0" xr:uid="{00000000-0006-0000-0300-00005D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1" authorId="0" shapeId="0" xr:uid="{00000000-0006-0000-0300-00005E0A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1" authorId="0" shapeId="0" xr:uid="{00000000-0006-0000-0300-00005F0A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1" authorId="0" shapeId="0" xr:uid="{00000000-0006-0000-0300-0000600A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1" authorId="0" shapeId="0" xr:uid="{00000000-0006-0000-0300-0000610A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1" authorId="0" shapeId="0" xr:uid="{00000000-0006-0000-0300-0000620A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1" authorId="0" shapeId="0" xr:uid="{00000000-0006-0000-0300-00006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1" authorId="0" shapeId="0" xr:uid="{00000000-0006-0000-0300-00006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1" authorId="0" shapeId="0" xr:uid="{00000000-0006-0000-0300-00006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1" authorId="0" shapeId="0" xr:uid="{00000000-0006-0000-0300-000066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1" authorId="0" shapeId="0" xr:uid="{00000000-0006-0000-0300-00006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1" authorId="0" shapeId="0" xr:uid="{00000000-0006-0000-0300-000068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1" authorId="0" shapeId="0" xr:uid="{00000000-0006-0000-0300-00006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1" authorId="0" shapeId="0" xr:uid="{00000000-0006-0000-0300-00006A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1" authorId="0" shapeId="0" xr:uid="{00000000-0006-0000-0300-00006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1" authorId="0" shapeId="0" xr:uid="{00000000-0006-0000-0300-00006C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1" authorId="0" shapeId="0" xr:uid="{00000000-0006-0000-0300-00006D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1" authorId="0" shapeId="0" xr:uid="{00000000-0006-0000-0300-00006E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1" authorId="0" shapeId="0" xr:uid="{00000000-0006-0000-0300-00006F0A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1" authorId="0" shapeId="0" xr:uid="{00000000-0006-0000-0300-000070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1" authorId="0" shapeId="0" xr:uid="{00000000-0006-0000-0300-0000710A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1" authorId="0" shapeId="0" xr:uid="{00000000-0006-0000-0300-000072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1" authorId="0" shapeId="0" xr:uid="{00000000-0006-0000-0300-0000730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1" authorId="0" shapeId="0" xr:uid="{00000000-0006-0000-0300-000074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1" authorId="0" shapeId="0" xr:uid="{00000000-0006-0000-0300-0000750A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1" authorId="0" shapeId="0" xr:uid="{00000000-0006-0000-0300-000076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1" authorId="0" shapeId="0" xr:uid="{00000000-0006-0000-0300-0000770A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1" authorId="0" shapeId="0" xr:uid="{00000000-0006-0000-0300-0000780A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1" authorId="0" shapeId="0" xr:uid="{00000000-0006-0000-0300-0000790A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1" authorId="0" shapeId="0" xr:uid="{00000000-0006-0000-0300-00007A0A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1" authorId="0" shapeId="0" xr:uid="{00000000-0006-0000-0300-00007B0A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1" authorId="0" shapeId="0" xr:uid="{00000000-0006-0000-0300-00007C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1" authorId="0" shapeId="0" xr:uid="{00000000-0006-0000-0300-00007D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1" authorId="0" shapeId="0" xr:uid="{00000000-0006-0000-0300-00007E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1" authorId="0" shapeId="0" xr:uid="{00000000-0006-0000-0300-00007F0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1" authorId="0" shapeId="0" xr:uid="{00000000-0006-0000-0300-0000800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1" authorId="0" shapeId="0" xr:uid="{00000000-0006-0000-0300-0000810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1" authorId="0" shapeId="0" xr:uid="{00000000-0006-0000-0300-0000820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1" authorId="0" shapeId="0" xr:uid="{00000000-0006-0000-0300-000083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1" authorId="0" shapeId="0" xr:uid="{00000000-0006-0000-0300-000084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2" authorId="0" shapeId="0" xr:uid="{00000000-0006-0000-0300-0000850A0000}">
      <text>
        <r>
          <rPr>
            <sz val="9"/>
            <color indexed="81"/>
            <rFont val="Tahoma"/>
            <charset val="1"/>
          </rPr>
          <t>Date macro run: 12/6/2017 10:40:44 PM</t>
        </r>
      </text>
    </comment>
    <comment ref="B62" authorId="0" shapeId="0" xr:uid="{00000000-0006-0000-0300-0000860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2" authorId="0" shapeId="0" xr:uid="{00000000-0006-0000-0300-0000870A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2" authorId="0" shapeId="0" xr:uid="{00000000-0006-0000-0300-0000880A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2" authorId="0" shapeId="0" xr:uid="{00000000-0006-0000-0300-0000890A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2" authorId="0" shapeId="0" xr:uid="{00000000-0006-0000-0300-00008A0A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2" authorId="0" shapeId="0" xr:uid="{00000000-0006-0000-0300-00008B0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2" authorId="0" shapeId="0" xr:uid="{00000000-0006-0000-0300-00008C0A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2" authorId="0" shapeId="0" xr:uid="{00000000-0006-0000-0300-00008D0A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2" authorId="0" shapeId="0" xr:uid="{00000000-0006-0000-0300-00008E0A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2" authorId="0" shapeId="0" xr:uid="{00000000-0006-0000-0300-00008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2" authorId="0" shapeId="0" xr:uid="{00000000-0006-0000-0300-0000900A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2" authorId="0" shapeId="0" xr:uid="{00000000-0006-0000-0300-0000910A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2" authorId="0" shapeId="0" xr:uid="{00000000-0006-0000-0300-0000920A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2" authorId="0" shapeId="0" xr:uid="{00000000-0006-0000-0300-0000930A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2" authorId="0" shapeId="0" xr:uid="{00000000-0006-0000-0300-000094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2" authorId="0" shapeId="0" xr:uid="{00000000-0006-0000-0300-000095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2" authorId="0" shapeId="0" xr:uid="{00000000-0006-0000-0300-0000960A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2" authorId="0" shapeId="0" xr:uid="{00000000-0006-0000-0300-0000970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2" authorId="0" shapeId="0" xr:uid="{00000000-0006-0000-0300-0000980A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2" authorId="0" shapeId="0" xr:uid="{00000000-0006-0000-0300-000099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2" authorId="0" shapeId="0" xr:uid="{00000000-0006-0000-0300-00009A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2" authorId="0" shapeId="0" xr:uid="{00000000-0006-0000-0300-00009B0A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2" authorId="0" shapeId="0" xr:uid="{00000000-0006-0000-0300-00009C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2" authorId="0" shapeId="0" xr:uid="{00000000-0006-0000-0300-00009D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2" authorId="0" shapeId="0" xr:uid="{00000000-0006-0000-0300-00009E0A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2" authorId="0" shapeId="0" xr:uid="{00000000-0006-0000-0300-00009F0A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2" authorId="0" shapeId="0" xr:uid="{00000000-0006-0000-0300-0000A00A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2" authorId="0" shapeId="0" xr:uid="{00000000-0006-0000-0300-0000A10A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2" authorId="0" shapeId="0" xr:uid="{00000000-0006-0000-0300-0000A2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2" authorId="0" shapeId="0" xr:uid="{00000000-0006-0000-0300-0000A3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2" authorId="0" shapeId="0" xr:uid="{00000000-0006-0000-0300-0000A40A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2" authorId="0" shapeId="0" xr:uid="{00000000-0006-0000-0300-0000A50A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2" authorId="0" shapeId="0" xr:uid="{00000000-0006-0000-0300-0000A60A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2" authorId="0" shapeId="0" xr:uid="{00000000-0006-0000-0300-0000A70A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2" authorId="0" shapeId="0" xr:uid="{00000000-0006-0000-0300-0000A80A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2" authorId="0" shapeId="0" xr:uid="{00000000-0006-0000-0300-0000A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2" authorId="0" shapeId="0" xr:uid="{00000000-0006-0000-0300-0000AA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2" authorId="0" shapeId="0" xr:uid="{00000000-0006-0000-0300-0000AB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2" authorId="0" shapeId="0" xr:uid="{00000000-0006-0000-0300-0000AC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2" authorId="0" shapeId="0" xr:uid="{00000000-0006-0000-0300-0000AD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2" authorId="0" shapeId="0" xr:uid="{00000000-0006-0000-0300-0000AE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2" authorId="0" shapeId="0" xr:uid="{00000000-0006-0000-0300-0000A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2" authorId="0" shapeId="0" xr:uid="{00000000-0006-0000-0300-0000B0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2" authorId="0" shapeId="0" xr:uid="{00000000-0006-0000-0300-0000B1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2" authorId="0" shapeId="0" xr:uid="{00000000-0006-0000-0300-0000B2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2" authorId="0" shapeId="0" xr:uid="{00000000-0006-0000-0300-0000B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2" authorId="0" shapeId="0" xr:uid="{00000000-0006-0000-0300-0000B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2" authorId="0" shapeId="0" xr:uid="{00000000-0006-0000-0300-0000B50A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2" authorId="0" shapeId="0" xr:uid="{00000000-0006-0000-0300-0000B6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2" authorId="0" shapeId="0" xr:uid="{00000000-0006-0000-0300-0000B70A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2" authorId="0" shapeId="0" xr:uid="{00000000-0006-0000-0300-0000B8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2" authorId="0" shapeId="0" xr:uid="{00000000-0006-0000-0300-0000B90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2" authorId="0" shapeId="0" xr:uid="{00000000-0006-0000-0300-0000BA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2" authorId="0" shapeId="0" xr:uid="{00000000-0006-0000-0300-0000BB0A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2" authorId="0" shapeId="0" xr:uid="{00000000-0006-0000-0300-0000BC0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2" authorId="0" shapeId="0" xr:uid="{00000000-0006-0000-0300-0000BD0A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2" authorId="0" shapeId="0" xr:uid="{00000000-0006-0000-0300-0000BE0A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2" authorId="0" shapeId="0" xr:uid="{00000000-0006-0000-0300-0000BF0A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2" authorId="0" shapeId="0" xr:uid="{00000000-0006-0000-0300-0000C00A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2" authorId="0" shapeId="0" xr:uid="{00000000-0006-0000-0300-0000C10A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2" authorId="0" shapeId="0" xr:uid="{00000000-0006-0000-0300-0000C2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2" authorId="0" shapeId="0" xr:uid="{00000000-0006-0000-0300-0000C3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2" authorId="0" shapeId="0" xr:uid="{00000000-0006-0000-0300-0000C4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2" authorId="0" shapeId="0" xr:uid="{00000000-0006-0000-0300-0000C50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2" authorId="0" shapeId="0" xr:uid="{00000000-0006-0000-0300-0000C60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2" authorId="0" shapeId="0" xr:uid="{00000000-0006-0000-0300-0000C70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2" authorId="0" shapeId="0" xr:uid="{00000000-0006-0000-0300-0000C80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2" authorId="0" shapeId="0" xr:uid="{00000000-0006-0000-0300-0000C90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2" authorId="0" shapeId="0" xr:uid="{00000000-0006-0000-0300-0000CA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3" authorId="0" shapeId="0" xr:uid="{00000000-0006-0000-0300-0000CB0A0000}">
      <text>
        <r>
          <rPr>
            <sz val="9"/>
            <color indexed="81"/>
            <rFont val="Tahoma"/>
            <charset val="1"/>
          </rPr>
          <t>Date macro run: 12/8/2017 9:52:30 PM</t>
        </r>
      </text>
    </comment>
    <comment ref="B63" authorId="0" shapeId="0" xr:uid="{00000000-0006-0000-0300-0000CC0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3" authorId="0" shapeId="0" xr:uid="{00000000-0006-0000-0300-0000CD0A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3" authorId="0" shapeId="0" xr:uid="{00000000-0006-0000-0300-0000CE0A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3" authorId="0" shapeId="0" xr:uid="{00000000-0006-0000-0300-0000CF0A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3" authorId="0" shapeId="0" xr:uid="{00000000-0006-0000-0300-0000D00A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3" authorId="0" shapeId="0" xr:uid="{00000000-0006-0000-0300-0000D10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3" authorId="0" shapeId="0" xr:uid="{00000000-0006-0000-0300-0000D20A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3" authorId="0" shapeId="0" xr:uid="{00000000-0006-0000-0300-0000D30A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3" authorId="0" shapeId="0" xr:uid="{00000000-0006-0000-0300-0000D40A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3" authorId="0" shapeId="0" xr:uid="{00000000-0006-0000-0300-0000D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3" authorId="0" shapeId="0" xr:uid="{00000000-0006-0000-0300-0000D60A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3" authorId="0" shapeId="0" xr:uid="{00000000-0006-0000-0300-0000D70A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3" authorId="0" shapeId="0" xr:uid="{00000000-0006-0000-0300-0000D80A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3" authorId="0" shapeId="0" xr:uid="{00000000-0006-0000-0300-0000D90A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3" authorId="0" shapeId="0" xr:uid="{00000000-0006-0000-0300-0000DA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3" authorId="0" shapeId="0" xr:uid="{00000000-0006-0000-0300-0000DB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3" authorId="0" shapeId="0" xr:uid="{00000000-0006-0000-0300-0000DC0A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3" authorId="0" shapeId="0" xr:uid="{00000000-0006-0000-0300-0000DD0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3" authorId="0" shapeId="0" xr:uid="{00000000-0006-0000-0300-0000DE0A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3" authorId="0" shapeId="0" xr:uid="{00000000-0006-0000-0300-0000DF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3" authorId="0" shapeId="0" xr:uid="{00000000-0006-0000-0300-0000E0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3" authorId="0" shapeId="0" xr:uid="{00000000-0006-0000-0300-0000E10A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3" authorId="0" shapeId="0" xr:uid="{00000000-0006-0000-0300-0000E2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3" authorId="0" shapeId="0" xr:uid="{00000000-0006-0000-0300-0000E30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3" authorId="0" shapeId="0" xr:uid="{00000000-0006-0000-0300-0000E40A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3" authorId="0" shapeId="0" xr:uid="{00000000-0006-0000-0300-0000E50A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3" authorId="0" shapeId="0" xr:uid="{00000000-0006-0000-0300-0000E60A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3" authorId="0" shapeId="0" xr:uid="{00000000-0006-0000-0300-0000E70A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3" authorId="0" shapeId="0" xr:uid="{00000000-0006-0000-0300-0000E80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3" authorId="0" shapeId="0" xr:uid="{00000000-0006-0000-0300-0000E90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3" authorId="0" shapeId="0" xr:uid="{00000000-0006-0000-0300-0000EA0A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3" authorId="0" shapeId="0" xr:uid="{00000000-0006-0000-0300-0000EB0A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3" authorId="0" shapeId="0" xr:uid="{00000000-0006-0000-0300-0000EC0A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3" authorId="0" shapeId="0" xr:uid="{00000000-0006-0000-0300-0000ED0A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3" authorId="0" shapeId="0" xr:uid="{00000000-0006-0000-0300-0000EE0A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3" authorId="0" shapeId="0" xr:uid="{00000000-0006-0000-0300-0000EF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3" authorId="0" shapeId="0" xr:uid="{00000000-0006-0000-0300-0000F0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3" authorId="0" shapeId="0" xr:uid="{00000000-0006-0000-0300-0000F1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3" authorId="0" shapeId="0" xr:uid="{00000000-0006-0000-0300-0000F2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3" authorId="0" shapeId="0" xr:uid="{00000000-0006-0000-0300-0000F3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3" authorId="0" shapeId="0" xr:uid="{00000000-0006-0000-0300-0000F4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3" authorId="0" shapeId="0" xr:uid="{00000000-0006-0000-0300-0000F5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3" authorId="0" shapeId="0" xr:uid="{00000000-0006-0000-0300-0000F6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3" authorId="0" shapeId="0" xr:uid="{00000000-0006-0000-0300-0000F7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3" authorId="0" shapeId="0" xr:uid="{00000000-0006-0000-0300-0000F80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3" authorId="0" shapeId="0" xr:uid="{00000000-0006-0000-0300-0000F9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3" authorId="0" shapeId="0" xr:uid="{00000000-0006-0000-0300-0000FA0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3" authorId="0" shapeId="0" xr:uid="{00000000-0006-0000-0300-0000FB0A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3" authorId="0" shapeId="0" xr:uid="{00000000-0006-0000-0300-0000FC0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3" authorId="0" shapeId="0" xr:uid="{00000000-0006-0000-0300-0000FD0A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3" authorId="0" shapeId="0" xr:uid="{00000000-0006-0000-0300-0000FE0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3" authorId="0" shapeId="0" xr:uid="{00000000-0006-0000-0300-0000FF0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3" authorId="0" shapeId="0" xr:uid="{00000000-0006-0000-0300-000000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3" authorId="0" shapeId="0" xr:uid="{00000000-0006-0000-0300-0000010B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3" authorId="0" shapeId="0" xr:uid="{00000000-0006-0000-0300-000002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3" authorId="0" shapeId="0" xr:uid="{00000000-0006-0000-0300-0000030B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3" authorId="0" shapeId="0" xr:uid="{00000000-0006-0000-0300-0000040B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3" authorId="0" shapeId="0" xr:uid="{00000000-0006-0000-0300-0000050B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3" authorId="0" shapeId="0" xr:uid="{00000000-0006-0000-0300-0000060B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3" authorId="0" shapeId="0" xr:uid="{00000000-0006-0000-0300-0000070B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3" authorId="0" shapeId="0" xr:uid="{00000000-0006-0000-0300-000008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3" authorId="0" shapeId="0" xr:uid="{00000000-0006-0000-0300-000009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3" authorId="0" shapeId="0" xr:uid="{00000000-0006-0000-0300-00000A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3" authorId="0" shapeId="0" xr:uid="{00000000-0006-0000-0300-00000B0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3" authorId="0" shapeId="0" xr:uid="{00000000-0006-0000-0300-00000C0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3" authorId="0" shapeId="0" xr:uid="{00000000-0006-0000-0300-00000D0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3" authorId="0" shapeId="0" xr:uid="{00000000-0006-0000-0300-00000E0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3" authorId="0" shapeId="0" xr:uid="{00000000-0006-0000-0300-00000F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3" authorId="0" shapeId="0" xr:uid="{00000000-0006-0000-0300-000010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4" authorId="0" shapeId="0" xr:uid="{00000000-0006-0000-0300-0000110B0000}">
      <text>
        <r>
          <rPr>
            <sz val="9"/>
            <color indexed="81"/>
            <rFont val="Tahoma"/>
            <charset val="1"/>
          </rPr>
          <t>Date macro run: 12/11/2017 10:06:58 PM</t>
        </r>
      </text>
    </comment>
    <comment ref="B64" authorId="0" shapeId="0" xr:uid="{00000000-0006-0000-0300-0000120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4" authorId="0" shapeId="0" xr:uid="{00000000-0006-0000-0300-0000130B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4" authorId="0" shapeId="0" xr:uid="{00000000-0006-0000-0300-0000140B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4" authorId="0" shapeId="0" xr:uid="{00000000-0006-0000-0300-0000150B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4" authorId="0" shapeId="0" xr:uid="{00000000-0006-0000-0300-0000160B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4" authorId="0" shapeId="0" xr:uid="{00000000-0006-0000-0300-0000170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4" authorId="0" shapeId="0" xr:uid="{00000000-0006-0000-0300-0000180B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4" authorId="0" shapeId="0" xr:uid="{00000000-0006-0000-0300-0000190B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4" authorId="0" shapeId="0" xr:uid="{00000000-0006-0000-0300-00001A0B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4" authorId="0" shapeId="0" xr:uid="{00000000-0006-0000-0300-00001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4" authorId="0" shapeId="0" xr:uid="{00000000-0006-0000-0300-00001C0B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4" authorId="0" shapeId="0" xr:uid="{00000000-0006-0000-0300-00001D0B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4" authorId="0" shapeId="0" xr:uid="{00000000-0006-0000-0300-00001E0B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4" authorId="0" shapeId="0" xr:uid="{00000000-0006-0000-0300-00001F0B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4" authorId="0" shapeId="0" xr:uid="{00000000-0006-0000-0300-000020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4" authorId="0" shapeId="0" xr:uid="{00000000-0006-0000-0300-000021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4" authorId="0" shapeId="0" xr:uid="{00000000-0006-0000-0300-0000220B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4" authorId="0" shapeId="0" xr:uid="{00000000-0006-0000-0300-0000230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4" authorId="0" shapeId="0" xr:uid="{00000000-0006-0000-0300-0000240B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4" authorId="0" shapeId="0" xr:uid="{00000000-0006-0000-0300-000025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4" authorId="0" shapeId="0" xr:uid="{00000000-0006-0000-0300-000026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4" authorId="0" shapeId="0" xr:uid="{00000000-0006-0000-0300-0000270B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4" authorId="0" shapeId="0" xr:uid="{00000000-0006-0000-0300-000028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4" authorId="0" shapeId="0" xr:uid="{00000000-0006-0000-0300-000029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4" authorId="0" shapeId="0" xr:uid="{00000000-0006-0000-0300-00002A0B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4" authorId="0" shapeId="0" xr:uid="{00000000-0006-0000-0300-00002B0B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4" authorId="0" shapeId="0" xr:uid="{00000000-0006-0000-0300-00002C0B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4" authorId="0" shapeId="0" xr:uid="{00000000-0006-0000-0300-00002D0B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4" authorId="0" shapeId="0" xr:uid="{00000000-0006-0000-0300-00002E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4" authorId="0" shapeId="0" xr:uid="{00000000-0006-0000-0300-00002F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4" authorId="0" shapeId="0" xr:uid="{00000000-0006-0000-0300-0000300B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4" authorId="0" shapeId="0" xr:uid="{00000000-0006-0000-0300-0000310B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4" authorId="0" shapeId="0" xr:uid="{00000000-0006-0000-0300-0000320B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4" authorId="0" shapeId="0" xr:uid="{00000000-0006-0000-0300-0000330B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4" authorId="0" shapeId="0" xr:uid="{00000000-0006-0000-0300-0000340B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4" authorId="0" shapeId="0" xr:uid="{00000000-0006-0000-0300-00003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4" authorId="0" shapeId="0" xr:uid="{00000000-0006-0000-0300-00003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4" authorId="0" shapeId="0" xr:uid="{00000000-0006-0000-0300-00003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4" authorId="0" shapeId="0" xr:uid="{00000000-0006-0000-0300-00003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4" authorId="0" shapeId="0" xr:uid="{00000000-0006-0000-0300-00003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4" authorId="0" shapeId="0" xr:uid="{00000000-0006-0000-0300-00003A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4" authorId="0" shapeId="0" xr:uid="{00000000-0006-0000-0300-00003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4" authorId="0" shapeId="0" xr:uid="{00000000-0006-0000-0300-00003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4" authorId="0" shapeId="0" xr:uid="{00000000-0006-0000-0300-00003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4" authorId="0" shapeId="0" xr:uid="{00000000-0006-0000-0300-00003E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4" authorId="0" shapeId="0" xr:uid="{00000000-0006-0000-0300-00003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4" authorId="0" shapeId="0" xr:uid="{00000000-0006-0000-0300-00004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4" authorId="0" shapeId="0" xr:uid="{00000000-0006-0000-0300-0000410B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4" authorId="0" shapeId="0" xr:uid="{00000000-0006-0000-0300-000042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4" authorId="0" shapeId="0" xr:uid="{00000000-0006-0000-0300-0000430B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4" authorId="0" shapeId="0" xr:uid="{00000000-0006-0000-0300-000044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4" authorId="0" shapeId="0" xr:uid="{00000000-0006-0000-0300-0000450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4" authorId="0" shapeId="0" xr:uid="{00000000-0006-0000-0300-000046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4" authorId="0" shapeId="0" xr:uid="{00000000-0006-0000-0300-0000470B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4" authorId="0" shapeId="0" xr:uid="{00000000-0006-0000-0300-000048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4" authorId="0" shapeId="0" xr:uid="{00000000-0006-0000-0300-0000490B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4" authorId="0" shapeId="0" xr:uid="{00000000-0006-0000-0300-00004A0B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4" authorId="0" shapeId="0" xr:uid="{00000000-0006-0000-0300-00004B0B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4" authorId="0" shapeId="0" xr:uid="{00000000-0006-0000-0300-00004C0B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4" authorId="0" shapeId="0" xr:uid="{00000000-0006-0000-0300-00004D0B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4" authorId="0" shapeId="0" xr:uid="{00000000-0006-0000-0300-00004E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4" authorId="0" shapeId="0" xr:uid="{00000000-0006-0000-0300-00004F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4" authorId="0" shapeId="0" xr:uid="{00000000-0006-0000-0300-000050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4" authorId="0" shapeId="0" xr:uid="{00000000-0006-0000-0300-0000510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4" authorId="0" shapeId="0" xr:uid="{00000000-0006-0000-0300-0000520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4" authorId="0" shapeId="0" xr:uid="{00000000-0006-0000-0300-0000530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4" authorId="0" shapeId="0" xr:uid="{00000000-0006-0000-0300-0000540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4" authorId="0" shapeId="0" xr:uid="{00000000-0006-0000-0300-000055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4" authorId="0" shapeId="0" xr:uid="{00000000-0006-0000-0300-000056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5" authorId="0" shapeId="0" xr:uid="{00000000-0006-0000-0300-0000570B0000}">
      <text>
        <r>
          <rPr>
            <sz val="9"/>
            <color indexed="81"/>
            <rFont val="Tahoma"/>
            <charset val="1"/>
          </rPr>
          <t>Date macro run: 12/12/2017 8:43:30 PM</t>
        </r>
      </text>
    </comment>
    <comment ref="B65" authorId="0" shapeId="0" xr:uid="{00000000-0006-0000-0300-0000580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5" authorId="0" shapeId="0" xr:uid="{00000000-0006-0000-0300-0000590B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5" authorId="0" shapeId="0" xr:uid="{00000000-0006-0000-0300-00005A0B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5" authorId="0" shapeId="0" xr:uid="{00000000-0006-0000-0300-00005B0B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5" authorId="0" shapeId="0" xr:uid="{00000000-0006-0000-0300-00005C0B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5" authorId="0" shapeId="0" xr:uid="{00000000-0006-0000-0300-00005D0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5" authorId="0" shapeId="0" xr:uid="{00000000-0006-0000-0300-00005E0B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5" authorId="0" shapeId="0" xr:uid="{00000000-0006-0000-0300-00005F0B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5" authorId="0" shapeId="0" xr:uid="{00000000-0006-0000-0300-0000600B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5" authorId="0" shapeId="0" xr:uid="{00000000-0006-0000-0300-00006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5" authorId="0" shapeId="0" xr:uid="{00000000-0006-0000-0300-0000620B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5" authorId="0" shapeId="0" xr:uid="{00000000-0006-0000-0300-0000630B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5" authorId="0" shapeId="0" xr:uid="{00000000-0006-0000-0300-0000640B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5" authorId="0" shapeId="0" xr:uid="{00000000-0006-0000-0300-0000650B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5" authorId="0" shapeId="0" xr:uid="{00000000-0006-0000-0300-000066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5" authorId="0" shapeId="0" xr:uid="{00000000-0006-0000-0300-000067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5" authorId="0" shapeId="0" xr:uid="{00000000-0006-0000-0300-0000680B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5" authorId="0" shapeId="0" xr:uid="{00000000-0006-0000-0300-0000690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5" authorId="0" shapeId="0" xr:uid="{00000000-0006-0000-0300-00006A0B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5" authorId="0" shapeId="0" xr:uid="{00000000-0006-0000-0300-00006B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5" authorId="0" shapeId="0" xr:uid="{00000000-0006-0000-0300-00006C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5" authorId="0" shapeId="0" xr:uid="{00000000-0006-0000-0300-00006D0B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5" authorId="0" shapeId="0" xr:uid="{00000000-0006-0000-0300-00006E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5" authorId="0" shapeId="0" xr:uid="{00000000-0006-0000-0300-00006F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5" authorId="0" shapeId="0" xr:uid="{00000000-0006-0000-0300-0000700B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5" authorId="0" shapeId="0" xr:uid="{00000000-0006-0000-0300-0000710B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5" authorId="0" shapeId="0" xr:uid="{00000000-0006-0000-0300-0000720B0000}">
      <text>
        <r>
          <rPr>
            <sz val="9"/>
            <color indexed="81"/>
            <rFont val="Tahoma"/>
            <charset val="1"/>
          </rPr>
          <t>Stability=,Expiration=1/19/2018</t>
        </r>
      </text>
    </comment>
    <comment ref="AC65" authorId="0" shapeId="0" xr:uid="{00000000-0006-0000-0300-0000730B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5" authorId="0" shapeId="0" xr:uid="{00000000-0006-0000-0300-000074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5" authorId="0" shapeId="0" xr:uid="{00000000-0006-0000-0300-000075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5" authorId="0" shapeId="0" xr:uid="{00000000-0006-0000-0300-0000760B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5" authorId="0" shapeId="0" xr:uid="{00000000-0006-0000-0300-0000770B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5" authorId="0" shapeId="0" xr:uid="{00000000-0006-0000-0300-0000780B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5" authorId="0" shapeId="0" xr:uid="{00000000-0006-0000-0300-0000790B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5" authorId="0" shapeId="0" xr:uid="{00000000-0006-0000-0300-00007A0B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5" authorId="0" shapeId="0" xr:uid="{00000000-0006-0000-0300-00007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5" authorId="0" shapeId="0" xr:uid="{00000000-0006-0000-0300-00007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5" authorId="0" shapeId="0" xr:uid="{00000000-0006-0000-0300-00007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5" authorId="0" shapeId="0" xr:uid="{00000000-0006-0000-0300-00007E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5" authorId="0" shapeId="0" xr:uid="{00000000-0006-0000-0300-00007F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5" authorId="0" shapeId="0" xr:uid="{00000000-0006-0000-0300-000080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5" authorId="0" shapeId="0" xr:uid="{00000000-0006-0000-0300-00008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5" authorId="0" shapeId="0" xr:uid="{00000000-0006-0000-0300-00008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5" authorId="0" shapeId="0" xr:uid="{00000000-0006-0000-0300-00008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5" authorId="0" shapeId="0" xr:uid="{00000000-0006-0000-0300-000084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5" authorId="0" shapeId="0" xr:uid="{00000000-0006-0000-0300-00008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5" authorId="0" shapeId="0" xr:uid="{00000000-0006-0000-0300-00008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5" authorId="0" shapeId="0" xr:uid="{00000000-0006-0000-0300-0000870B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5" authorId="0" shapeId="0" xr:uid="{00000000-0006-0000-0300-000088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5" authorId="0" shapeId="0" xr:uid="{00000000-0006-0000-0300-0000890B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5" authorId="0" shapeId="0" xr:uid="{00000000-0006-0000-0300-00008A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5" authorId="0" shapeId="0" xr:uid="{00000000-0006-0000-0300-00008B0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5" authorId="0" shapeId="0" xr:uid="{00000000-0006-0000-0300-00008C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5" authorId="0" shapeId="0" xr:uid="{00000000-0006-0000-0300-00008D0B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5" authorId="0" shapeId="0" xr:uid="{00000000-0006-0000-0300-00008E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5" authorId="0" shapeId="0" xr:uid="{00000000-0006-0000-0300-00008F0B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5" authorId="0" shapeId="0" xr:uid="{00000000-0006-0000-0300-0000900B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5" authorId="0" shapeId="0" xr:uid="{00000000-0006-0000-0300-0000910B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5" authorId="0" shapeId="0" xr:uid="{00000000-0006-0000-0300-0000920B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5" authorId="0" shapeId="0" xr:uid="{00000000-0006-0000-0300-0000930B0000}">
      <text>
        <r>
          <rPr>
            <sz val="9"/>
            <color indexed="81"/>
            <rFont val="Tahoma"/>
            <charset val="1"/>
          </rPr>
          <t>Stability=,Expiration=2/19/2018</t>
        </r>
      </text>
    </comment>
    <comment ref="BL65" authorId="0" shapeId="0" xr:uid="{00000000-0006-0000-0300-000094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5" authorId="0" shapeId="0" xr:uid="{00000000-0006-0000-0300-000095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5" authorId="0" shapeId="0" xr:uid="{00000000-0006-0000-0300-000096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5" authorId="0" shapeId="0" xr:uid="{00000000-0006-0000-0300-0000970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5" authorId="0" shapeId="0" xr:uid="{00000000-0006-0000-0300-0000980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5" authorId="0" shapeId="0" xr:uid="{00000000-0006-0000-0300-0000990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5" authorId="0" shapeId="0" xr:uid="{00000000-0006-0000-0300-00009A0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5" authorId="0" shapeId="0" xr:uid="{00000000-0006-0000-0300-00009B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5" authorId="0" shapeId="0" xr:uid="{00000000-0006-0000-0300-00009C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6" authorId="0" shapeId="0" xr:uid="{00000000-0006-0000-0300-00009D0B0000}">
      <text>
        <r>
          <rPr>
            <sz val="9"/>
            <color indexed="81"/>
            <rFont val="Tahoma"/>
            <charset val="1"/>
          </rPr>
          <t>Date macro run: 12/15/2017 9:31:03 PM</t>
        </r>
      </text>
    </comment>
    <comment ref="B66" authorId="0" shapeId="0" xr:uid="{00000000-0006-0000-0300-00009E0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6" authorId="0" shapeId="0" xr:uid="{00000000-0006-0000-0300-00009F0B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6" authorId="0" shapeId="0" xr:uid="{00000000-0006-0000-0300-0000A00B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6" authorId="0" shapeId="0" xr:uid="{00000000-0006-0000-0300-0000A10B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6" authorId="0" shapeId="0" xr:uid="{00000000-0006-0000-0300-0000A20B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6" authorId="0" shapeId="0" xr:uid="{00000000-0006-0000-0300-0000A30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6" authorId="0" shapeId="0" xr:uid="{00000000-0006-0000-0300-0000A40B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6" authorId="0" shapeId="0" xr:uid="{00000000-0006-0000-0300-0000A50B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6" authorId="0" shapeId="0" xr:uid="{00000000-0006-0000-0300-0000A60B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6" authorId="0" shapeId="0" xr:uid="{00000000-0006-0000-0300-0000A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6" authorId="0" shapeId="0" xr:uid="{00000000-0006-0000-0300-0000A80B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6" authorId="0" shapeId="0" xr:uid="{00000000-0006-0000-0300-0000A90B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6" authorId="0" shapeId="0" xr:uid="{00000000-0006-0000-0300-0000AA0B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6" authorId="0" shapeId="0" xr:uid="{00000000-0006-0000-0300-0000AB0B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6" authorId="0" shapeId="0" xr:uid="{00000000-0006-0000-0300-0000AC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6" authorId="0" shapeId="0" xr:uid="{00000000-0006-0000-0300-0000AD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6" authorId="0" shapeId="0" xr:uid="{00000000-0006-0000-0300-0000AE0B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6" authorId="0" shapeId="0" xr:uid="{00000000-0006-0000-0300-0000AF0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6" authorId="0" shapeId="0" xr:uid="{00000000-0006-0000-0300-0000B00B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6" authorId="0" shapeId="0" xr:uid="{00000000-0006-0000-0300-0000B1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6" authorId="0" shapeId="0" xr:uid="{00000000-0006-0000-0300-0000B2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6" authorId="0" shapeId="0" xr:uid="{00000000-0006-0000-0300-0000B30B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6" authorId="0" shapeId="0" xr:uid="{00000000-0006-0000-0300-0000B4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6" authorId="0" shapeId="0" xr:uid="{00000000-0006-0000-0300-0000B5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6" authorId="0" shapeId="0" xr:uid="{00000000-0006-0000-0300-0000B60B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6" authorId="0" shapeId="0" xr:uid="{00000000-0006-0000-0300-0000B70B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6" authorId="0" shapeId="0" xr:uid="{00000000-0006-0000-0300-0000B80B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66" authorId="0" shapeId="0" xr:uid="{00000000-0006-0000-0300-0000B90B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6" authorId="0" shapeId="0" xr:uid="{00000000-0006-0000-0300-0000BA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6" authorId="0" shapeId="0" xr:uid="{00000000-0006-0000-0300-0000BB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6" authorId="0" shapeId="0" xr:uid="{00000000-0006-0000-0300-0000BC0B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6" authorId="0" shapeId="0" xr:uid="{00000000-0006-0000-0300-0000BD0B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6" authorId="0" shapeId="0" xr:uid="{00000000-0006-0000-0300-0000BE0B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6" authorId="0" shapeId="0" xr:uid="{00000000-0006-0000-0300-0000BF0B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6" authorId="0" shapeId="0" xr:uid="{00000000-0006-0000-0300-0000C00B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6" authorId="0" shapeId="0" xr:uid="{00000000-0006-0000-0300-0000C1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6" authorId="0" shapeId="0" xr:uid="{00000000-0006-0000-0300-0000C2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6" authorId="0" shapeId="0" xr:uid="{00000000-0006-0000-0300-0000C3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6" authorId="0" shapeId="0" xr:uid="{00000000-0006-0000-0300-0000C4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6" authorId="0" shapeId="0" xr:uid="{00000000-0006-0000-0300-0000C5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6" authorId="0" shapeId="0" xr:uid="{00000000-0006-0000-0300-0000C6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6" authorId="0" shapeId="0" xr:uid="{00000000-0006-0000-0300-0000C7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6" authorId="0" shapeId="0" xr:uid="{00000000-0006-0000-0300-0000C8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6" authorId="0" shapeId="0" xr:uid="{00000000-0006-0000-0300-0000C9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6" authorId="0" shapeId="0" xr:uid="{00000000-0006-0000-0300-0000CA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6" authorId="0" shapeId="0" xr:uid="{00000000-0006-0000-0300-0000CB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6" authorId="0" shapeId="0" xr:uid="{00000000-0006-0000-0300-0000CC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6" authorId="0" shapeId="0" xr:uid="{00000000-0006-0000-0300-0000CD0B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6" authorId="0" shapeId="0" xr:uid="{00000000-0006-0000-0300-0000CE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6" authorId="0" shapeId="0" xr:uid="{00000000-0006-0000-0300-0000CF0B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6" authorId="0" shapeId="0" xr:uid="{00000000-0006-0000-0300-0000D0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6" authorId="0" shapeId="0" xr:uid="{00000000-0006-0000-0300-0000D10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6" authorId="0" shapeId="0" xr:uid="{00000000-0006-0000-0300-0000D2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6" authorId="0" shapeId="0" xr:uid="{00000000-0006-0000-0300-0000D30B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6" authorId="0" shapeId="0" xr:uid="{00000000-0006-0000-0300-0000D40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6" authorId="0" shapeId="0" xr:uid="{00000000-0006-0000-0300-0000D50B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6" authorId="0" shapeId="0" xr:uid="{00000000-0006-0000-0300-0000D60B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6" authorId="0" shapeId="0" xr:uid="{00000000-0006-0000-0300-0000D70B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6" authorId="0" shapeId="0" xr:uid="{00000000-0006-0000-0300-0000D80B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6" authorId="0" shapeId="0" xr:uid="{00000000-0006-0000-0300-0000D90B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66" authorId="0" shapeId="0" xr:uid="{00000000-0006-0000-0300-0000DA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6" authorId="0" shapeId="0" xr:uid="{00000000-0006-0000-0300-0000DB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6" authorId="0" shapeId="0" xr:uid="{00000000-0006-0000-0300-0000DC0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6" authorId="0" shapeId="0" xr:uid="{00000000-0006-0000-0300-0000DD0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6" authorId="0" shapeId="0" xr:uid="{00000000-0006-0000-0300-0000DE0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6" authorId="0" shapeId="0" xr:uid="{00000000-0006-0000-0300-0000DF0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6" authorId="0" shapeId="0" xr:uid="{00000000-0006-0000-0300-0000E00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6" authorId="0" shapeId="0" xr:uid="{00000000-0006-0000-0300-0000E10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6" authorId="0" shapeId="0" xr:uid="{00000000-0006-0000-0300-0000E2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7" authorId="0" shapeId="0" xr:uid="{00000000-0006-0000-0300-0000E30B0000}">
      <text>
        <r>
          <rPr>
            <sz val="9"/>
            <color indexed="81"/>
            <rFont val="Tahoma"/>
            <charset val="1"/>
          </rPr>
          <t>Date macro run: 12/18/2017 9:44:58 PM</t>
        </r>
      </text>
    </comment>
    <comment ref="B67" authorId="0" shapeId="0" xr:uid="{00000000-0006-0000-0300-0000E40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7" authorId="0" shapeId="0" xr:uid="{00000000-0006-0000-0300-0000E50B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7" authorId="0" shapeId="0" xr:uid="{00000000-0006-0000-0300-0000E60B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7" authorId="0" shapeId="0" xr:uid="{00000000-0006-0000-0300-0000E70B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7" authorId="0" shapeId="0" xr:uid="{00000000-0006-0000-0300-0000E80B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7" authorId="0" shapeId="0" xr:uid="{00000000-0006-0000-0300-0000E90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7" authorId="0" shapeId="0" xr:uid="{00000000-0006-0000-0300-0000EA0B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7" authorId="0" shapeId="0" xr:uid="{00000000-0006-0000-0300-0000EB0B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7" authorId="0" shapeId="0" xr:uid="{00000000-0006-0000-0300-0000EC0B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7" authorId="0" shapeId="0" xr:uid="{00000000-0006-0000-0300-0000ED0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7" authorId="0" shapeId="0" xr:uid="{00000000-0006-0000-0300-0000EE0B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7" authorId="0" shapeId="0" xr:uid="{00000000-0006-0000-0300-0000EF0B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7" authorId="0" shapeId="0" xr:uid="{00000000-0006-0000-0300-0000F00B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7" authorId="0" shapeId="0" xr:uid="{00000000-0006-0000-0300-0000F10B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7" authorId="0" shapeId="0" xr:uid="{00000000-0006-0000-0300-0000F20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7" authorId="0" shapeId="0" xr:uid="{00000000-0006-0000-0300-0000F30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7" authorId="0" shapeId="0" xr:uid="{00000000-0006-0000-0300-0000F40B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7" authorId="0" shapeId="0" xr:uid="{00000000-0006-0000-0300-0000F50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7" authorId="0" shapeId="0" xr:uid="{00000000-0006-0000-0300-0000F60B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7" authorId="0" shapeId="0" xr:uid="{00000000-0006-0000-0300-0000F7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7" authorId="0" shapeId="0" xr:uid="{00000000-0006-0000-0300-0000F80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7" authorId="0" shapeId="0" xr:uid="{00000000-0006-0000-0300-0000F90B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7" authorId="0" shapeId="0" xr:uid="{00000000-0006-0000-0300-0000FA0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7" authorId="0" shapeId="0" xr:uid="{00000000-0006-0000-0300-0000FB0B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7" authorId="0" shapeId="0" xr:uid="{00000000-0006-0000-0300-0000FC0B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7" authorId="0" shapeId="0" xr:uid="{00000000-0006-0000-0300-0000FD0B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7" authorId="0" shapeId="0" xr:uid="{00000000-0006-0000-0300-0000FE0B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67" authorId="0" shapeId="0" xr:uid="{00000000-0006-0000-0300-0000FF0B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7" authorId="0" shapeId="0" xr:uid="{00000000-0006-0000-0300-000000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7" authorId="0" shapeId="0" xr:uid="{00000000-0006-0000-0300-000001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7" authorId="0" shapeId="0" xr:uid="{00000000-0006-0000-0300-0000020C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7" authorId="0" shapeId="0" xr:uid="{00000000-0006-0000-0300-0000030C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7" authorId="0" shapeId="0" xr:uid="{00000000-0006-0000-0300-0000040C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7" authorId="0" shapeId="0" xr:uid="{00000000-0006-0000-0300-0000050C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7" authorId="0" shapeId="0" xr:uid="{00000000-0006-0000-0300-0000060C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7" authorId="0" shapeId="0" xr:uid="{00000000-0006-0000-0300-00000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7" authorId="0" shapeId="0" xr:uid="{00000000-0006-0000-0300-00000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7" authorId="0" shapeId="0" xr:uid="{00000000-0006-0000-0300-00000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7" authorId="0" shapeId="0" xr:uid="{00000000-0006-0000-0300-00000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7" authorId="0" shapeId="0" xr:uid="{00000000-0006-0000-0300-00000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7" authorId="0" shapeId="0" xr:uid="{00000000-0006-0000-0300-00000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7" authorId="0" shapeId="0" xr:uid="{00000000-0006-0000-0300-00000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7" authorId="0" shapeId="0" xr:uid="{00000000-0006-0000-0300-00000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7" authorId="0" shapeId="0" xr:uid="{00000000-0006-0000-0300-00000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7" authorId="0" shapeId="0" xr:uid="{00000000-0006-0000-0300-000010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7" authorId="0" shapeId="0" xr:uid="{00000000-0006-0000-0300-00001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7" authorId="0" shapeId="0" xr:uid="{00000000-0006-0000-0300-00001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7" authorId="0" shapeId="0" xr:uid="{00000000-0006-0000-0300-0000130C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7" authorId="0" shapeId="0" xr:uid="{00000000-0006-0000-0300-000014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7" authorId="0" shapeId="0" xr:uid="{00000000-0006-0000-0300-0000150C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7" authorId="0" shapeId="0" xr:uid="{00000000-0006-0000-0300-000016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7" authorId="0" shapeId="0" xr:uid="{00000000-0006-0000-0300-0000170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7" authorId="0" shapeId="0" xr:uid="{00000000-0006-0000-0300-000018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7" authorId="0" shapeId="0" xr:uid="{00000000-0006-0000-0300-0000190C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7" authorId="0" shapeId="0" xr:uid="{00000000-0006-0000-0300-00001A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7" authorId="0" shapeId="0" xr:uid="{00000000-0006-0000-0300-00001B0C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7" authorId="0" shapeId="0" xr:uid="{00000000-0006-0000-0300-00001C0C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7" authorId="0" shapeId="0" xr:uid="{00000000-0006-0000-0300-00001D0C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7" authorId="0" shapeId="0" xr:uid="{00000000-0006-0000-0300-00001E0C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7" authorId="0" shapeId="0" xr:uid="{00000000-0006-0000-0300-00001F0C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67" authorId="0" shapeId="0" xr:uid="{00000000-0006-0000-0300-000020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7" authorId="0" shapeId="0" xr:uid="{00000000-0006-0000-0300-000021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7" authorId="0" shapeId="0" xr:uid="{00000000-0006-0000-0300-000022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7" authorId="0" shapeId="0" xr:uid="{00000000-0006-0000-0300-0000230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7" authorId="0" shapeId="0" xr:uid="{00000000-0006-0000-0300-0000240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7" authorId="0" shapeId="0" xr:uid="{00000000-0006-0000-0300-0000250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7" authorId="0" shapeId="0" xr:uid="{00000000-0006-0000-0300-0000260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7" authorId="0" shapeId="0" xr:uid="{00000000-0006-0000-0300-000027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7" authorId="0" shapeId="0" xr:uid="{00000000-0006-0000-0300-000028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8" authorId="0" shapeId="0" xr:uid="{00000000-0006-0000-0300-0000290C0000}">
      <text>
        <r>
          <rPr>
            <sz val="9"/>
            <color indexed="81"/>
            <rFont val="Tahoma"/>
            <charset val="1"/>
          </rPr>
          <t>Date macro run: 12/20/2017 8:49:39 PM</t>
        </r>
      </text>
    </comment>
    <comment ref="B68" authorId="0" shapeId="0" xr:uid="{00000000-0006-0000-0300-00002A0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8" authorId="0" shapeId="0" xr:uid="{00000000-0006-0000-0300-00002B0C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8" authorId="0" shapeId="0" xr:uid="{00000000-0006-0000-0300-00002C0C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8" authorId="0" shapeId="0" xr:uid="{00000000-0006-0000-0300-00002D0C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8" authorId="0" shapeId="0" xr:uid="{00000000-0006-0000-0300-00002E0C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8" authorId="0" shapeId="0" xr:uid="{00000000-0006-0000-0300-00002F0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8" authorId="0" shapeId="0" xr:uid="{00000000-0006-0000-0300-0000300C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8" authorId="0" shapeId="0" xr:uid="{00000000-0006-0000-0300-0000310C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8" authorId="0" shapeId="0" xr:uid="{00000000-0006-0000-0300-0000320C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8" authorId="0" shapeId="0" xr:uid="{00000000-0006-0000-0300-00003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8" authorId="0" shapeId="0" xr:uid="{00000000-0006-0000-0300-0000340C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8" authorId="0" shapeId="0" xr:uid="{00000000-0006-0000-0300-0000350C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8" authorId="0" shapeId="0" xr:uid="{00000000-0006-0000-0300-0000360C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8" authorId="0" shapeId="0" xr:uid="{00000000-0006-0000-0300-0000370C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8" authorId="0" shapeId="0" xr:uid="{00000000-0006-0000-0300-000038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8" authorId="0" shapeId="0" xr:uid="{00000000-0006-0000-0300-000039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8" authorId="0" shapeId="0" xr:uid="{00000000-0006-0000-0300-00003A0C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8" authorId="0" shapeId="0" xr:uid="{00000000-0006-0000-0300-00003B0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8" authorId="0" shapeId="0" xr:uid="{00000000-0006-0000-0300-00003C0C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8" authorId="0" shapeId="0" xr:uid="{00000000-0006-0000-0300-00003D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8" authorId="0" shapeId="0" xr:uid="{00000000-0006-0000-0300-00003E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8" authorId="0" shapeId="0" xr:uid="{00000000-0006-0000-0300-00003F0C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8" authorId="0" shapeId="0" xr:uid="{00000000-0006-0000-0300-000040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8" authorId="0" shapeId="0" xr:uid="{00000000-0006-0000-0300-000041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8" authorId="0" shapeId="0" xr:uid="{00000000-0006-0000-0300-0000420C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8" authorId="0" shapeId="0" xr:uid="{00000000-0006-0000-0300-0000430C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8" authorId="0" shapeId="0" xr:uid="{00000000-0006-0000-0300-0000440C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68" authorId="0" shapeId="0" xr:uid="{00000000-0006-0000-0300-0000450C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8" authorId="0" shapeId="0" xr:uid="{00000000-0006-0000-0300-000046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8" authorId="0" shapeId="0" xr:uid="{00000000-0006-0000-0300-000047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8" authorId="0" shapeId="0" xr:uid="{00000000-0006-0000-0300-0000480C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8" authorId="0" shapeId="0" xr:uid="{00000000-0006-0000-0300-0000490C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8" authorId="0" shapeId="0" xr:uid="{00000000-0006-0000-0300-00004A0C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8" authorId="0" shapeId="0" xr:uid="{00000000-0006-0000-0300-00004B0C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8" authorId="0" shapeId="0" xr:uid="{00000000-0006-0000-0300-00004C0C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8" authorId="0" shapeId="0" xr:uid="{00000000-0006-0000-0300-00004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8" authorId="0" shapeId="0" xr:uid="{00000000-0006-0000-0300-00004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8" authorId="0" shapeId="0" xr:uid="{00000000-0006-0000-0300-00004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8" authorId="0" shapeId="0" xr:uid="{00000000-0006-0000-0300-00005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8" authorId="0" shapeId="0" xr:uid="{00000000-0006-0000-0300-00005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8" authorId="0" shapeId="0" xr:uid="{00000000-0006-0000-0300-00005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8" authorId="0" shapeId="0" xr:uid="{00000000-0006-0000-0300-00005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8" authorId="0" shapeId="0" xr:uid="{00000000-0006-0000-0300-00005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8" authorId="0" shapeId="0" xr:uid="{00000000-0006-0000-0300-00005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8" authorId="0" shapeId="0" xr:uid="{00000000-0006-0000-0300-000056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8" authorId="0" shapeId="0" xr:uid="{00000000-0006-0000-0300-00005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8" authorId="0" shapeId="0" xr:uid="{00000000-0006-0000-0300-00005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8" authorId="0" shapeId="0" xr:uid="{00000000-0006-0000-0300-0000590C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8" authorId="0" shapeId="0" xr:uid="{00000000-0006-0000-0300-00005A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8" authorId="0" shapeId="0" xr:uid="{00000000-0006-0000-0300-00005B0C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8" authorId="0" shapeId="0" xr:uid="{00000000-0006-0000-0300-00005C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8" authorId="0" shapeId="0" xr:uid="{00000000-0006-0000-0300-00005D0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8" authorId="0" shapeId="0" xr:uid="{00000000-0006-0000-0300-00005E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8" authorId="0" shapeId="0" xr:uid="{00000000-0006-0000-0300-00005F0C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8" authorId="0" shapeId="0" xr:uid="{00000000-0006-0000-0300-000060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8" authorId="0" shapeId="0" xr:uid="{00000000-0006-0000-0300-0000610C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8" authorId="0" shapeId="0" xr:uid="{00000000-0006-0000-0300-0000620C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8" authorId="0" shapeId="0" xr:uid="{00000000-0006-0000-0300-0000630C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8" authorId="0" shapeId="0" xr:uid="{00000000-0006-0000-0300-0000640C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8" authorId="0" shapeId="0" xr:uid="{00000000-0006-0000-0300-0000650C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68" authorId="0" shapeId="0" xr:uid="{00000000-0006-0000-0300-000066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8" authorId="0" shapeId="0" xr:uid="{00000000-0006-0000-0300-000067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8" authorId="0" shapeId="0" xr:uid="{00000000-0006-0000-0300-000068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8" authorId="0" shapeId="0" xr:uid="{00000000-0006-0000-0300-0000690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8" authorId="0" shapeId="0" xr:uid="{00000000-0006-0000-0300-00006A0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8" authorId="0" shapeId="0" xr:uid="{00000000-0006-0000-0300-00006B0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8" authorId="0" shapeId="0" xr:uid="{00000000-0006-0000-0300-00006C0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8" authorId="0" shapeId="0" xr:uid="{00000000-0006-0000-0300-00006D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8" authorId="0" shapeId="0" xr:uid="{00000000-0006-0000-0300-00006E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69" authorId="0" shapeId="0" xr:uid="{00000000-0006-0000-0300-00006F0C0000}">
      <text>
        <r>
          <rPr>
            <sz val="9"/>
            <color indexed="81"/>
            <rFont val="Tahoma"/>
            <charset val="1"/>
          </rPr>
          <t>Date macro run: 12/22/2017 9:06:49 PM</t>
        </r>
      </text>
    </comment>
    <comment ref="B69" authorId="0" shapeId="0" xr:uid="{00000000-0006-0000-0300-0000700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69" authorId="0" shapeId="0" xr:uid="{00000000-0006-0000-0300-0000710C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69" authorId="0" shapeId="0" xr:uid="{00000000-0006-0000-0300-0000720C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69" authorId="0" shapeId="0" xr:uid="{00000000-0006-0000-0300-0000730C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69" authorId="0" shapeId="0" xr:uid="{00000000-0006-0000-0300-0000740C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69" authorId="0" shapeId="0" xr:uid="{00000000-0006-0000-0300-0000750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69" authorId="0" shapeId="0" xr:uid="{00000000-0006-0000-0300-0000760C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69" authorId="0" shapeId="0" xr:uid="{00000000-0006-0000-0300-0000770C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69" authorId="0" shapeId="0" xr:uid="{00000000-0006-0000-0300-0000780C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69" authorId="0" shapeId="0" xr:uid="{00000000-0006-0000-0300-00007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69" authorId="0" shapeId="0" xr:uid="{00000000-0006-0000-0300-00007A0C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69" authorId="0" shapeId="0" xr:uid="{00000000-0006-0000-0300-00007B0C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69" authorId="0" shapeId="0" xr:uid="{00000000-0006-0000-0300-00007C0C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69" authorId="0" shapeId="0" xr:uid="{00000000-0006-0000-0300-00007D0C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69" authorId="0" shapeId="0" xr:uid="{00000000-0006-0000-0300-00007E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69" authorId="0" shapeId="0" xr:uid="{00000000-0006-0000-0300-00007F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69" authorId="0" shapeId="0" xr:uid="{00000000-0006-0000-0300-0000800C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69" authorId="0" shapeId="0" xr:uid="{00000000-0006-0000-0300-0000810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69" authorId="0" shapeId="0" xr:uid="{00000000-0006-0000-0300-0000820C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69" authorId="0" shapeId="0" xr:uid="{00000000-0006-0000-0300-000083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69" authorId="0" shapeId="0" xr:uid="{00000000-0006-0000-0300-000084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69" authorId="0" shapeId="0" xr:uid="{00000000-0006-0000-0300-0000850C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69" authorId="0" shapeId="0" xr:uid="{00000000-0006-0000-0300-000086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69" authorId="0" shapeId="0" xr:uid="{00000000-0006-0000-0300-000087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69" authorId="0" shapeId="0" xr:uid="{00000000-0006-0000-0300-0000880C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69" authorId="0" shapeId="0" xr:uid="{00000000-0006-0000-0300-0000890C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69" authorId="0" shapeId="0" xr:uid="{00000000-0006-0000-0300-00008A0C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69" authorId="0" shapeId="0" xr:uid="{00000000-0006-0000-0300-00008B0C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69" authorId="0" shapeId="0" xr:uid="{00000000-0006-0000-0300-00008C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69" authorId="0" shapeId="0" xr:uid="{00000000-0006-0000-0300-00008D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69" authorId="0" shapeId="0" xr:uid="{00000000-0006-0000-0300-00008E0C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69" authorId="0" shapeId="0" xr:uid="{00000000-0006-0000-0300-00008F0C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69" authorId="0" shapeId="0" xr:uid="{00000000-0006-0000-0300-0000900C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69" authorId="0" shapeId="0" xr:uid="{00000000-0006-0000-0300-0000910C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69" authorId="0" shapeId="0" xr:uid="{00000000-0006-0000-0300-0000920C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69" authorId="0" shapeId="0" xr:uid="{00000000-0006-0000-0300-000093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69" authorId="0" shapeId="0" xr:uid="{00000000-0006-0000-0300-00009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69" authorId="0" shapeId="0" xr:uid="{00000000-0006-0000-0300-00009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69" authorId="0" shapeId="0" xr:uid="{00000000-0006-0000-0300-000096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69" authorId="0" shapeId="0" xr:uid="{00000000-0006-0000-0300-000097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69" authorId="0" shapeId="0" xr:uid="{00000000-0006-0000-0300-000098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69" authorId="0" shapeId="0" xr:uid="{00000000-0006-0000-0300-000099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69" authorId="0" shapeId="0" xr:uid="{00000000-0006-0000-0300-00009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69" authorId="0" shapeId="0" xr:uid="{00000000-0006-0000-0300-00009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69" authorId="0" shapeId="0" xr:uid="{00000000-0006-0000-0300-00009C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69" authorId="0" shapeId="0" xr:uid="{00000000-0006-0000-0300-00009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69" authorId="0" shapeId="0" xr:uid="{00000000-0006-0000-0300-00009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69" authorId="0" shapeId="0" xr:uid="{00000000-0006-0000-0300-00009F0C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69" authorId="0" shapeId="0" xr:uid="{00000000-0006-0000-0300-0000A0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69" authorId="0" shapeId="0" xr:uid="{00000000-0006-0000-0300-0000A10C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69" authorId="0" shapeId="0" xr:uid="{00000000-0006-0000-0300-0000A2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69" authorId="0" shapeId="0" xr:uid="{00000000-0006-0000-0300-0000A30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69" authorId="0" shapeId="0" xr:uid="{00000000-0006-0000-0300-0000A4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69" authorId="0" shapeId="0" xr:uid="{00000000-0006-0000-0300-0000A50C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69" authorId="0" shapeId="0" xr:uid="{00000000-0006-0000-0300-0000A6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69" authorId="0" shapeId="0" xr:uid="{00000000-0006-0000-0300-0000A70C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69" authorId="0" shapeId="0" xr:uid="{00000000-0006-0000-0300-0000A80C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69" authorId="0" shapeId="0" xr:uid="{00000000-0006-0000-0300-0000A90C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69" authorId="0" shapeId="0" xr:uid="{00000000-0006-0000-0300-0000AA0C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69" authorId="0" shapeId="0" xr:uid="{00000000-0006-0000-0300-0000AB0C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69" authorId="0" shapeId="0" xr:uid="{00000000-0006-0000-0300-0000AC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69" authorId="0" shapeId="0" xr:uid="{00000000-0006-0000-0300-0000AD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69" authorId="0" shapeId="0" xr:uid="{00000000-0006-0000-0300-0000AE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69" authorId="0" shapeId="0" xr:uid="{00000000-0006-0000-0300-0000AF0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69" authorId="0" shapeId="0" xr:uid="{00000000-0006-0000-0300-0000B00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69" authorId="0" shapeId="0" xr:uid="{00000000-0006-0000-0300-0000B10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69" authorId="0" shapeId="0" xr:uid="{00000000-0006-0000-0300-0000B20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69" authorId="0" shapeId="0" xr:uid="{00000000-0006-0000-0300-0000B3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69" authorId="0" shapeId="0" xr:uid="{00000000-0006-0000-0300-0000B4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69" authorId="0" shapeId="0" xr:uid="{00000000-0006-0000-0300-0000B50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0" authorId="0" shapeId="0" xr:uid="{00000000-0006-0000-0300-0000B60C0000}">
      <text>
        <r>
          <rPr>
            <sz val="9"/>
            <color indexed="81"/>
            <rFont val="Tahoma"/>
            <charset val="1"/>
          </rPr>
          <t>Date macro run: 12/27/2017 8:44:34 PM</t>
        </r>
      </text>
    </comment>
    <comment ref="B70" authorId="0" shapeId="0" xr:uid="{00000000-0006-0000-0300-0000B70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0" authorId="0" shapeId="0" xr:uid="{00000000-0006-0000-0300-0000B80C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0" authorId="0" shapeId="0" xr:uid="{00000000-0006-0000-0300-0000B90C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0" authorId="0" shapeId="0" xr:uid="{00000000-0006-0000-0300-0000BA0C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0" authorId="0" shapeId="0" xr:uid="{00000000-0006-0000-0300-0000BB0C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0" authorId="0" shapeId="0" xr:uid="{00000000-0006-0000-0300-0000BC0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0" authorId="0" shapeId="0" xr:uid="{00000000-0006-0000-0300-0000BD0C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0" authorId="0" shapeId="0" xr:uid="{00000000-0006-0000-0300-0000BE0C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0" authorId="0" shapeId="0" xr:uid="{00000000-0006-0000-0300-0000BF0C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0" authorId="0" shapeId="0" xr:uid="{00000000-0006-0000-0300-0000C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0" authorId="0" shapeId="0" xr:uid="{00000000-0006-0000-0300-0000C10C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0" authorId="0" shapeId="0" xr:uid="{00000000-0006-0000-0300-0000C20C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0" authorId="0" shapeId="0" xr:uid="{00000000-0006-0000-0300-0000C30C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0" authorId="0" shapeId="0" xr:uid="{00000000-0006-0000-0300-0000C40C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0" authorId="0" shapeId="0" xr:uid="{00000000-0006-0000-0300-0000C5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0" authorId="0" shapeId="0" xr:uid="{00000000-0006-0000-0300-0000C6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0" authorId="0" shapeId="0" xr:uid="{00000000-0006-0000-0300-0000C70C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0" authorId="0" shapeId="0" xr:uid="{00000000-0006-0000-0300-0000C80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0" authorId="0" shapeId="0" xr:uid="{00000000-0006-0000-0300-0000C90C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70" authorId="0" shapeId="0" xr:uid="{00000000-0006-0000-0300-0000CA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0" authorId="0" shapeId="0" xr:uid="{00000000-0006-0000-0300-0000CB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0" authorId="0" shapeId="0" xr:uid="{00000000-0006-0000-0300-0000CC0C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70" authorId="0" shapeId="0" xr:uid="{00000000-0006-0000-0300-0000CD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0" authorId="0" shapeId="0" xr:uid="{00000000-0006-0000-0300-0000CE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0" authorId="0" shapeId="0" xr:uid="{00000000-0006-0000-0300-0000CF0C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0" authorId="0" shapeId="0" xr:uid="{00000000-0006-0000-0300-0000D00C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0" authorId="0" shapeId="0" xr:uid="{00000000-0006-0000-0300-0000D10C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0" authorId="0" shapeId="0" xr:uid="{00000000-0006-0000-0300-0000D20C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0" authorId="0" shapeId="0" xr:uid="{00000000-0006-0000-0300-0000D30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0" authorId="0" shapeId="0" xr:uid="{00000000-0006-0000-0300-0000D4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0" authorId="0" shapeId="0" xr:uid="{00000000-0006-0000-0300-0000D50C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0" authorId="0" shapeId="0" xr:uid="{00000000-0006-0000-0300-0000D60C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0" authorId="0" shapeId="0" xr:uid="{00000000-0006-0000-0300-0000D70C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0" authorId="0" shapeId="0" xr:uid="{00000000-0006-0000-0300-0000D80C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0" authorId="0" shapeId="0" xr:uid="{00000000-0006-0000-0300-0000D90C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0" authorId="0" shapeId="0" xr:uid="{00000000-0006-0000-0300-0000DA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0" authorId="0" shapeId="0" xr:uid="{00000000-0006-0000-0300-0000DB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0" authorId="0" shapeId="0" xr:uid="{00000000-0006-0000-0300-0000DC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0" authorId="0" shapeId="0" xr:uid="{00000000-0006-0000-0300-0000DD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0" authorId="0" shapeId="0" xr:uid="{00000000-0006-0000-0300-0000DE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0" authorId="0" shapeId="0" xr:uid="{00000000-0006-0000-0300-0000DF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0" authorId="0" shapeId="0" xr:uid="{00000000-0006-0000-0300-0000E0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0" authorId="0" shapeId="0" xr:uid="{00000000-0006-0000-0300-0000E1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0" authorId="0" shapeId="0" xr:uid="{00000000-0006-0000-0300-0000E2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0" authorId="0" shapeId="0" xr:uid="{00000000-0006-0000-0300-0000E30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0" authorId="0" shapeId="0" xr:uid="{00000000-0006-0000-0300-0000E4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0" authorId="0" shapeId="0" xr:uid="{00000000-0006-0000-0300-0000E50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0" authorId="0" shapeId="0" xr:uid="{00000000-0006-0000-0300-0000E60C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0" authorId="0" shapeId="0" xr:uid="{00000000-0006-0000-0300-0000E7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0" authorId="0" shapeId="0" xr:uid="{00000000-0006-0000-0300-0000E80C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0" authorId="0" shapeId="0" xr:uid="{00000000-0006-0000-0300-0000E90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0" authorId="0" shapeId="0" xr:uid="{00000000-0006-0000-0300-0000EA0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0" authorId="0" shapeId="0" xr:uid="{00000000-0006-0000-0300-0000EB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0" authorId="0" shapeId="0" xr:uid="{00000000-0006-0000-0300-0000EC0C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0" authorId="0" shapeId="0" xr:uid="{00000000-0006-0000-0300-0000ED0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0" authorId="0" shapeId="0" xr:uid="{00000000-0006-0000-0300-0000EE0C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0" authorId="0" shapeId="0" xr:uid="{00000000-0006-0000-0300-0000EF0C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0" authorId="0" shapeId="0" xr:uid="{00000000-0006-0000-0300-0000F00C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0" authorId="0" shapeId="0" xr:uid="{00000000-0006-0000-0300-0000F10C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0" authorId="0" shapeId="0" xr:uid="{00000000-0006-0000-0300-0000F20C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0" authorId="0" shapeId="0" xr:uid="{00000000-0006-0000-0300-0000F30C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0" authorId="0" shapeId="0" xr:uid="{00000000-0006-0000-0300-0000F4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0" authorId="0" shapeId="0" xr:uid="{00000000-0006-0000-0300-0000F50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0" authorId="0" shapeId="0" xr:uid="{00000000-0006-0000-0300-0000F60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0" authorId="0" shapeId="0" xr:uid="{00000000-0006-0000-0300-0000F70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0" authorId="0" shapeId="0" xr:uid="{00000000-0006-0000-0300-0000F80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0" authorId="0" shapeId="0" xr:uid="{00000000-0006-0000-0300-0000F90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0" authorId="0" shapeId="0" xr:uid="{00000000-0006-0000-0300-0000FA0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0" authorId="0" shapeId="0" xr:uid="{00000000-0006-0000-0300-0000FB0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0" authorId="0" shapeId="0" xr:uid="{00000000-0006-0000-0300-0000FC0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1" authorId="0" shapeId="0" xr:uid="{00000000-0006-0000-0300-0000FD0C0000}">
      <text>
        <r>
          <rPr>
            <sz val="9"/>
            <color indexed="81"/>
            <rFont val="Tahoma"/>
            <charset val="1"/>
          </rPr>
          <t>Date macro run: 12/29/2017 10:27:46 PM</t>
        </r>
      </text>
    </comment>
    <comment ref="B71" authorId="0" shapeId="0" xr:uid="{00000000-0006-0000-0300-0000FE0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1" authorId="0" shapeId="0" xr:uid="{00000000-0006-0000-0300-0000FF0C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1" authorId="0" shapeId="0" xr:uid="{00000000-0006-0000-0300-0000000D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1" authorId="0" shapeId="0" xr:uid="{00000000-0006-0000-0300-0000010D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1" authorId="0" shapeId="0" xr:uid="{00000000-0006-0000-0300-0000020D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1" authorId="0" shapeId="0" xr:uid="{00000000-0006-0000-0300-0000030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1" authorId="0" shapeId="0" xr:uid="{00000000-0006-0000-0300-0000040D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1" authorId="0" shapeId="0" xr:uid="{00000000-0006-0000-0300-0000050D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1" authorId="0" shapeId="0" xr:uid="{00000000-0006-0000-0300-0000060D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1" authorId="0" shapeId="0" xr:uid="{00000000-0006-0000-0300-00000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1" authorId="0" shapeId="0" xr:uid="{00000000-0006-0000-0300-0000080D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1" authorId="0" shapeId="0" xr:uid="{00000000-0006-0000-0300-0000090D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1" authorId="0" shapeId="0" xr:uid="{00000000-0006-0000-0300-00000A0D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1" authorId="0" shapeId="0" xr:uid="{00000000-0006-0000-0300-00000B0D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1" authorId="0" shapeId="0" xr:uid="{00000000-0006-0000-0300-00000C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1" authorId="0" shapeId="0" xr:uid="{00000000-0006-0000-0300-00000D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1" authorId="0" shapeId="0" xr:uid="{00000000-0006-0000-0300-00000E0D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1" authorId="0" shapeId="0" xr:uid="{00000000-0006-0000-0300-00000F0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1" authorId="0" shapeId="0" xr:uid="{00000000-0006-0000-0300-0000100D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71" authorId="0" shapeId="0" xr:uid="{00000000-0006-0000-0300-000011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1" authorId="0" shapeId="0" xr:uid="{00000000-0006-0000-0300-000012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1" authorId="0" shapeId="0" xr:uid="{00000000-0006-0000-0300-0000130D0000}">
      <text>
        <r>
          <rPr>
            <sz val="9"/>
            <color indexed="81"/>
            <rFont val="Tahoma"/>
            <charset val="1"/>
          </rPr>
          <t>Stability=,Expiration=1/3/2018</t>
        </r>
      </text>
    </comment>
    <comment ref="X71" authorId="0" shapeId="0" xr:uid="{00000000-0006-0000-0300-000014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1" authorId="0" shapeId="0" xr:uid="{00000000-0006-0000-0300-000015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1" authorId="0" shapeId="0" xr:uid="{00000000-0006-0000-0300-0000160D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1" authorId="0" shapeId="0" xr:uid="{00000000-0006-0000-0300-0000170D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1" authorId="0" shapeId="0" xr:uid="{00000000-0006-0000-0300-0000180D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1" authorId="0" shapeId="0" xr:uid="{00000000-0006-0000-0300-0000190D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1" authorId="0" shapeId="0" xr:uid="{00000000-0006-0000-0300-00001A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1" authorId="0" shapeId="0" xr:uid="{00000000-0006-0000-0300-00001B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1" authorId="0" shapeId="0" xr:uid="{00000000-0006-0000-0300-00001C0D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1" authorId="0" shapeId="0" xr:uid="{00000000-0006-0000-0300-00001D0D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1" authorId="0" shapeId="0" xr:uid="{00000000-0006-0000-0300-00001E0D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1" authorId="0" shapeId="0" xr:uid="{00000000-0006-0000-0300-00001F0D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1" authorId="0" shapeId="0" xr:uid="{00000000-0006-0000-0300-0000200D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1" authorId="0" shapeId="0" xr:uid="{00000000-0006-0000-0300-00002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1" authorId="0" shapeId="0" xr:uid="{00000000-0006-0000-0300-00002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1" authorId="0" shapeId="0" xr:uid="{00000000-0006-0000-0300-00002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1" authorId="0" shapeId="0" xr:uid="{00000000-0006-0000-0300-00002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1" authorId="0" shapeId="0" xr:uid="{00000000-0006-0000-0300-00002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1" authorId="0" shapeId="0" xr:uid="{00000000-0006-0000-0300-00002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1" authorId="0" shapeId="0" xr:uid="{00000000-0006-0000-0300-00002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1" authorId="0" shapeId="0" xr:uid="{00000000-0006-0000-0300-00002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1" authorId="0" shapeId="0" xr:uid="{00000000-0006-0000-0300-00002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1" authorId="0" shapeId="0" xr:uid="{00000000-0006-0000-0300-00002A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1" authorId="0" shapeId="0" xr:uid="{00000000-0006-0000-0300-00002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1" authorId="0" shapeId="0" xr:uid="{00000000-0006-0000-0300-00002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1" authorId="0" shapeId="0" xr:uid="{00000000-0006-0000-0300-00002D0D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1" authorId="0" shapeId="0" xr:uid="{00000000-0006-0000-0300-00002E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1" authorId="0" shapeId="0" xr:uid="{00000000-0006-0000-0300-00002F0D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1" authorId="0" shapeId="0" xr:uid="{00000000-0006-0000-0300-000030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1" authorId="0" shapeId="0" xr:uid="{00000000-0006-0000-0300-0000310D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1" authorId="0" shapeId="0" xr:uid="{00000000-0006-0000-0300-000032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1" authorId="0" shapeId="0" xr:uid="{00000000-0006-0000-0300-0000330D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1" authorId="0" shapeId="0" xr:uid="{00000000-0006-0000-0300-000034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1" authorId="0" shapeId="0" xr:uid="{00000000-0006-0000-0300-0000350D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1" authorId="0" shapeId="0" xr:uid="{00000000-0006-0000-0300-0000360D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1" authorId="0" shapeId="0" xr:uid="{00000000-0006-0000-0300-0000370D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1" authorId="0" shapeId="0" xr:uid="{00000000-0006-0000-0300-0000380D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1" authorId="0" shapeId="0" xr:uid="{00000000-0006-0000-0300-0000390D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1" authorId="0" shapeId="0" xr:uid="{00000000-0006-0000-0300-00003A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1" authorId="0" shapeId="0" xr:uid="{00000000-0006-0000-0300-00003B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1" authorId="0" shapeId="0" xr:uid="{00000000-0006-0000-0300-00003C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1" authorId="0" shapeId="0" xr:uid="{00000000-0006-0000-0300-00003D0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1" authorId="0" shapeId="0" xr:uid="{00000000-0006-0000-0300-00003E0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1" authorId="0" shapeId="0" xr:uid="{00000000-0006-0000-0300-00003F0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1" authorId="0" shapeId="0" xr:uid="{00000000-0006-0000-0300-0000400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1" authorId="0" shapeId="0" xr:uid="{00000000-0006-0000-0300-000041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1" authorId="0" shapeId="0" xr:uid="{00000000-0006-0000-0300-000042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1" authorId="0" shapeId="0" xr:uid="{00000000-0006-0000-0300-0000430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2" authorId="0" shapeId="0" xr:uid="{00000000-0006-0000-0300-0000440D0000}">
      <text>
        <r>
          <rPr>
            <sz val="9"/>
            <color indexed="81"/>
            <rFont val="Tahoma"/>
            <charset val="1"/>
          </rPr>
          <t>Date macro run: 1/3/2018 9:23:56 PM</t>
        </r>
      </text>
    </comment>
    <comment ref="B72" authorId="0" shapeId="0" xr:uid="{00000000-0006-0000-0300-0000450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2" authorId="0" shapeId="0" xr:uid="{00000000-0006-0000-0300-0000460D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2" authorId="0" shapeId="0" xr:uid="{00000000-0006-0000-0300-0000470D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2" authorId="0" shapeId="0" xr:uid="{00000000-0006-0000-0300-0000480D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2" authorId="0" shapeId="0" xr:uid="{00000000-0006-0000-0300-0000490D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2" authorId="0" shapeId="0" xr:uid="{00000000-0006-0000-0300-00004A0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2" authorId="0" shapeId="0" xr:uid="{00000000-0006-0000-0300-00004B0D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2" authorId="0" shapeId="0" xr:uid="{00000000-0006-0000-0300-00004C0D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2" authorId="0" shapeId="0" xr:uid="{00000000-0006-0000-0300-00004D0D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2" authorId="0" shapeId="0" xr:uid="{00000000-0006-0000-0300-00004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2" authorId="0" shapeId="0" xr:uid="{00000000-0006-0000-0300-00004F0D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2" authorId="0" shapeId="0" xr:uid="{00000000-0006-0000-0300-0000500D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2" authorId="0" shapeId="0" xr:uid="{00000000-0006-0000-0300-0000510D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2" authorId="0" shapeId="0" xr:uid="{00000000-0006-0000-0300-0000520D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2" authorId="0" shapeId="0" xr:uid="{00000000-0006-0000-0300-000053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2" authorId="0" shapeId="0" xr:uid="{00000000-0006-0000-0300-000054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2" authorId="0" shapeId="0" xr:uid="{00000000-0006-0000-0300-0000550D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2" authorId="0" shapeId="0" xr:uid="{00000000-0006-0000-0300-0000560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2" authorId="0" shapeId="0" xr:uid="{00000000-0006-0000-0300-0000570D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72" authorId="0" shapeId="0" xr:uid="{00000000-0006-0000-0300-000058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2" authorId="0" shapeId="0" xr:uid="{00000000-0006-0000-0300-000059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2" authorId="0" shapeId="0" xr:uid="{00000000-0006-0000-0300-00005A0D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2" authorId="0" shapeId="0" xr:uid="{00000000-0006-0000-0300-00005B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2" authorId="0" shapeId="0" xr:uid="{00000000-0006-0000-0300-00005C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2" authorId="0" shapeId="0" xr:uid="{00000000-0006-0000-0300-00005D0D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2" authorId="0" shapeId="0" xr:uid="{00000000-0006-0000-0300-00005E0D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2" authorId="0" shapeId="0" xr:uid="{00000000-0006-0000-0300-00005F0D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2" authorId="0" shapeId="0" xr:uid="{00000000-0006-0000-0300-0000600D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2" authorId="0" shapeId="0" xr:uid="{00000000-0006-0000-0300-000061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2" authorId="0" shapeId="0" xr:uid="{00000000-0006-0000-0300-000062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2" authorId="0" shapeId="0" xr:uid="{00000000-0006-0000-0300-0000630D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2" authorId="0" shapeId="0" xr:uid="{00000000-0006-0000-0300-0000640D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2" authorId="0" shapeId="0" xr:uid="{00000000-0006-0000-0300-0000650D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2" authorId="0" shapeId="0" xr:uid="{00000000-0006-0000-0300-0000660D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2" authorId="0" shapeId="0" xr:uid="{00000000-0006-0000-0300-0000670D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2" authorId="0" shapeId="0" xr:uid="{00000000-0006-0000-0300-00006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2" authorId="0" shapeId="0" xr:uid="{00000000-0006-0000-0300-00006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2" authorId="0" shapeId="0" xr:uid="{00000000-0006-0000-0300-00006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2" authorId="0" shapeId="0" xr:uid="{00000000-0006-0000-0300-00006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2" authorId="0" shapeId="0" xr:uid="{00000000-0006-0000-0300-00006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2" authorId="0" shapeId="0" xr:uid="{00000000-0006-0000-0300-00006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2" authorId="0" shapeId="0" xr:uid="{00000000-0006-0000-0300-00006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2" authorId="0" shapeId="0" xr:uid="{00000000-0006-0000-0300-00006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2" authorId="0" shapeId="0" xr:uid="{00000000-0006-0000-0300-00007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2" authorId="0" shapeId="0" xr:uid="{00000000-0006-0000-0300-000071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2" authorId="0" shapeId="0" xr:uid="{00000000-0006-0000-0300-00007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2" authorId="0" shapeId="0" xr:uid="{00000000-0006-0000-0300-00007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2" authorId="0" shapeId="0" xr:uid="{00000000-0006-0000-0300-0000740D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2" authorId="0" shapeId="0" xr:uid="{00000000-0006-0000-0300-000075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2" authorId="0" shapeId="0" xr:uid="{00000000-0006-0000-0300-0000760D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2" authorId="0" shapeId="0" xr:uid="{00000000-0006-0000-0300-000077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2" authorId="0" shapeId="0" xr:uid="{00000000-0006-0000-0300-0000780D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2" authorId="0" shapeId="0" xr:uid="{00000000-0006-0000-0300-000079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2" authorId="0" shapeId="0" xr:uid="{00000000-0006-0000-0300-00007A0D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2" authorId="0" shapeId="0" xr:uid="{00000000-0006-0000-0300-00007B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2" authorId="0" shapeId="0" xr:uid="{00000000-0006-0000-0300-00007C0D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2" authorId="0" shapeId="0" xr:uid="{00000000-0006-0000-0300-00007D0D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2" authorId="0" shapeId="0" xr:uid="{00000000-0006-0000-0300-00007E0D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2" authorId="0" shapeId="0" xr:uid="{00000000-0006-0000-0300-00007F0D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2" authorId="0" shapeId="0" xr:uid="{00000000-0006-0000-0300-0000800D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2" authorId="0" shapeId="0" xr:uid="{00000000-0006-0000-0300-000081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2" authorId="0" shapeId="0" xr:uid="{00000000-0006-0000-0300-000082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2" authorId="0" shapeId="0" xr:uid="{00000000-0006-0000-0300-000083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2" authorId="0" shapeId="0" xr:uid="{00000000-0006-0000-0300-0000840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2" authorId="0" shapeId="0" xr:uid="{00000000-0006-0000-0300-0000850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2" authorId="0" shapeId="0" xr:uid="{00000000-0006-0000-0300-0000860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2" authorId="0" shapeId="0" xr:uid="{00000000-0006-0000-0300-0000870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2" authorId="0" shapeId="0" xr:uid="{00000000-0006-0000-0300-000088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2" authorId="0" shapeId="0" xr:uid="{00000000-0006-0000-0300-000089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2" authorId="0" shapeId="0" xr:uid="{00000000-0006-0000-0300-00008A0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3" authorId="0" shapeId="0" xr:uid="{00000000-0006-0000-0300-00008B0D0000}">
      <text>
        <r>
          <rPr>
            <sz val="9"/>
            <color indexed="81"/>
            <rFont val="Tahoma"/>
            <charset val="1"/>
          </rPr>
          <t>Date macro run: 1/5/2018 9:22:02 PM</t>
        </r>
      </text>
    </comment>
    <comment ref="B73" authorId="0" shapeId="0" xr:uid="{00000000-0006-0000-0300-00008C0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3" authorId="0" shapeId="0" xr:uid="{00000000-0006-0000-0300-00008D0D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3" authorId="0" shapeId="0" xr:uid="{00000000-0006-0000-0300-00008E0D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3" authorId="0" shapeId="0" xr:uid="{00000000-0006-0000-0300-00008F0D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3" authorId="0" shapeId="0" xr:uid="{00000000-0006-0000-0300-0000900D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3" authorId="0" shapeId="0" xr:uid="{00000000-0006-0000-0300-0000910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3" authorId="0" shapeId="0" xr:uid="{00000000-0006-0000-0300-0000920D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3" authorId="0" shapeId="0" xr:uid="{00000000-0006-0000-0300-0000930D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3" authorId="0" shapeId="0" xr:uid="{00000000-0006-0000-0300-0000940D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3" authorId="0" shapeId="0" xr:uid="{00000000-0006-0000-0300-00009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3" authorId="0" shapeId="0" xr:uid="{00000000-0006-0000-0300-0000960D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3" authorId="0" shapeId="0" xr:uid="{00000000-0006-0000-0300-0000970D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3" authorId="0" shapeId="0" xr:uid="{00000000-0006-0000-0300-0000980D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3" authorId="0" shapeId="0" xr:uid="{00000000-0006-0000-0300-0000990D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3" authorId="0" shapeId="0" xr:uid="{00000000-0006-0000-0300-00009A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3" authorId="0" shapeId="0" xr:uid="{00000000-0006-0000-0300-00009B0D0000}">
      <text>
        <r>
          <rPr>
            <sz val="9"/>
            <color indexed="81"/>
            <rFont val="Tahoma"/>
            <charset val="1"/>
          </rPr>
          <t>Stability=,Expiration=10/31/2018, was 10 but loaned apparently on 1/31</t>
        </r>
      </text>
    </comment>
    <comment ref="R73" authorId="0" shapeId="0" xr:uid="{00000000-0006-0000-0300-00009C0D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3" authorId="0" shapeId="0" xr:uid="{00000000-0006-0000-0300-00009D0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3" authorId="0" shapeId="0" xr:uid="{00000000-0006-0000-0300-00009E0D0000}">
      <text>
        <r>
          <rPr>
            <sz val="9"/>
            <color indexed="81"/>
            <rFont val="Tahoma"/>
            <charset val="1"/>
          </rPr>
          <t>Stability=,Expiration=1/5/2018</t>
        </r>
      </text>
    </comment>
    <comment ref="U73" authorId="0" shapeId="0" xr:uid="{00000000-0006-0000-0300-00009F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3" authorId="0" shapeId="0" xr:uid="{00000000-0006-0000-0300-0000A0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3" authorId="0" shapeId="0" xr:uid="{00000000-0006-0000-0300-0000A10D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3" authorId="0" shapeId="0" xr:uid="{00000000-0006-0000-0300-0000A2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3" authorId="0" shapeId="0" xr:uid="{00000000-0006-0000-0300-0000A3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3" authorId="0" shapeId="0" xr:uid="{00000000-0006-0000-0300-0000A40D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3" authorId="0" shapeId="0" xr:uid="{00000000-0006-0000-0300-0000A50D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3" authorId="0" shapeId="0" xr:uid="{00000000-0006-0000-0300-0000A60D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3" authorId="0" shapeId="0" xr:uid="{00000000-0006-0000-0300-0000A70D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3" authorId="0" shapeId="0" xr:uid="{00000000-0006-0000-0300-0000A8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3" authorId="0" shapeId="0" xr:uid="{00000000-0006-0000-0300-0000A9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3" authorId="0" shapeId="0" xr:uid="{00000000-0006-0000-0300-0000AA0D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3" authorId="0" shapeId="0" xr:uid="{00000000-0006-0000-0300-0000AB0D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3" authorId="0" shapeId="0" xr:uid="{00000000-0006-0000-0300-0000AC0D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3" authorId="0" shapeId="0" xr:uid="{00000000-0006-0000-0300-0000AD0D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3" authorId="0" shapeId="0" xr:uid="{00000000-0006-0000-0300-0000AE0D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3" authorId="0" shapeId="0" xr:uid="{00000000-0006-0000-0300-0000AF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3" authorId="0" shapeId="0" xr:uid="{00000000-0006-0000-0300-0000B0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3" authorId="0" shapeId="0" xr:uid="{00000000-0006-0000-0300-0000B1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3" authorId="0" shapeId="0" xr:uid="{00000000-0006-0000-0300-0000B2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3" authorId="0" shapeId="0" xr:uid="{00000000-0006-0000-0300-0000B3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3" authorId="0" shapeId="0" xr:uid="{00000000-0006-0000-0300-0000B4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3" authorId="0" shapeId="0" xr:uid="{00000000-0006-0000-0300-0000B5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3" authorId="0" shapeId="0" xr:uid="{00000000-0006-0000-0300-0000B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3" authorId="0" shapeId="0" xr:uid="{00000000-0006-0000-0300-0000B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3" authorId="0" shapeId="0" xr:uid="{00000000-0006-0000-0300-0000B8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3" authorId="0" shapeId="0" xr:uid="{00000000-0006-0000-0300-0000B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3" authorId="0" shapeId="0" xr:uid="{00000000-0006-0000-0300-0000B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3" authorId="0" shapeId="0" xr:uid="{00000000-0006-0000-0300-0000BB0D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3" authorId="0" shapeId="0" xr:uid="{00000000-0006-0000-0300-0000BC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3" authorId="0" shapeId="0" xr:uid="{00000000-0006-0000-0300-0000BD0D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3" authorId="0" shapeId="0" xr:uid="{00000000-0006-0000-0300-0000BE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3" authorId="0" shapeId="0" xr:uid="{00000000-0006-0000-0300-0000BF0D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3" authorId="0" shapeId="0" xr:uid="{00000000-0006-0000-0300-0000C0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3" authorId="0" shapeId="0" xr:uid="{00000000-0006-0000-0300-0000C10D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3" authorId="0" shapeId="0" xr:uid="{00000000-0006-0000-0300-0000C20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3" authorId="0" shapeId="0" xr:uid="{00000000-0006-0000-0300-0000C30D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3" authorId="0" shapeId="0" xr:uid="{00000000-0006-0000-0300-0000C40D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3" authorId="0" shapeId="0" xr:uid="{00000000-0006-0000-0300-0000C50D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3" authorId="0" shapeId="0" xr:uid="{00000000-0006-0000-0300-0000C60D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3" authorId="0" shapeId="0" xr:uid="{00000000-0006-0000-0300-0000C70D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3" authorId="0" shapeId="0" xr:uid="{00000000-0006-0000-0300-0000C8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3" authorId="0" shapeId="0" xr:uid="{00000000-0006-0000-0300-0000C9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3" authorId="0" shapeId="0" xr:uid="{00000000-0006-0000-0300-0000CA0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3" authorId="0" shapeId="0" xr:uid="{00000000-0006-0000-0300-0000CB0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3" authorId="0" shapeId="0" xr:uid="{00000000-0006-0000-0300-0000CC0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3" authorId="0" shapeId="0" xr:uid="{00000000-0006-0000-0300-0000CD0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3" authorId="0" shapeId="0" xr:uid="{00000000-0006-0000-0300-0000CE0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3" authorId="0" shapeId="0" xr:uid="{00000000-0006-0000-0300-0000CF0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3" authorId="0" shapeId="0" xr:uid="{00000000-0006-0000-0300-0000D0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3" authorId="0" shapeId="0" xr:uid="{00000000-0006-0000-0300-0000D10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4" authorId="0" shapeId="0" xr:uid="{00000000-0006-0000-0300-0000D20D0000}">
      <text>
        <r>
          <rPr>
            <sz val="9"/>
            <color indexed="81"/>
            <rFont val="Tahoma"/>
            <charset val="1"/>
          </rPr>
          <t>Date macro run: 1/8/2018 9:54:01 PM</t>
        </r>
      </text>
    </comment>
    <comment ref="B74" authorId="0" shapeId="0" xr:uid="{00000000-0006-0000-0300-0000D30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4" authorId="0" shapeId="0" xr:uid="{00000000-0006-0000-0300-0000D40D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4" authorId="0" shapeId="0" xr:uid="{00000000-0006-0000-0300-0000D50D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4" authorId="0" shapeId="0" xr:uid="{00000000-0006-0000-0300-0000D60D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4" authorId="0" shapeId="0" xr:uid="{00000000-0006-0000-0300-0000D70D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4" authorId="0" shapeId="0" xr:uid="{00000000-0006-0000-0300-0000D80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4" authorId="0" shapeId="0" xr:uid="{00000000-0006-0000-0300-0000D90D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4" authorId="0" shapeId="0" xr:uid="{00000000-0006-0000-0300-0000DA0D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4" authorId="0" shapeId="0" xr:uid="{00000000-0006-0000-0300-0000DB0D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4" authorId="0" shapeId="0" xr:uid="{00000000-0006-0000-0300-0000D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4" authorId="0" shapeId="0" xr:uid="{00000000-0006-0000-0300-0000DD0D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4" authorId="0" shapeId="0" xr:uid="{00000000-0006-0000-0300-0000DE0D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4" authorId="0" shapeId="0" xr:uid="{00000000-0006-0000-0300-0000DF0D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4" authorId="0" shapeId="0" xr:uid="{00000000-0006-0000-0300-0000E00D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4" authorId="0" shapeId="0" xr:uid="{00000000-0006-0000-0300-0000E10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4" authorId="0" shapeId="0" xr:uid="{00000000-0006-0000-0300-0000E2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4" authorId="0" shapeId="0" xr:uid="{00000000-0006-0000-0300-0000E30D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4" authorId="0" shapeId="0" xr:uid="{00000000-0006-0000-0300-0000E40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4" authorId="0" shapeId="0" xr:uid="{00000000-0006-0000-0300-0000E50D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4" authorId="0" shapeId="0" xr:uid="{00000000-0006-0000-0300-0000E6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4" authorId="0" shapeId="0" xr:uid="{00000000-0006-0000-0300-0000E7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4" authorId="0" shapeId="0" xr:uid="{00000000-0006-0000-0300-0000E80D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4" authorId="0" shapeId="0" xr:uid="{00000000-0006-0000-0300-0000E9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4" authorId="0" shapeId="0" xr:uid="{00000000-0006-0000-0300-0000EA0D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4" authorId="0" shapeId="0" xr:uid="{00000000-0006-0000-0300-0000EB0D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4" authorId="0" shapeId="0" xr:uid="{00000000-0006-0000-0300-0000EC0D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4" authorId="0" shapeId="0" xr:uid="{00000000-0006-0000-0300-0000ED0D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4" authorId="0" shapeId="0" xr:uid="{00000000-0006-0000-0300-0000EE0D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4" authorId="0" shapeId="0" xr:uid="{00000000-0006-0000-0300-0000EF0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4" authorId="0" shapeId="0" xr:uid="{00000000-0006-0000-0300-0000F00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4" authorId="0" shapeId="0" xr:uid="{00000000-0006-0000-0300-0000F10D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4" authorId="0" shapeId="0" xr:uid="{00000000-0006-0000-0300-0000F20D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4" authorId="0" shapeId="0" xr:uid="{00000000-0006-0000-0300-0000F30D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4" authorId="0" shapeId="0" xr:uid="{00000000-0006-0000-0300-0000F40D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4" authorId="0" shapeId="0" xr:uid="{00000000-0006-0000-0300-0000F50D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4" authorId="0" shapeId="0" xr:uid="{00000000-0006-0000-0300-0000F6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4" authorId="0" shapeId="0" xr:uid="{00000000-0006-0000-0300-0000F7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4" authorId="0" shapeId="0" xr:uid="{00000000-0006-0000-0300-0000F8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4" authorId="0" shapeId="0" xr:uid="{00000000-0006-0000-0300-0000F9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4" authorId="0" shapeId="0" xr:uid="{00000000-0006-0000-0300-0000FA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4" authorId="0" shapeId="0" xr:uid="{00000000-0006-0000-0300-0000FB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4" authorId="0" shapeId="0" xr:uid="{00000000-0006-0000-0300-0000FC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4" authorId="0" shapeId="0" xr:uid="{00000000-0006-0000-0300-0000FD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4" authorId="0" shapeId="0" xr:uid="{00000000-0006-0000-0300-0000FE0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4" authorId="0" shapeId="0" xr:uid="{00000000-0006-0000-0300-0000FF0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4" authorId="0" shapeId="0" xr:uid="{00000000-0006-0000-0300-00000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4" authorId="0" shapeId="0" xr:uid="{00000000-0006-0000-0300-00000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4" authorId="0" shapeId="0" xr:uid="{00000000-0006-0000-0300-000002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4" authorId="0" shapeId="0" xr:uid="{00000000-0006-0000-0300-000003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4" authorId="0" shapeId="0" xr:uid="{00000000-0006-0000-0300-0000040E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4" authorId="0" shapeId="0" xr:uid="{00000000-0006-0000-0300-000005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4" authorId="0" shapeId="0" xr:uid="{00000000-0006-0000-0300-0000060E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4" authorId="0" shapeId="0" xr:uid="{00000000-0006-0000-0300-000007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4" authorId="0" shapeId="0" xr:uid="{00000000-0006-0000-0300-0000080E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4" authorId="0" shapeId="0" xr:uid="{00000000-0006-0000-0300-000009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4" authorId="0" shapeId="0" xr:uid="{00000000-0006-0000-0300-00000A0E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4" authorId="0" shapeId="0" xr:uid="{00000000-0006-0000-0300-00000B0E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4" authorId="0" shapeId="0" xr:uid="{00000000-0006-0000-0300-00000C0E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4" authorId="0" shapeId="0" xr:uid="{00000000-0006-0000-0300-00000D0E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4" authorId="0" shapeId="0" xr:uid="{00000000-0006-0000-0300-00000E0E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4" authorId="0" shapeId="0" xr:uid="{00000000-0006-0000-0300-00000F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4" authorId="0" shapeId="0" xr:uid="{00000000-0006-0000-0300-000010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4" authorId="0" shapeId="0" xr:uid="{00000000-0006-0000-0300-000011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4" authorId="0" shapeId="0" xr:uid="{00000000-0006-0000-0300-0000120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4" authorId="0" shapeId="0" xr:uid="{00000000-0006-0000-0300-0000130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4" authorId="0" shapeId="0" xr:uid="{00000000-0006-0000-0300-0000140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4" authorId="0" shapeId="0" xr:uid="{00000000-0006-0000-0300-0000150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4" authorId="0" shapeId="0" xr:uid="{00000000-0006-0000-0300-000016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4" authorId="0" shapeId="0" xr:uid="{00000000-0006-0000-0300-000017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4" authorId="0" shapeId="0" xr:uid="{00000000-0006-0000-0300-0000180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5" authorId="0" shapeId="0" xr:uid="{00000000-0006-0000-0300-0000190E0000}">
      <text>
        <r>
          <rPr>
            <sz val="9"/>
            <color indexed="81"/>
            <rFont val="Tahoma"/>
            <charset val="1"/>
          </rPr>
          <t>Date macro run: 1/10/2018 10:29:33 PM</t>
        </r>
      </text>
    </comment>
    <comment ref="B75" authorId="0" shapeId="0" xr:uid="{00000000-0006-0000-0300-00001A0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5" authorId="0" shapeId="0" xr:uid="{00000000-0006-0000-0300-00001B0E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5" authorId="0" shapeId="0" xr:uid="{00000000-0006-0000-0300-00001C0E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5" authorId="0" shapeId="0" xr:uid="{00000000-0006-0000-0300-00001D0E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5" authorId="0" shapeId="0" xr:uid="{00000000-0006-0000-0300-00001E0E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5" authorId="0" shapeId="0" xr:uid="{00000000-0006-0000-0300-00001F0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5" authorId="0" shapeId="0" xr:uid="{00000000-0006-0000-0300-0000200E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5" authorId="0" shapeId="0" xr:uid="{00000000-0006-0000-0300-0000210E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5" authorId="0" shapeId="0" xr:uid="{00000000-0006-0000-0300-0000220E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5" authorId="0" shapeId="0" xr:uid="{00000000-0006-0000-0300-00002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5" authorId="0" shapeId="0" xr:uid="{00000000-0006-0000-0300-0000240E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5" authorId="0" shapeId="0" xr:uid="{00000000-0006-0000-0300-0000250E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5" authorId="0" shapeId="0" xr:uid="{00000000-0006-0000-0300-0000260E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5" authorId="0" shapeId="0" xr:uid="{00000000-0006-0000-0300-0000270E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5" authorId="0" shapeId="0" xr:uid="{00000000-0006-0000-0300-000028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5" authorId="0" shapeId="0" xr:uid="{00000000-0006-0000-0300-000029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5" authorId="0" shapeId="0" xr:uid="{00000000-0006-0000-0300-00002A0E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5" authorId="0" shapeId="0" xr:uid="{00000000-0006-0000-0300-00002B0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5" authorId="0" shapeId="0" xr:uid="{00000000-0006-0000-0300-00002C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5" authorId="0" shapeId="0" xr:uid="{00000000-0006-0000-0300-00002D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5" authorId="0" shapeId="0" xr:uid="{00000000-0006-0000-0300-00002E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5" authorId="0" shapeId="0" xr:uid="{00000000-0006-0000-0300-00002F0E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5" authorId="0" shapeId="0" xr:uid="{00000000-0006-0000-0300-000030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5" authorId="0" shapeId="0" xr:uid="{00000000-0006-0000-0300-000031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5" authorId="0" shapeId="0" xr:uid="{00000000-0006-0000-0300-0000320E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5" authorId="0" shapeId="0" xr:uid="{00000000-0006-0000-0300-0000330E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5" authorId="0" shapeId="0" xr:uid="{00000000-0006-0000-0300-0000340E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5" authorId="0" shapeId="0" xr:uid="{00000000-0006-0000-0300-0000350E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5" authorId="0" shapeId="0" xr:uid="{00000000-0006-0000-0300-000036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5" authorId="0" shapeId="0" xr:uid="{00000000-0006-0000-0300-000037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5" authorId="0" shapeId="0" xr:uid="{00000000-0006-0000-0300-0000380E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5" authorId="0" shapeId="0" xr:uid="{00000000-0006-0000-0300-0000390E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5" authorId="0" shapeId="0" xr:uid="{00000000-0006-0000-0300-00003A0E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5" authorId="0" shapeId="0" xr:uid="{00000000-0006-0000-0300-00003B0E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5" authorId="0" shapeId="0" xr:uid="{00000000-0006-0000-0300-00003C0E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5" authorId="0" shapeId="0" xr:uid="{00000000-0006-0000-0300-00003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5" authorId="0" shapeId="0" xr:uid="{00000000-0006-0000-0300-00003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5" authorId="0" shapeId="0" xr:uid="{00000000-0006-0000-0300-00003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5" authorId="0" shapeId="0" xr:uid="{00000000-0006-0000-0300-00004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5" authorId="0" shapeId="0" xr:uid="{00000000-0006-0000-0300-00004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5" authorId="0" shapeId="0" xr:uid="{00000000-0006-0000-0300-00004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5" authorId="0" shapeId="0" xr:uid="{00000000-0006-0000-0300-00004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5" authorId="0" shapeId="0" xr:uid="{00000000-0006-0000-0300-00004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5" authorId="0" shapeId="0" xr:uid="{00000000-0006-0000-0300-00004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5" authorId="0" shapeId="0" xr:uid="{00000000-0006-0000-0300-000046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5" authorId="0" shapeId="0" xr:uid="{00000000-0006-0000-0300-00004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5" authorId="0" shapeId="0" xr:uid="{00000000-0006-0000-0300-00004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5" authorId="0" shapeId="0" xr:uid="{00000000-0006-0000-0300-000049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5" authorId="0" shapeId="0" xr:uid="{00000000-0006-0000-0300-00004A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5" authorId="0" shapeId="0" xr:uid="{00000000-0006-0000-0300-00004B0E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5" authorId="0" shapeId="0" xr:uid="{00000000-0006-0000-0300-00004C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5" authorId="0" shapeId="0" xr:uid="{00000000-0006-0000-0300-00004D0E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5" authorId="0" shapeId="0" xr:uid="{00000000-0006-0000-0300-00004E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5" authorId="0" shapeId="0" xr:uid="{00000000-0006-0000-0300-00004F0E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5" authorId="0" shapeId="0" xr:uid="{00000000-0006-0000-0300-000050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5" authorId="0" shapeId="0" xr:uid="{00000000-0006-0000-0300-0000510E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5" authorId="0" shapeId="0" xr:uid="{00000000-0006-0000-0300-0000520E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5" authorId="0" shapeId="0" xr:uid="{00000000-0006-0000-0300-0000530E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5" authorId="0" shapeId="0" xr:uid="{00000000-0006-0000-0300-0000540E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5" authorId="0" shapeId="0" xr:uid="{00000000-0006-0000-0300-0000550E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5" authorId="0" shapeId="0" xr:uid="{00000000-0006-0000-0300-000056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5" authorId="0" shapeId="0" xr:uid="{00000000-0006-0000-0300-000057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5" authorId="0" shapeId="0" xr:uid="{00000000-0006-0000-0300-000058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5" authorId="0" shapeId="0" xr:uid="{00000000-0006-0000-0300-0000590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5" authorId="0" shapeId="0" xr:uid="{00000000-0006-0000-0300-00005A0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5" authorId="0" shapeId="0" xr:uid="{00000000-0006-0000-0300-00005B0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5" authorId="0" shapeId="0" xr:uid="{00000000-0006-0000-0300-00005C0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5" authorId="0" shapeId="0" xr:uid="{00000000-0006-0000-0300-00005D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5" authorId="0" shapeId="0" xr:uid="{00000000-0006-0000-0300-00005E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5" authorId="0" shapeId="0" xr:uid="{00000000-0006-0000-0300-00005F0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6" authorId="0" shapeId="0" xr:uid="{00000000-0006-0000-0300-0000600E0000}">
      <text>
        <r>
          <rPr>
            <sz val="9"/>
            <color indexed="81"/>
            <rFont val="Tahoma"/>
            <charset val="1"/>
          </rPr>
          <t>Date macro run: 1/11/2018 9:32:26 PM</t>
        </r>
      </text>
    </comment>
    <comment ref="B76" authorId="0" shapeId="0" xr:uid="{00000000-0006-0000-0300-0000610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6" authorId="0" shapeId="0" xr:uid="{00000000-0006-0000-0300-0000620E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6" authorId="0" shapeId="0" xr:uid="{00000000-0006-0000-0300-0000630E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6" authorId="0" shapeId="0" xr:uid="{00000000-0006-0000-0300-0000640E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6" authorId="0" shapeId="0" xr:uid="{00000000-0006-0000-0300-0000650E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6" authorId="0" shapeId="0" xr:uid="{00000000-0006-0000-0300-0000660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6" authorId="0" shapeId="0" xr:uid="{00000000-0006-0000-0300-0000670E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6" authorId="0" shapeId="0" xr:uid="{00000000-0006-0000-0300-0000680E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6" authorId="0" shapeId="0" xr:uid="{00000000-0006-0000-0300-0000690E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6" authorId="0" shapeId="0" xr:uid="{00000000-0006-0000-0300-00006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6" authorId="0" shapeId="0" xr:uid="{00000000-0006-0000-0300-00006B0E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6" authorId="0" shapeId="0" xr:uid="{00000000-0006-0000-0300-00006C0E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6" authorId="0" shapeId="0" xr:uid="{00000000-0006-0000-0300-00006D0E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6" authorId="0" shapeId="0" xr:uid="{00000000-0006-0000-0300-00006E0E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6" authorId="0" shapeId="0" xr:uid="{00000000-0006-0000-0300-00006F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6" authorId="0" shapeId="0" xr:uid="{00000000-0006-0000-0300-000070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6" authorId="0" shapeId="0" xr:uid="{00000000-0006-0000-0300-0000710E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6" authorId="0" shapeId="0" xr:uid="{00000000-0006-0000-0300-0000720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6" authorId="0" shapeId="0" xr:uid="{00000000-0006-0000-0300-000073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6" authorId="0" shapeId="0" xr:uid="{00000000-0006-0000-0300-000074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6" authorId="0" shapeId="0" xr:uid="{00000000-0006-0000-0300-000075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6" authorId="0" shapeId="0" xr:uid="{00000000-0006-0000-0300-0000760E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6" authorId="0" shapeId="0" xr:uid="{00000000-0006-0000-0300-000077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6" authorId="0" shapeId="0" xr:uid="{00000000-0006-0000-0300-000078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6" authorId="0" shapeId="0" xr:uid="{00000000-0006-0000-0300-0000790E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6" authorId="0" shapeId="0" xr:uid="{00000000-0006-0000-0300-00007A0E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6" authorId="0" shapeId="0" xr:uid="{00000000-0006-0000-0300-00007B0E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6" authorId="0" shapeId="0" xr:uid="{00000000-0006-0000-0300-00007C0E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6" authorId="0" shapeId="0" xr:uid="{00000000-0006-0000-0300-00007D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6" authorId="0" shapeId="0" xr:uid="{00000000-0006-0000-0300-00007E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6" authorId="0" shapeId="0" xr:uid="{00000000-0006-0000-0300-00007F0E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6" authorId="0" shapeId="0" xr:uid="{00000000-0006-0000-0300-0000800E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6" authorId="0" shapeId="0" xr:uid="{00000000-0006-0000-0300-0000810E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6" authorId="0" shapeId="0" xr:uid="{00000000-0006-0000-0300-0000820E0000}">
      <text>
        <r>
          <rPr>
            <sz val="9"/>
            <color indexed="81"/>
            <rFont val="Tahoma"/>
            <charset val="1"/>
          </rPr>
          <t>Stability=,Expiration=1/9/2018</t>
        </r>
      </text>
    </comment>
    <comment ref="AJ76" authorId="0" shapeId="0" xr:uid="{00000000-0006-0000-0300-0000830E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6" authorId="0" shapeId="0" xr:uid="{00000000-0006-0000-0300-000084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6" authorId="0" shapeId="0" xr:uid="{00000000-0006-0000-0300-00008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6" authorId="0" shapeId="0" xr:uid="{00000000-0006-0000-0300-00008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6" authorId="0" shapeId="0" xr:uid="{00000000-0006-0000-0300-000087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6" authorId="0" shapeId="0" xr:uid="{00000000-0006-0000-0300-00008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6" authorId="0" shapeId="0" xr:uid="{00000000-0006-0000-0300-000089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6" authorId="0" shapeId="0" xr:uid="{00000000-0006-0000-0300-00008A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6" authorId="0" shapeId="0" xr:uid="{00000000-0006-0000-0300-00008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6" authorId="0" shapeId="0" xr:uid="{00000000-0006-0000-0300-00008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6" authorId="0" shapeId="0" xr:uid="{00000000-0006-0000-0300-00008D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6" authorId="0" shapeId="0" xr:uid="{00000000-0006-0000-0300-00008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6" authorId="0" shapeId="0" xr:uid="{00000000-0006-0000-0300-00008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6" authorId="0" shapeId="0" xr:uid="{00000000-0006-0000-0300-000090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6" authorId="0" shapeId="0" xr:uid="{00000000-0006-0000-0300-000091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6" authorId="0" shapeId="0" xr:uid="{00000000-0006-0000-0300-0000920E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6" authorId="0" shapeId="0" xr:uid="{00000000-0006-0000-0300-000093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6" authorId="0" shapeId="0" xr:uid="{00000000-0006-0000-0300-0000940E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6" authorId="0" shapeId="0" xr:uid="{00000000-0006-0000-0300-000095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6" authorId="0" shapeId="0" xr:uid="{00000000-0006-0000-0300-0000960E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6" authorId="0" shapeId="0" xr:uid="{00000000-0006-0000-0300-000097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6" authorId="0" shapeId="0" xr:uid="{00000000-0006-0000-0300-0000980E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6" authorId="0" shapeId="0" xr:uid="{00000000-0006-0000-0300-0000990E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6" authorId="0" shapeId="0" xr:uid="{00000000-0006-0000-0300-00009A0E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6" authorId="0" shapeId="0" xr:uid="{00000000-0006-0000-0300-00009B0E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6" authorId="0" shapeId="0" xr:uid="{00000000-0006-0000-0300-00009C0E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6" authorId="0" shapeId="0" xr:uid="{00000000-0006-0000-0300-00009D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6" authorId="0" shapeId="0" xr:uid="{00000000-0006-0000-0300-00009E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6" authorId="0" shapeId="0" xr:uid="{00000000-0006-0000-0300-00009F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6" authorId="0" shapeId="0" xr:uid="{00000000-0006-0000-0300-0000A00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6" authorId="0" shapeId="0" xr:uid="{00000000-0006-0000-0300-0000A10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6" authorId="0" shapeId="0" xr:uid="{00000000-0006-0000-0300-0000A20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6" authorId="0" shapeId="0" xr:uid="{00000000-0006-0000-0300-0000A30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6" authorId="0" shapeId="0" xr:uid="{00000000-0006-0000-0300-0000A4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6" authorId="0" shapeId="0" xr:uid="{00000000-0006-0000-0300-0000A5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6" authorId="0" shapeId="0" xr:uid="{00000000-0006-0000-0300-0000A60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7" authorId="0" shapeId="0" xr:uid="{00000000-0006-0000-0300-0000A70E0000}">
      <text>
        <r>
          <rPr>
            <sz val="9"/>
            <color indexed="81"/>
            <rFont val="Tahoma"/>
            <charset val="1"/>
          </rPr>
          <t>Date macro run: 1/15/2018 10:05:01 PM</t>
        </r>
      </text>
    </comment>
    <comment ref="B77" authorId="0" shapeId="0" xr:uid="{00000000-0006-0000-0300-0000A80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7" authorId="0" shapeId="0" xr:uid="{00000000-0006-0000-0300-0000A90E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7" authorId="0" shapeId="0" xr:uid="{00000000-0006-0000-0300-0000AA0E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7" authorId="0" shapeId="0" xr:uid="{00000000-0006-0000-0300-0000AB0E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7" authorId="0" shapeId="0" xr:uid="{00000000-0006-0000-0300-0000AC0E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7" authorId="0" shapeId="0" xr:uid="{00000000-0006-0000-0300-0000AD0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7" authorId="0" shapeId="0" xr:uid="{00000000-0006-0000-0300-0000AE0E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7" authorId="0" shapeId="0" xr:uid="{00000000-0006-0000-0300-0000AF0E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7" authorId="0" shapeId="0" xr:uid="{00000000-0006-0000-0300-0000B00E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7" authorId="0" shapeId="0" xr:uid="{00000000-0006-0000-0300-0000B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7" authorId="0" shapeId="0" xr:uid="{00000000-0006-0000-0300-0000B20E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7" authorId="0" shapeId="0" xr:uid="{00000000-0006-0000-0300-0000B30E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7" authorId="0" shapeId="0" xr:uid="{00000000-0006-0000-0300-0000B40E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7" authorId="0" shapeId="0" xr:uid="{00000000-0006-0000-0300-0000B50E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7" authorId="0" shapeId="0" xr:uid="{00000000-0006-0000-0300-0000B6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7" authorId="0" shapeId="0" xr:uid="{00000000-0006-0000-0300-0000B7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7" authorId="0" shapeId="0" xr:uid="{00000000-0006-0000-0300-0000B80E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7" authorId="0" shapeId="0" xr:uid="{00000000-0006-0000-0300-0000B90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7" authorId="0" shapeId="0" xr:uid="{00000000-0006-0000-0300-0000BA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7" authorId="0" shapeId="0" xr:uid="{00000000-0006-0000-0300-0000BB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7" authorId="0" shapeId="0" xr:uid="{00000000-0006-0000-0300-0000BC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7" authorId="0" shapeId="0" xr:uid="{00000000-0006-0000-0300-0000BD0E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7" authorId="0" shapeId="0" xr:uid="{00000000-0006-0000-0300-0000BE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7" authorId="0" shapeId="0" xr:uid="{00000000-0006-0000-0300-0000BF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7" authorId="0" shapeId="0" xr:uid="{00000000-0006-0000-0300-0000C00E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7" authorId="0" shapeId="0" xr:uid="{00000000-0006-0000-0300-0000C10E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7" authorId="0" shapeId="0" xr:uid="{00000000-0006-0000-0300-0000C20E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7" authorId="0" shapeId="0" xr:uid="{00000000-0006-0000-0300-0000C30E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7" authorId="0" shapeId="0" xr:uid="{00000000-0006-0000-0300-0000C4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7" authorId="0" shapeId="0" xr:uid="{00000000-0006-0000-0300-0000C5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7" authorId="0" shapeId="0" xr:uid="{00000000-0006-0000-0300-0000C60E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7" authorId="0" shapeId="0" xr:uid="{00000000-0006-0000-0300-0000C70E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7" authorId="0" shapeId="0" xr:uid="{00000000-0006-0000-0300-0000C80E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7" authorId="0" shapeId="0" xr:uid="{00000000-0006-0000-0300-0000C90E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77" authorId="0" shapeId="0" xr:uid="{00000000-0006-0000-0300-0000CA0E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7" authorId="0" shapeId="0" xr:uid="{00000000-0006-0000-0300-0000CB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7" authorId="0" shapeId="0" xr:uid="{00000000-0006-0000-0300-0000CC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7" authorId="0" shapeId="0" xr:uid="{00000000-0006-0000-0300-0000CD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7" authorId="0" shapeId="0" xr:uid="{00000000-0006-0000-0300-0000CE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7" authorId="0" shapeId="0" xr:uid="{00000000-0006-0000-0300-0000CF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7" authorId="0" shapeId="0" xr:uid="{00000000-0006-0000-0300-0000D0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7" authorId="0" shapeId="0" xr:uid="{00000000-0006-0000-0300-0000D1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7" authorId="0" shapeId="0" xr:uid="{00000000-0006-0000-0300-0000D2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7" authorId="0" shapeId="0" xr:uid="{00000000-0006-0000-0300-0000D3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7" authorId="0" shapeId="0" xr:uid="{00000000-0006-0000-0300-0000D40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7" authorId="0" shapeId="0" xr:uid="{00000000-0006-0000-0300-0000D5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7" authorId="0" shapeId="0" xr:uid="{00000000-0006-0000-0300-0000D6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7" authorId="0" shapeId="0" xr:uid="{00000000-0006-0000-0300-0000D70E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7" authorId="0" shapeId="0" xr:uid="{00000000-0006-0000-0300-0000D8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7" authorId="0" shapeId="0" xr:uid="{00000000-0006-0000-0300-0000D90E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7" authorId="0" shapeId="0" xr:uid="{00000000-0006-0000-0300-0000DA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7" authorId="0" shapeId="0" xr:uid="{00000000-0006-0000-0300-0000DB0E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7" authorId="0" shapeId="0" xr:uid="{00000000-0006-0000-0300-0000DC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7" authorId="0" shapeId="0" xr:uid="{00000000-0006-0000-0300-0000DD0E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7" authorId="0" shapeId="0" xr:uid="{00000000-0006-0000-0300-0000DE0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7" authorId="0" shapeId="0" xr:uid="{00000000-0006-0000-0300-0000DF0E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7" authorId="0" shapeId="0" xr:uid="{00000000-0006-0000-0300-0000E00E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7" authorId="0" shapeId="0" xr:uid="{00000000-0006-0000-0300-0000E10E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7" authorId="0" shapeId="0" xr:uid="{00000000-0006-0000-0300-0000E20E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7" authorId="0" shapeId="0" xr:uid="{00000000-0006-0000-0300-0000E30E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7" authorId="0" shapeId="0" xr:uid="{00000000-0006-0000-0300-0000E40E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7" authorId="0" shapeId="0" xr:uid="{00000000-0006-0000-0300-0000E5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7" authorId="0" shapeId="0" xr:uid="{00000000-0006-0000-0300-0000E60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7" authorId="0" shapeId="0" xr:uid="{00000000-0006-0000-0300-0000E70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7" authorId="0" shapeId="0" xr:uid="{00000000-0006-0000-0300-0000E80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7" authorId="0" shapeId="0" xr:uid="{00000000-0006-0000-0300-0000E90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7" authorId="0" shapeId="0" xr:uid="{00000000-0006-0000-0300-0000EA0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7" authorId="0" shapeId="0" xr:uid="{00000000-0006-0000-0300-0000EB0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7" authorId="0" shapeId="0" xr:uid="{00000000-0006-0000-0300-0000EC0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7" authorId="0" shapeId="0" xr:uid="{00000000-0006-0000-0300-0000ED0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8" authorId="0" shapeId="0" xr:uid="{00000000-0006-0000-0300-0000EE0E0000}">
      <text>
        <r>
          <rPr>
            <sz val="9"/>
            <color indexed="81"/>
            <rFont val="Tahoma"/>
            <charset val="1"/>
          </rPr>
          <t>Date macro run: 1/17/2018 10:30:23 PM</t>
        </r>
      </text>
    </comment>
    <comment ref="B78" authorId="0" shapeId="0" xr:uid="{00000000-0006-0000-0300-0000EF0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8" authorId="0" shapeId="0" xr:uid="{00000000-0006-0000-0300-0000F00E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8" authorId="0" shapeId="0" xr:uid="{00000000-0006-0000-0300-0000F10E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8" authorId="0" shapeId="0" xr:uid="{00000000-0006-0000-0300-0000F20E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8" authorId="0" shapeId="0" xr:uid="{00000000-0006-0000-0300-0000F30E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8" authorId="0" shapeId="0" xr:uid="{00000000-0006-0000-0300-0000F40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8" authorId="0" shapeId="0" xr:uid="{00000000-0006-0000-0300-0000F50E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8" authorId="0" shapeId="0" xr:uid="{00000000-0006-0000-0300-0000F60E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8" authorId="0" shapeId="0" xr:uid="{00000000-0006-0000-0300-0000F70E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8" authorId="0" shapeId="0" xr:uid="{00000000-0006-0000-0300-0000F80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8" authorId="0" shapeId="0" xr:uid="{00000000-0006-0000-0300-0000F90E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8" authorId="0" shapeId="0" xr:uid="{00000000-0006-0000-0300-0000FA0E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8" authorId="0" shapeId="0" xr:uid="{00000000-0006-0000-0300-0000FB0E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8" authorId="0" shapeId="0" xr:uid="{00000000-0006-0000-0300-0000FC0E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8" authorId="0" shapeId="0" xr:uid="{00000000-0006-0000-0300-0000FD0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8" authorId="0" shapeId="0" xr:uid="{00000000-0006-0000-0300-0000FE0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8" authorId="0" shapeId="0" xr:uid="{00000000-0006-0000-0300-0000FF0E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8" authorId="0" shapeId="0" xr:uid="{00000000-0006-0000-0300-0000000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8" authorId="0" shapeId="0" xr:uid="{00000000-0006-0000-0300-000001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8" authorId="0" shapeId="0" xr:uid="{00000000-0006-0000-0300-000002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8" authorId="0" shapeId="0" xr:uid="{00000000-0006-0000-0300-000003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8" authorId="0" shapeId="0" xr:uid="{00000000-0006-0000-0300-0000040F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8" authorId="0" shapeId="0" xr:uid="{00000000-0006-0000-0300-000005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8" authorId="0" shapeId="0" xr:uid="{00000000-0006-0000-0300-000006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8" authorId="0" shapeId="0" xr:uid="{00000000-0006-0000-0300-0000070F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8" authorId="0" shapeId="0" xr:uid="{00000000-0006-0000-0300-0000080F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8" authorId="0" shapeId="0" xr:uid="{00000000-0006-0000-0300-0000090F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8" authorId="0" shapeId="0" xr:uid="{00000000-0006-0000-0300-00000A0F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8" authorId="0" shapeId="0" xr:uid="{00000000-0006-0000-0300-00000B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8" authorId="0" shapeId="0" xr:uid="{00000000-0006-0000-0300-00000C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8" authorId="0" shapeId="0" xr:uid="{00000000-0006-0000-0300-00000D0F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8" authorId="0" shapeId="0" xr:uid="{00000000-0006-0000-0300-00000E0F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8" authorId="0" shapeId="0" xr:uid="{00000000-0006-0000-0300-00000F0F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8" authorId="0" shapeId="0" xr:uid="{00000000-0006-0000-0300-0000100F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78" authorId="0" shapeId="0" xr:uid="{00000000-0006-0000-0300-0000110F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8" authorId="0" shapeId="0" xr:uid="{00000000-0006-0000-0300-00001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8" authorId="0" shapeId="0" xr:uid="{00000000-0006-0000-0300-00001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8" authorId="0" shapeId="0" xr:uid="{00000000-0006-0000-0300-00001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8" authorId="0" shapeId="0" xr:uid="{00000000-0006-0000-0300-00001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8" authorId="0" shapeId="0" xr:uid="{00000000-0006-0000-0300-00001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8" authorId="0" shapeId="0" xr:uid="{00000000-0006-0000-0300-00001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8" authorId="0" shapeId="0" xr:uid="{00000000-0006-0000-0300-00001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8" authorId="0" shapeId="0" xr:uid="{00000000-0006-0000-0300-00001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8" authorId="0" shapeId="0" xr:uid="{00000000-0006-0000-0300-00001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8" authorId="0" shapeId="0" xr:uid="{00000000-0006-0000-0300-00001B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8" authorId="0" shapeId="0" xr:uid="{00000000-0006-0000-0300-00001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8" authorId="0" shapeId="0" xr:uid="{00000000-0006-0000-0300-00001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8" authorId="0" shapeId="0" xr:uid="{00000000-0006-0000-0300-00001E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8" authorId="0" shapeId="0" xr:uid="{00000000-0006-0000-0300-00001F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8" authorId="0" shapeId="0" xr:uid="{00000000-0006-0000-0300-0000200F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8" authorId="0" shapeId="0" xr:uid="{00000000-0006-0000-0300-000021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8" authorId="0" shapeId="0" xr:uid="{00000000-0006-0000-0300-0000220F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8" authorId="0" shapeId="0" xr:uid="{00000000-0006-0000-0300-000023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8" authorId="0" shapeId="0" xr:uid="{00000000-0006-0000-0300-0000240F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8" authorId="0" shapeId="0" xr:uid="{00000000-0006-0000-0300-000025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8" authorId="0" shapeId="0" xr:uid="{00000000-0006-0000-0300-0000260F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8" authorId="0" shapeId="0" xr:uid="{00000000-0006-0000-0300-0000270F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8" authorId="0" shapeId="0" xr:uid="{00000000-0006-0000-0300-0000280F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8" authorId="0" shapeId="0" xr:uid="{00000000-0006-0000-0300-0000290F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8" authorId="0" shapeId="0" xr:uid="{00000000-0006-0000-0300-00002A0F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8" authorId="0" shapeId="0" xr:uid="{00000000-0006-0000-0300-00002B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8" authorId="0" shapeId="0" xr:uid="{00000000-0006-0000-0300-00002C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8" authorId="0" shapeId="0" xr:uid="{00000000-0006-0000-0300-00002D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8" authorId="0" shapeId="0" xr:uid="{00000000-0006-0000-0300-00002E0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8" authorId="0" shapeId="0" xr:uid="{00000000-0006-0000-0300-00002F0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8" authorId="0" shapeId="0" xr:uid="{00000000-0006-0000-0300-0000300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8" authorId="0" shapeId="0" xr:uid="{00000000-0006-0000-0300-0000310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8" authorId="0" shapeId="0" xr:uid="{00000000-0006-0000-0300-000032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8" authorId="0" shapeId="0" xr:uid="{00000000-0006-0000-0300-000033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8" authorId="0" shapeId="0" xr:uid="{00000000-0006-0000-0300-0000340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79" authorId="0" shapeId="0" xr:uid="{00000000-0006-0000-0300-0000350F0000}">
      <text>
        <r>
          <rPr>
            <sz val="9"/>
            <color indexed="81"/>
            <rFont val="Tahoma"/>
            <charset val="1"/>
          </rPr>
          <t>Date macro run: 1/19/2018 9:11:15 PM</t>
        </r>
      </text>
    </comment>
    <comment ref="B79" authorId="0" shapeId="0" xr:uid="{00000000-0006-0000-0300-0000360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79" authorId="0" shapeId="0" xr:uid="{00000000-0006-0000-0300-0000370F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79" authorId="0" shapeId="0" xr:uid="{00000000-0006-0000-0300-0000380F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79" authorId="0" shapeId="0" xr:uid="{00000000-0006-0000-0300-0000390F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79" authorId="0" shapeId="0" xr:uid="{00000000-0006-0000-0300-00003A0F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79" authorId="0" shapeId="0" xr:uid="{00000000-0006-0000-0300-00003B0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79" authorId="0" shapeId="0" xr:uid="{00000000-0006-0000-0300-00003C0F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79" authorId="0" shapeId="0" xr:uid="{00000000-0006-0000-0300-00003D0F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79" authorId="0" shapeId="0" xr:uid="{00000000-0006-0000-0300-00003E0F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79" authorId="0" shapeId="0" xr:uid="{00000000-0006-0000-0300-00003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79" authorId="0" shapeId="0" xr:uid="{00000000-0006-0000-0300-0000400F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79" authorId="0" shapeId="0" xr:uid="{00000000-0006-0000-0300-0000410F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79" authorId="0" shapeId="0" xr:uid="{00000000-0006-0000-0300-0000420F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79" authorId="0" shapeId="0" xr:uid="{00000000-0006-0000-0300-0000430F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79" authorId="0" shapeId="0" xr:uid="{00000000-0006-0000-0300-000044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79" authorId="0" shapeId="0" xr:uid="{00000000-0006-0000-0300-000045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79" authorId="0" shapeId="0" xr:uid="{00000000-0006-0000-0300-0000460F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79" authorId="0" shapeId="0" xr:uid="{00000000-0006-0000-0300-0000470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79" authorId="0" shapeId="0" xr:uid="{00000000-0006-0000-0300-000048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79" authorId="0" shapeId="0" xr:uid="{00000000-0006-0000-0300-000049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79" authorId="0" shapeId="0" xr:uid="{00000000-0006-0000-0300-00004A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79" authorId="0" shapeId="0" xr:uid="{00000000-0006-0000-0300-00004B0F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79" authorId="0" shapeId="0" xr:uid="{00000000-0006-0000-0300-00004C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79" authorId="0" shapeId="0" xr:uid="{00000000-0006-0000-0300-00004D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79" authorId="0" shapeId="0" xr:uid="{00000000-0006-0000-0300-00004E0F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79" authorId="0" shapeId="0" xr:uid="{00000000-0006-0000-0300-00004F0F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79" authorId="0" shapeId="0" xr:uid="{00000000-0006-0000-0300-0000500F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79" authorId="0" shapeId="0" xr:uid="{00000000-0006-0000-0300-0000510F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79" authorId="0" shapeId="0" xr:uid="{00000000-0006-0000-0300-000052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79" authorId="0" shapeId="0" xr:uid="{00000000-0006-0000-0300-000053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79" authorId="0" shapeId="0" xr:uid="{00000000-0006-0000-0300-0000540F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79" authorId="0" shapeId="0" xr:uid="{00000000-0006-0000-0300-0000550F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79" authorId="0" shapeId="0" xr:uid="{00000000-0006-0000-0300-0000560F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79" authorId="0" shapeId="0" xr:uid="{00000000-0006-0000-0300-0000570F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79" authorId="0" shapeId="0" xr:uid="{00000000-0006-0000-0300-0000580F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79" authorId="0" shapeId="0" xr:uid="{00000000-0006-0000-0300-00005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79" authorId="0" shapeId="0" xr:uid="{00000000-0006-0000-0300-00005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79" authorId="0" shapeId="0" xr:uid="{00000000-0006-0000-0300-00005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79" authorId="0" shapeId="0" xr:uid="{00000000-0006-0000-0300-00005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79" authorId="0" shapeId="0" xr:uid="{00000000-0006-0000-0300-00005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79" authorId="0" shapeId="0" xr:uid="{00000000-0006-0000-0300-00005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79" authorId="0" shapeId="0" xr:uid="{00000000-0006-0000-0300-00005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79" authorId="0" shapeId="0" xr:uid="{00000000-0006-0000-0300-00006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79" authorId="0" shapeId="0" xr:uid="{00000000-0006-0000-0300-00006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79" authorId="0" shapeId="0" xr:uid="{00000000-0006-0000-0300-000062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79" authorId="0" shapeId="0" xr:uid="{00000000-0006-0000-0300-00006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79" authorId="0" shapeId="0" xr:uid="{00000000-0006-0000-0300-00006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79" authorId="0" shapeId="0" xr:uid="{00000000-0006-0000-0300-000065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79" authorId="0" shapeId="0" xr:uid="{00000000-0006-0000-0300-000066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79" authorId="0" shapeId="0" xr:uid="{00000000-0006-0000-0300-0000670F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79" authorId="0" shapeId="0" xr:uid="{00000000-0006-0000-0300-000068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79" authorId="0" shapeId="0" xr:uid="{00000000-0006-0000-0300-0000690F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79" authorId="0" shapeId="0" xr:uid="{00000000-0006-0000-0300-00006A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79" authorId="0" shapeId="0" xr:uid="{00000000-0006-0000-0300-00006B0F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79" authorId="0" shapeId="0" xr:uid="{00000000-0006-0000-0300-00006C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79" authorId="0" shapeId="0" xr:uid="{00000000-0006-0000-0300-00006D0F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79" authorId="0" shapeId="0" xr:uid="{00000000-0006-0000-0300-00006E0F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79" authorId="0" shapeId="0" xr:uid="{00000000-0006-0000-0300-00006F0F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79" authorId="0" shapeId="0" xr:uid="{00000000-0006-0000-0300-0000700F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79" authorId="0" shapeId="0" xr:uid="{00000000-0006-0000-0300-0000710F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79" authorId="0" shapeId="0" xr:uid="{00000000-0006-0000-0300-000072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79" authorId="0" shapeId="0" xr:uid="{00000000-0006-0000-0300-000073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79" authorId="0" shapeId="0" xr:uid="{00000000-0006-0000-0300-000074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79" authorId="0" shapeId="0" xr:uid="{00000000-0006-0000-0300-0000750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79" authorId="0" shapeId="0" xr:uid="{00000000-0006-0000-0300-0000760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79" authorId="0" shapeId="0" xr:uid="{00000000-0006-0000-0300-0000770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79" authorId="0" shapeId="0" xr:uid="{00000000-0006-0000-0300-0000780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79" authorId="0" shapeId="0" xr:uid="{00000000-0006-0000-0300-000079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79" authorId="0" shapeId="0" xr:uid="{00000000-0006-0000-0300-00007A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79" authorId="0" shapeId="0" xr:uid="{00000000-0006-0000-0300-00007B0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0" authorId="0" shapeId="0" xr:uid="{00000000-0006-0000-0300-00007C0F0000}">
      <text>
        <r>
          <rPr>
            <sz val="9"/>
            <color indexed="81"/>
            <rFont val="Tahoma"/>
            <charset val="1"/>
          </rPr>
          <t>Date macro run: 1/22/2018 10:13:29 PM</t>
        </r>
      </text>
    </comment>
    <comment ref="B80" authorId="0" shapeId="0" xr:uid="{00000000-0006-0000-0300-00007D0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0" authorId="0" shapeId="0" xr:uid="{00000000-0006-0000-0300-00007E0F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0" authorId="0" shapeId="0" xr:uid="{00000000-0006-0000-0300-00007F0F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0" authorId="0" shapeId="0" xr:uid="{00000000-0006-0000-0300-0000800F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0" authorId="0" shapeId="0" xr:uid="{00000000-0006-0000-0300-0000810F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0" authorId="0" shapeId="0" xr:uid="{00000000-0006-0000-0300-0000820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0" authorId="0" shapeId="0" xr:uid="{00000000-0006-0000-0300-0000830F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0" authorId="0" shapeId="0" xr:uid="{00000000-0006-0000-0300-0000840F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0" authorId="0" shapeId="0" xr:uid="{00000000-0006-0000-0300-0000850F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0" authorId="0" shapeId="0" xr:uid="{00000000-0006-0000-0300-00008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0" authorId="0" shapeId="0" xr:uid="{00000000-0006-0000-0300-0000870F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0" authorId="0" shapeId="0" xr:uid="{00000000-0006-0000-0300-0000880F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0" authorId="0" shapeId="0" xr:uid="{00000000-0006-0000-0300-0000890F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0" authorId="0" shapeId="0" xr:uid="{00000000-0006-0000-0300-00008A0F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0" authorId="0" shapeId="0" xr:uid="{00000000-0006-0000-0300-00008B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0" authorId="0" shapeId="0" xr:uid="{00000000-0006-0000-0300-00008C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0" authorId="0" shapeId="0" xr:uid="{00000000-0006-0000-0300-00008D0F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0" authorId="0" shapeId="0" xr:uid="{00000000-0006-0000-0300-00008E0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0" authorId="0" shapeId="0" xr:uid="{00000000-0006-0000-0300-00008F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0" authorId="0" shapeId="0" xr:uid="{00000000-0006-0000-0300-000090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0" authorId="0" shapeId="0" xr:uid="{00000000-0006-0000-0300-000091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0" authorId="0" shapeId="0" xr:uid="{00000000-0006-0000-0300-0000920F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0" authorId="0" shapeId="0" xr:uid="{00000000-0006-0000-0300-000093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0" authorId="0" shapeId="0" xr:uid="{00000000-0006-0000-0300-000094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0" authorId="0" shapeId="0" xr:uid="{00000000-0006-0000-0300-0000950F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0" authorId="0" shapeId="0" xr:uid="{00000000-0006-0000-0300-0000960F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0" authorId="0" shapeId="0" xr:uid="{00000000-0006-0000-0300-0000970F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0" authorId="0" shapeId="0" xr:uid="{00000000-0006-0000-0300-0000980F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0" authorId="0" shapeId="0" xr:uid="{00000000-0006-0000-0300-000099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0" authorId="0" shapeId="0" xr:uid="{00000000-0006-0000-0300-00009A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0" authorId="0" shapeId="0" xr:uid="{00000000-0006-0000-0300-00009B0F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0" authorId="0" shapeId="0" xr:uid="{00000000-0006-0000-0300-00009C0F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0" authorId="0" shapeId="0" xr:uid="{00000000-0006-0000-0300-00009D0F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0" authorId="0" shapeId="0" xr:uid="{00000000-0006-0000-0300-00009E0F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0" authorId="0" shapeId="0" xr:uid="{00000000-0006-0000-0300-00009F0F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0" authorId="0" shapeId="0" xr:uid="{00000000-0006-0000-0300-0000A0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0" authorId="0" shapeId="0" xr:uid="{00000000-0006-0000-0300-0000A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0" authorId="0" shapeId="0" xr:uid="{00000000-0006-0000-0300-0000A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0" authorId="0" shapeId="0" xr:uid="{00000000-0006-0000-0300-0000A3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0" authorId="0" shapeId="0" xr:uid="{00000000-0006-0000-0300-0000A4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0" authorId="0" shapeId="0" xr:uid="{00000000-0006-0000-0300-0000A5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0" authorId="0" shapeId="0" xr:uid="{00000000-0006-0000-0300-0000A6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0" authorId="0" shapeId="0" xr:uid="{00000000-0006-0000-0300-0000A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0" authorId="0" shapeId="0" xr:uid="{00000000-0006-0000-0300-0000A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0" authorId="0" shapeId="0" xr:uid="{00000000-0006-0000-0300-0000A9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0" authorId="0" shapeId="0" xr:uid="{00000000-0006-0000-0300-0000A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0" authorId="0" shapeId="0" xr:uid="{00000000-0006-0000-0300-0000A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0" authorId="0" shapeId="0" xr:uid="{00000000-0006-0000-0300-0000AC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0" authorId="0" shapeId="0" xr:uid="{00000000-0006-0000-0300-0000AD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0" authorId="0" shapeId="0" xr:uid="{00000000-0006-0000-0300-0000AE0F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0" authorId="0" shapeId="0" xr:uid="{00000000-0006-0000-0300-0000AF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0" authorId="0" shapeId="0" xr:uid="{00000000-0006-0000-0300-0000B00F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0" authorId="0" shapeId="0" xr:uid="{00000000-0006-0000-0300-0000B1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0" authorId="0" shapeId="0" xr:uid="{00000000-0006-0000-0300-0000B20F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0" authorId="0" shapeId="0" xr:uid="{00000000-0006-0000-0300-0000B3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0" authorId="0" shapeId="0" xr:uid="{00000000-0006-0000-0300-0000B40F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0" authorId="0" shapeId="0" xr:uid="{00000000-0006-0000-0300-0000B50F0000}">
      <text>
        <r>
          <rPr>
            <sz val="9"/>
            <color indexed="81"/>
            <rFont val="Tahoma"/>
            <charset val="1"/>
          </rPr>
          <t>Stability=,Expiration=1/6/2018</t>
        </r>
      </text>
    </comment>
    <comment ref="BI80" authorId="0" shapeId="0" xr:uid="{00000000-0006-0000-0300-0000B60F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80" authorId="0" shapeId="0" xr:uid="{00000000-0006-0000-0300-0000B70F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0" authorId="0" shapeId="0" xr:uid="{00000000-0006-0000-0300-0000B80F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0" authorId="0" shapeId="0" xr:uid="{00000000-0006-0000-0300-0000B9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0" authorId="0" shapeId="0" xr:uid="{00000000-0006-0000-0300-0000BA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0" authorId="0" shapeId="0" xr:uid="{00000000-0006-0000-0300-0000BB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0" authorId="0" shapeId="0" xr:uid="{00000000-0006-0000-0300-0000BC0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0" authorId="0" shapeId="0" xr:uid="{00000000-0006-0000-0300-0000BD0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0" authorId="0" shapeId="0" xr:uid="{00000000-0006-0000-0300-0000BE0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0" authorId="0" shapeId="0" xr:uid="{00000000-0006-0000-0300-0000BF0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0" authorId="0" shapeId="0" xr:uid="{00000000-0006-0000-0300-0000C0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0" authorId="0" shapeId="0" xr:uid="{00000000-0006-0000-0300-0000C1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0" authorId="0" shapeId="0" xr:uid="{00000000-0006-0000-0300-0000C20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1" authorId="0" shapeId="0" xr:uid="{00000000-0006-0000-0300-0000C30F0000}">
      <text>
        <r>
          <rPr>
            <sz val="9"/>
            <color indexed="81"/>
            <rFont val="Tahoma"/>
            <charset val="1"/>
          </rPr>
          <t>Date macro run: 1/24/2018 9:42:51 PM</t>
        </r>
      </text>
    </comment>
    <comment ref="B81" authorId="0" shapeId="0" xr:uid="{00000000-0006-0000-0300-0000C40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1" authorId="0" shapeId="0" xr:uid="{00000000-0006-0000-0300-0000C50F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1" authorId="0" shapeId="0" xr:uid="{00000000-0006-0000-0300-0000C60F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1" authorId="0" shapeId="0" xr:uid="{00000000-0006-0000-0300-0000C70F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1" authorId="0" shapeId="0" xr:uid="{00000000-0006-0000-0300-0000C80F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1" authorId="0" shapeId="0" xr:uid="{00000000-0006-0000-0300-0000C90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1" authorId="0" shapeId="0" xr:uid="{00000000-0006-0000-0300-0000CA0F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1" authorId="0" shapeId="0" xr:uid="{00000000-0006-0000-0300-0000CB0F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1" authorId="0" shapeId="0" xr:uid="{00000000-0006-0000-0300-0000CC0F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1" authorId="0" shapeId="0" xr:uid="{00000000-0006-0000-0300-0000C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1" authorId="0" shapeId="0" xr:uid="{00000000-0006-0000-0300-0000CE0F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1" authorId="0" shapeId="0" xr:uid="{00000000-0006-0000-0300-0000CF0F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1" authorId="0" shapeId="0" xr:uid="{00000000-0006-0000-0300-0000D00F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1" authorId="0" shapeId="0" xr:uid="{00000000-0006-0000-0300-0000D10F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1" authorId="0" shapeId="0" xr:uid="{00000000-0006-0000-0300-0000D2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1" authorId="0" shapeId="0" xr:uid="{00000000-0006-0000-0300-0000D3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1" authorId="0" shapeId="0" xr:uid="{00000000-0006-0000-0300-0000D40F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1" authorId="0" shapeId="0" xr:uid="{00000000-0006-0000-0300-0000D50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1" authorId="0" shapeId="0" xr:uid="{00000000-0006-0000-0300-0000D6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1" authorId="0" shapeId="0" xr:uid="{00000000-0006-0000-0300-0000D7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1" authorId="0" shapeId="0" xr:uid="{00000000-0006-0000-0300-0000D8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1" authorId="0" shapeId="0" xr:uid="{00000000-0006-0000-0300-0000D90F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1" authorId="0" shapeId="0" xr:uid="{00000000-0006-0000-0300-0000DA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1" authorId="0" shapeId="0" xr:uid="{00000000-0006-0000-0300-0000DB0F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1" authorId="0" shapeId="0" xr:uid="{00000000-0006-0000-0300-0000DC0F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1" authorId="0" shapeId="0" xr:uid="{00000000-0006-0000-0300-0000DD0F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1" authorId="0" shapeId="0" xr:uid="{00000000-0006-0000-0300-0000DE0F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1" authorId="0" shapeId="0" xr:uid="{00000000-0006-0000-0300-0000DF0F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1" authorId="0" shapeId="0" xr:uid="{00000000-0006-0000-0300-0000E00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1" authorId="0" shapeId="0" xr:uid="{00000000-0006-0000-0300-0000E10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1" authorId="0" shapeId="0" xr:uid="{00000000-0006-0000-0300-0000E20F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1" authorId="0" shapeId="0" xr:uid="{00000000-0006-0000-0300-0000E30F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1" authorId="0" shapeId="0" xr:uid="{00000000-0006-0000-0300-0000E40F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1" authorId="0" shapeId="0" xr:uid="{00000000-0006-0000-0300-0000E50F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1" authorId="0" shapeId="0" xr:uid="{00000000-0006-0000-0300-0000E60F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1" authorId="0" shapeId="0" xr:uid="{00000000-0006-0000-0300-0000E7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1" authorId="0" shapeId="0" xr:uid="{00000000-0006-0000-0300-0000E8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1" authorId="0" shapeId="0" xr:uid="{00000000-0006-0000-0300-0000E9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1" authorId="0" shapeId="0" xr:uid="{00000000-0006-0000-0300-0000EA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1" authorId="0" shapeId="0" xr:uid="{00000000-0006-0000-0300-0000EB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1" authorId="0" shapeId="0" xr:uid="{00000000-0006-0000-0300-0000EC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1" authorId="0" shapeId="0" xr:uid="{00000000-0006-0000-0300-0000ED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1" authorId="0" shapeId="0" xr:uid="{00000000-0006-0000-0300-0000EE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1" authorId="0" shapeId="0" xr:uid="{00000000-0006-0000-0300-0000EF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1" authorId="0" shapeId="0" xr:uid="{00000000-0006-0000-0300-0000F00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1" authorId="0" shapeId="0" xr:uid="{00000000-0006-0000-0300-0000F1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1" authorId="0" shapeId="0" xr:uid="{00000000-0006-0000-0300-0000F20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1" authorId="0" shapeId="0" xr:uid="{00000000-0006-0000-0300-0000F30F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1" authorId="0" shapeId="0" xr:uid="{00000000-0006-0000-0300-0000F40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1" authorId="0" shapeId="0" xr:uid="{00000000-0006-0000-0300-0000F50F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1" authorId="0" shapeId="0" xr:uid="{00000000-0006-0000-0300-0000F60F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1" authorId="0" shapeId="0" xr:uid="{00000000-0006-0000-0300-0000F70F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1" authorId="0" shapeId="0" xr:uid="{00000000-0006-0000-0300-0000F80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1" authorId="0" shapeId="0" xr:uid="{00000000-0006-0000-0300-0000F90F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1" authorId="0" shapeId="0" xr:uid="{00000000-0006-0000-0300-0000FA0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1" authorId="0" shapeId="0" xr:uid="{00000000-0006-0000-0300-0000FB0F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1" authorId="0" shapeId="0" xr:uid="{00000000-0006-0000-0300-0000FC0F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1" authorId="0" shapeId="0" xr:uid="{00000000-0006-0000-0300-0000FD0F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81" authorId="0" shapeId="0" xr:uid="{00000000-0006-0000-0300-0000FE0F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1" authorId="0" shapeId="0" xr:uid="{00000000-0006-0000-0300-0000FF0F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1" authorId="0" shapeId="0" xr:uid="{00000000-0006-0000-0300-000000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1" authorId="0" shapeId="0" xr:uid="{00000000-0006-0000-0300-000001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1" authorId="0" shapeId="0" xr:uid="{00000000-0006-0000-0300-000002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1" authorId="0" shapeId="0" xr:uid="{00000000-0006-0000-0300-0000031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1" authorId="0" shapeId="0" xr:uid="{00000000-0006-0000-0300-0000041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1" authorId="0" shapeId="0" xr:uid="{00000000-0006-0000-0300-0000051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1" authorId="0" shapeId="0" xr:uid="{00000000-0006-0000-0300-0000061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1" authorId="0" shapeId="0" xr:uid="{00000000-0006-0000-0300-000007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1" authorId="0" shapeId="0" xr:uid="{00000000-0006-0000-0300-000008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1" authorId="0" shapeId="0" xr:uid="{00000000-0006-0000-0300-0000091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2" authorId="0" shapeId="0" xr:uid="{00000000-0006-0000-0300-00000A100000}">
      <text>
        <r>
          <rPr>
            <sz val="9"/>
            <color indexed="81"/>
            <rFont val="Tahoma"/>
            <charset val="1"/>
          </rPr>
          <t>Date macro run: 1/26/2018 10:44:52 PM</t>
        </r>
      </text>
    </comment>
    <comment ref="B82" authorId="0" shapeId="0" xr:uid="{00000000-0006-0000-0300-00000B1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2" authorId="0" shapeId="0" xr:uid="{00000000-0006-0000-0300-00000C10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2" authorId="0" shapeId="0" xr:uid="{00000000-0006-0000-0300-00000D10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2" authorId="0" shapeId="0" xr:uid="{00000000-0006-0000-0300-00000E10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2" authorId="0" shapeId="0" xr:uid="{00000000-0006-0000-0300-00000F10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2" authorId="0" shapeId="0" xr:uid="{00000000-0006-0000-0300-00001010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2" authorId="0" shapeId="0" xr:uid="{00000000-0006-0000-0300-00001110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2" authorId="0" shapeId="0" xr:uid="{00000000-0006-0000-0300-00001210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2" authorId="0" shapeId="0" xr:uid="{00000000-0006-0000-0300-00001310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2" authorId="0" shapeId="0" xr:uid="{00000000-0006-0000-0300-00001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2" authorId="0" shapeId="0" xr:uid="{00000000-0006-0000-0300-00001510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2" authorId="0" shapeId="0" xr:uid="{00000000-0006-0000-0300-00001610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2" authorId="0" shapeId="0" xr:uid="{00000000-0006-0000-0300-00001710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2" authorId="0" shapeId="0" xr:uid="{00000000-0006-0000-0300-00001810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2" authorId="0" shapeId="0" xr:uid="{00000000-0006-0000-0300-000019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2" authorId="0" shapeId="0" xr:uid="{00000000-0006-0000-0300-00001A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2" authorId="0" shapeId="0" xr:uid="{00000000-0006-0000-0300-00001B10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2" authorId="0" shapeId="0" xr:uid="{00000000-0006-0000-0300-00001C10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2" authorId="0" shapeId="0" xr:uid="{00000000-0006-0000-0300-00001D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2" authorId="0" shapeId="0" xr:uid="{00000000-0006-0000-0300-00001E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2" authorId="0" shapeId="0" xr:uid="{00000000-0006-0000-0300-00001F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2" authorId="0" shapeId="0" xr:uid="{00000000-0006-0000-0300-00002010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2" authorId="0" shapeId="0" xr:uid="{00000000-0006-0000-0300-000021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2" authorId="0" shapeId="0" xr:uid="{00000000-0006-0000-0300-000022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2" authorId="0" shapeId="0" xr:uid="{00000000-0006-0000-0300-00002310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2" authorId="0" shapeId="0" xr:uid="{00000000-0006-0000-0300-00002410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2" authorId="0" shapeId="0" xr:uid="{00000000-0006-0000-0300-00002510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2" authorId="0" shapeId="0" xr:uid="{00000000-0006-0000-0300-00002610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2" authorId="0" shapeId="0" xr:uid="{00000000-0006-0000-0300-000027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2" authorId="0" shapeId="0" xr:uid="{00000000-0006-0000-0300-000028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2" authorId="0" shapeId="0" xr:uid="{00000000-0006-0000-0300-00002910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2" authorId="0" shapeId="0" xr:uid="{00000000-0006-0000-0300-00002A10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2" authorId="0" shapeId="0" xr:uid="{00000000-0006-0000-0300-00002B10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2" authorId="0" shapeId="0" xr:uid="{00000000-0006-0000-0300-00002C10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2" authorId="0" shapeId="0" xr:uid="{00000000-0006-0000-0300-00002D10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2" authorId="0" shapeId="0" xr:uid="{00000000-0006-0000-0300-00002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2" authorId="0" shapeId="0" xr:uid="{00000000-0006-0000-0300-00002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2" authorId="0" shapeId="0" xr:uid="{00000000-0006-0000-0300-00003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2" authorId="0" shapeId="0" xr:uid="{00000000-0006-0000-0300-00003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2" authorId="0" shapeId="0" xr:uid="{00000000-0006-0000-0300-00003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2" authorId="0" shapeId="0" xr:uid="{00000000-0006-0000-0300-00003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2" authorId="0" shapeId="0" xr:uid="{00000000-0006-0000-0300-00003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2" authorId="0" shapeId="0" xr:uid="{00000000-0006-0000-0300-00003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2" authorId="0" shapeId="0" xr:uid="{00000000-0006-0000-0300-00003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2" authorId="0" shapeId="0" xr:uid="{00000000-0006-0000-0300-000037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2" authorId="0" shapeId="0" xr:uid="{00000000-0006-0000-0300-00003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2" authorId="0" shapeId="0" xr:uid="{00000000-0006-0000-0300-00003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2" authorId="0" shapeId="0" xr:uid="{00000000-0006-0000-0300-00003A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2" authorId="0" shapeId="0" xr:uid="{00000000-0006-0000-0300-00003B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2" authorId="0" shapeId="0" xr:uid="{00000000-0006-0000-0300-00003C10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2" authorId="0" shapeId="0" xr:uid="{00000000-0006-0000-0300-00003D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2" authorId="0" shapeId="0" xr:uid="{00000000-0006-0000-0300-00003E10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2" authorId="0" shapeId="0" xr:uid="{00000000-0006-0000-0300-00003F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2" authorId="0" shapeId="0" xr:uid="{00000000-0006-0000-0300-00004010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2" authorId="0" shapeId="0" xr:uid="{00000000-0006-0000-0300-0000411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2" authorId="0" shapeId="0" xr:uid="{00000000-0006-0000-0300-00004210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2" authorId="0" shapeId="0" xr:uid="{00000000-0006-0000-0300-00004310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2" authorId="0" shapeId="0" xr:uid="{00000000-0006-0000-0300-00004410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82" authorId="0" shapeId="0" xr:uid="{00000000-0006-0000-0300-00004510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2" authorId="0" shapeId="0" xr:uid="{00000000-0006-0000-0300-00004610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2" authorId="0" shapeId="0" xr:uid="{00000000-0006-0000-0300-000047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2" authorId="0" shapeId="0" xr:uid="{00000000-0006-0000-0300-000048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2" authorId="0" shapeId="0" xr:uid="{00000000-0006-0000-0300-000049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2" authorId="0" shapeId="0" xr:uid="{00000000-0006-0000-0300-00004A1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2" authorId="0" shapeId="0" xr:uid="{00000000-0006-0000-0300-00004B1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2" authorId="0" shapeId="0" xr:uid="{00000000-0006-0000-0300-00004C1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2" authorId="0" shapeId="0" xr:uid="{00000000-0006-0000-0300-00004D1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2" authorId="0" shapeId="0" xr:uid="{00000000-0006-0000-0300-00004E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2" authorId="0" shapeId="0" xr:uid="{00000000-0006-0000-0300-00004F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2" authorId="0" shapeId="0" xr:uid="{00000000-0006-0000-0300-0000501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3" authorId="0" shapeId="0" xr:uid="{00000000-0006-0000-0300-000051100000}">
      <text>
        <r>
          <rPr>
            <sz val="9"/>
            <color indexed="81"/>
            <rFont val="Tahoma"/>
            <charset val="1"/>
          </rPr>
          <t>Date macro run: 1/29/2018 10:49:56 PM</t>
        </r>
      </text>
    </comment>
    <comment ref="B83" authorId="0" shapeId="0" xr:uid="{00000000-0006-0000-0300-0000521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3" authorId="0" shapeId="0" xr:uid="{00000000-0006-0000-0300-00005310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3" authorId="0" shapeId="0" xr:uid="{00000000-0006-0000-0300-00005410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3" authorId="0" shapeId="0" xr:uid="{00000000-0006-0000-0300-00005510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3" authorId="0" shapeId="0" xr:uid="{00000000-0006-0000-0300-00005610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3" authorId="0" shapeId="0" xr:uid="{00000000-0006-0000-0300-00005710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3" authorId="0" shapeId="0" xr:uid="{00000000-0006-0000-0300-00005810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3" authorId="0" shapeId="0" xr:uid="{00000000-0006-0000-0300-00005910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3" authorId="0" shapeId="0" xr:uid="{00000000-0006-0000-0300-00005A10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3" authorId="0" shapeId="0" xr:uid="{00000000-0006-0000-0300-00005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3" authorId="0" shapeId="0" xr:uid="{00000000-0006-0000-0300-00005C10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3" authorId="0" shapeId="0" xr:uid="{00000000-0006-0000-0300-00005D10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3" authorId="0" shapeId="0" xr:uid="{00000000-0006-0000-0300-00005E10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3" authorId="0" shapeId="0" xr:uid="{00000000-0006-0000-0300-00005F10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3" authorId="0" shapeId="0" xr:uid="{00000000-0006-0000-0300-000060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3" authorId="0" shapeId="0" xr:uid="{00000000-0006-0000-0300-000061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3" authorId="0" shapeId="0" xr:uid="{00000000-0006-0000-0300-00006210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3" authorId="0" shapeId="0" xr:uid="{00000000-0006-0000-0300-00006310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3" authorId="0" shapeId="0" xr:uid="{00000000-0006-0000-0300-000064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3" authorId="0" shapeId="0" xr:uid="{00000000-0006-0000-0300-000065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3" authorId="0" shapeId="0" xr:uid="{00000000-0006-0000-0300-000066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3" authorId="0" shapeId="0" xr:uid="{00000000-0006-0000-0300-00006710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3" authorId="0" shapeId="0" xr:uid="{00000000-0006-0000-0300-000068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3" authorId="0" shapeId="0" xr:uid="{00000000-0006-0000-0300-000069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3" authorId="0" shapeId="0" xr:uid="{00000000-0006-0000-0300-00006A10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3" authorId="0" shapeId="0" xr:uid="{00000000-0006-0000-0300-00006B10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3" authorId="0" shapeId="0" xr:uid="{00000000-0006-0000-0300-00006C10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3" authorId="0" shapeId="0" xr:uid="{00000000-0006-0000-0300-00006D10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3" authorId="0" shapeId="0" xr:uid="{00000000-0006-0000-0300-00006E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3" authorId="0" shapeId="0" xr:uid="{00000000-0006-0000-0300-00006F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3" authorId="0" shapeId="0" xr:uid="{00000000-0006-0000-0300-00007010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3" authorId="0" shapeId="0" xr:uid="{00000000-0006-0000-0300-00007110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3" authorId="0" shapeId="0" xr:uid="{00000000-0006-0000-0300-00007210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3" authorId="0" shapeId="0" xr:uid="{00000000-0006-0000-0300-00007310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3" authorId="0" shapeId="0" xr:uid="{00000000-0006-0000-0300-00007410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3" authorId="0" shapeId="0" xr:uid="{00000000-0006-0000-0300-000075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3" authorId="0" shapeId="0" xr:uid="{00000000-0006-0000-0300-00007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3" authorId="0" shapeId="0" xr:uid="{00000000-0006-0000-0300-00007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3" authorId="0" shapeId="0" xr:uid="{00000000-0006-0000-0300-000078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3" authorId="0" shapeId="0" xr:uid="{00000000-0006-0000-0300-00007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3" authorId="0" shapeId="0" xr:uid="{00000000-0006-0000-0300-00007A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3" authorId="0" shapeId="0" xr:uid="{00000000-0006-0000-0300-00007B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3" authorId="0" shapeId="0" xr:uid="{00000000-0006-0000-0300-00007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3" authorId="0" shapeId="0" xr:uid="{00000000-0006-0000-0300-00007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3" authorId="0" shapeId="0" xr:uid="{00000000-0006-0000-0300-00007E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3" authorId="0" shapeId="0" xr:uid="{00000000-0006-0000-0300-00007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3" authorId="0" shapeId="0" xr:uid="{00000000-0006-0000-0300-00008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3" authorId="0" shapeId="0" xr:uid="{00000000-0006-0000-0300-000081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3" authorId="0" shapeId="0" xr:uid="{00000000-0006-0000-0300-000082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3" authorId="0" shapeId="0" xr:uid="{00000000-0006-0000-0300-00008310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3" authorId="0" shapeId="0" xr:uid="{00000000-0006-0000-0300-000084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3" authorId="0" shapeId="0" xr:uid="{00000000-0006-0000-0300-00008510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3" authorId="0" shapeId="0" xr:uid="{00000000-0006-0000-0300-000086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3" authorId="0" shapeId="0" xr:uid="{00000000-0006-0000-0300-00008710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3" authorId="0" shapeId="0" xr:uid="{00000000-0006-0000-0300-0000881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3" authorId="0" shapeId="0" xr:uid="{00000000-0006-0000-0300-00008910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3" authorId="0" shapeId="0" xr:uid="{00000000-0006-0000-0300-00008A10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3" authorId="0" shapeId="0" xr:uid="{00000000-0006-0000-0300-00008B100000}">
      <text>
        <r>
          <rPr>
            <sz val="9"/>
            <color indexed="81"/>
            <rFont val="Tahoma"/>
            <charset val="1"/>
          </rPr>
          <t>Stability=,Expiration=1/31/2018</t>
        </r>
      </text>
    </comment>
    <comment ref="BJ83" authorId="0" shapeId="0" xr:uid="{00000000-0006-0000-0300-00008C10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3" authorId="0" shapeId="0" xr:uid="{00000000-0006-0000-0300-00008D10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3" authorId="0" shapeId="0" xr:uid="{00000000-0006-0000-0300-00008E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3" authorId="0" shapeId="0" xr:uid="{00000000-0006-0000-0300-00008F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3" authorId="0" shapeId="0" xr:uid="{00000000-0006-0000-0300-000090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3" authorId="0" shapeId="0" xr:uid="{00000000-0006-0000-0300-0000911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3" authorId="0" shapeId="0" xr:uid="{00000000-0006-0000-0300-0000921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3" authorId="0" shapeId="0" xr:uid="{00000000-0006-0000-0300-0000931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3" authorId="0" shapeId="0" xr:uid="{00000000-0006-0000-0300-0000941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3" authorId="0" shapeId="0" xr:uid="{00000000-0006-0000-0300-000095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3" authorId="0" shapeId="0" xr:uid="{00000000-0006-0000-0300-000096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3" authorId="0" shapeId="0" xr:uid="{00000000-0006-0000-0300-0000971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4" authorId="0" shapeId="0" xr:uid="{00000000-0006-0000-0300-000098100000}">
      <text>
        <r>
          <rPr>
            <sz val="9"/>
            <color indexed="81"/>
            <rFont val="Tahoma"/>
            <charset val="1"/>
          </rPr>
          <t>Date macro run: 2/1/2018 10:44:54 PM</t>
        </r>
      </text>
    </comment>
    <comment ref="B84" authorId="0" shapeId="0" xr:uid="{00000000-0006-0000-0300-0000991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4" authorId="0" shapeId="0" xr:uid="{00000000-0006-0000-0300-00009A10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4" authorId="0" shapeId="0" xr:uid="{00000000-0006-0000-0300-00009B10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4" authorId="0" shapeId="0" xr:uid="{00000000-0006-0000-0300-00009C10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4" authorId="0" shapeId="0" xr:uid="{00000000-0006-0000-0300-00009D10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4" authorId="0" shapeId="0" xr:uid="{00000000-0006-0000-0300-00009E10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4" authorId="0" shapeId="0" xr:uid="{00000000-0006-0000-0300-00009F10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4" authorId="0" shapeId="0" xr:uid="{00000000-0006-0000-0300-0000A010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4" authorId="0" shapeId="0" xr:uid="{00000000-0006-0000-0300-0000A110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4" authorId="0" shapeId="0" xr:uid="{00000000-0006-0000-0300-0000A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4" authorId="0" shapeId="0" xr:uid="{00000000-0006-0000-0300-0000A310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4" authorId="0" shapeId="0" xr:uid="{00000000-0006-0000-0300-0000A410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4" authorId="0" shapeId="0" xr:uid="{00000000-0006-0000-0300-0000A510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4" authorId="0" shapeId="0" xr:uid="{00000000-0006-0000-0300-0000A610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4" authorId="0" shapeId="0" xr:uid="{00000000-0006-0000-0300-0000A7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4" authorId="0" shapeId="0" xr:uid="{00000000-0006-0000-0300-0000A8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4" authorId="0" shapeId="0" xr:uid="{00000000-0006-0000-0300-0000A910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4" authorId="0" shapeId="0" xr:uid="{00000000-0006-0000-0300-0000AA10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4" authorId="0" shapeId="0" xr:uid="{00000000-0006-0000-0300-0000AB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4" authorId="0" shapeId="0" xr:uid="{00000000-0006-0000-0300-0000AC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4" authorId="0" shapeId="0" xr:uid="{00000000-0006-0000-0300-0000AD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4" authorId="0" shapeId="0" xr:uid="{00000000-0006-0000-0300-0000AE10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4" authorId="0" shapeId="0" xr:uid="{00000000-0006-0000-0300-0000AF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4" authorId="0" shapeId="0" xr:uid="{00000000-0006-0000-0300-0000B0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4" authorId="0" shapeId="0" xr:uid="{00000000-0006-0000-0300-0000B110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4" authorId="0" shapeId="0" xr:uid="{00000000-0006-0000-0300-0000B210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4" authorId="0" shapeId="0" xr:uid="{00000000-0006-0000-0300-0000B310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4" authorId="0" shapeId="0" xr:uid="{00000000-0006-0000-0300-0000B410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4" authorId="0" shapeId="0" xr:uid="{00000000-0006-0000-0300-0000B5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4" authorId="0" shapeId="0" xr:uid="{00000000-0006-0000-0300-0000B6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4" authorId="0" shapeId="0" xr:uid="{00000000-0006-0000-0300-0000B710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4" authorId="0" shapeId="0" xr:uid="{00000000-0006-0000-0300-0000B810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4" authorId="0" shapeId="0" xr:uid="{00000000-0006-0000-0300-0000B910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4" authorId="0" shapeId="0" xr:uid="{00000000-0006-0000-0300-0000BA10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4" authorId="0" shapeId="0" xr:uid="{00000000-0006-0000-0300-0000BB10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4" authorId="0" shapeId="0" xr:uid="{00000000-0006-0000-0300-0000BC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4" authorId="0" shapeId="0" xr:uid="{00000000-0006-0000-0300-0000BD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4" authorId="0" shapeId="0" xr:uid="{00000000-0006-0000-0300-0000BE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4" authorId="0" shapeId="0" xr:uid="{00000000-0006-0000-0300-0000BF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4" authorId="0" shapeId="0" xr:uid="{00000000-0006-0000-0300-0000C0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4" authorId="0" shapeId="0" xr:uid="{00000000-0006-0000-0300-0000C1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4" authorId="0" shapeId="0" xr:uid="{00000000-0006-0000-0300-0000C2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4" authorId="0" shapeId="0" xr:uid="{00000000-0006-0000-0300-0000C3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4" authorId="0" shapeId="0" xr:uid="{00000000-0006-0000-0300-0000C4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4" authorId="0" shapeId="0" xr:uid="{00000000-0006-0000-0300-0000C5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4" authorId="0" shapeId="0" xr:uid="{00000000-0006-0000-0300-0000C6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4" authorId="0" shapeId="0" xr:uid="{00000000-0006-0000-0300-0000C7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4" authorId="0" shapeId="0" xr:uid="{00000000-0006-0000-0300-0000C8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4" authorId="0" shapeId="0" xr:uid="{00000000-0006-0000-0300-0000C9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4" authorId="0" shapeId="0" xr:uid="{00000000-0006-0000-0300-0000CA10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4" authorId="0" shapeId="0" xr:uid="{00000000-0006-0000-0300-0000CB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4" authorId="0" shapeId="0" xr:uid="{00000000-0006-0000-0300-0000CC10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4" authorId="0" shapeId="0" xr:uid="{00000000-0006-0000-0300-0000CD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4" authorId="0" shapeId="0" xr:uid="{00000000-0006-0000-0300-0000CE10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4" authorId="0" shapeId="0" xr:uid="{00000000-0006-0000-0300-0000CF1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4" authorId="0" shapeId="0" xr:uid="{00000000-0006-0000-0300-0000D010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4" authorId="0" shapeId="0" xr:uid="{00000000-0006-0000-0300-0000D110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4" authorId="0" shapeId="0" xr:uid="{00000000-0006-0000-0300-0000D210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4" authorId="0" shapeId="0" xr:uid="{00000000-0006-0000-0300-0000D310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4" authorId="0" shapeId="0" xr:uid="{00000000-0006-0000-0300-0000D410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4" authorId="0" shapeId="0" xr:uid="{00000000-0006-0000-0300-0000D5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4" authorId="0" shapeId="0" xr:uid="{00000000-0006-0000-0300-0000D6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4" authorId="0" shapeId="0" xr:uid="{00000000-0006-0000-0300-0000D71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4" authorId="0" shapeId="0" xr:uid="{00000000-0006-0000-0300-0000D81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4" authorId="0" shapeId="0" xr:uid="{00000000-0006-0000-0300-0000D91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4" authorId="0" shapeId="0" xr:uid="{00000000-0006-0000-0300-0000DA1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4" authorId="0" shapeId="0" xr:uid="{00000000-0006-0000-0300-0000DB1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4" authorId="0" shapeId="0" xr:uid="{00000000-0006-0000-0300-0000DC1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4" authorId="0" shapeId="0" xr:uid="{00000000-0006-0000-0300-0000DD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4" authorId="0" shapeId="0" xr:uid="{00000000-0006-0000-0300-0000DE1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5" authorId="0" shapeId="0" xr:uid="{00000000-0006-0000-0300-0000DF100000}">
      <text>
        <r>
          <rPr>
            <sz val="9"/>
            <color indexed="81"/>
            <rFont val="Tahoma"/>
            <charset val="1"/>
          </rPr>
          <t>Date macro run: 2/5/2018 10:36:01 PM</t>
        </r>
      </text>
    </comment>
    <comment ref="B85" authorId="0" shapeId="0" xr:uid="{00000000-0006-0000-0300-0000E01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5" authorId="0" shapeId="0" xr:uid="{00000000-0006-0000-0300-0000E110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5" authorId="0" shapeId="0" xr:uid="{00000000-0006-0000-0300-0000E210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5" authorId="0" shapeId="0" xr:uid="{00000000-0006-0000-0300-0000E310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5" authorId="0" shapeId="0" xr:uid="{00000000-0006-0000-0300-0000E410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5" authorId="0" shapeId="0" xr:uid="{00000000-0006-0000-0300-0000E510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5" authorId="0" shapeId="0" xr:uid="{00000000-0006-0000-0300-0000E610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5" authorId="0" shapeId="0" xr:uid="{00000000-0006-0000-0300-0000E710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5" authorId="0" shapeId="0" xr:uid="{00000000-0006-0000-0300-0000E810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5" authorId="0" shapeId="0" xr:uid="{00000000-0006-0000-0300-0000E91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5" authorId="0" shapeId="0" xr:uid="{00000000-0006-0000-0300-0000EA10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5" authorId="0" shapeId="0" xr:uid="{00000000-0006-0000-0300-0000EB10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5" authorId="0" shapeId="0" xr:uid="{00000000-0006-0000-0300-0000EC10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5" authorId="0" shapeId="0" xr:uid="{00000000-0006-0000-0300-0000ED10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5" authorId="0" shapeId="0" xr:uid="{00000000-0006-0000-0300-0000EE10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5" authorId="0" shapeId="0" xr:uid="{00000000-0006-0000-0300-0000EF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5" authorId="0" shapeId="0" xr:uid="{00000000-0006-0000-0300-0000F010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5" authorId="0" shapeId="0" xr:uid="{00000000-0006-0000-0300-0000F110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5" authorId="0" shapeId="0" xr:uid="{00000000-0006-0000-0300-0000F210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5" authorId="0" shapeId="0" xr:uid="{00000000-0006-0000-0300-0000F3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5" authorId="0" shapeId="0" xr:uid="{00000000-0006-0000-0300-0000F41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5" authorId="0" shapeId="0" xr:uid="{00000000-0006-0000-0300-0000F510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5" authorId="0" shapeId="0" xr:uid="{00000000-0006-0000-0300-0000F6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5" authorId="0" shapeId="0" xr:uid="{00000000-0006-0000-0300-0000F710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5" authorId="0" shapeId="0" xr:uid="{00000000-0006-0000-0300-0000F810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5" authorId="0" shapeId="0" xr:uid="{00000000-0006-0000-0300-0000F910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5" authorId="0" shapeId="0" xr:uid="{00000000-0006-0000-0300-0000FA10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5" authorId="0" shapeId="0" xr:uid="{00000000-0006-0000-0300-0000FB10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5" authorId="0" shapeId="0" xr:uid="{00000000-0006-0000-0300-0000FC1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5" authorId="0" shapeId="0" xr:uid="{00000000-0006-0000-0300-0000FD10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5" authorId="0" shapeId="0" xr:uid="{00000000-0006-0000-0300-0000FE10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5" authorId="0" shapeId="0" xr:uid="{00000000-0006-0000-0300-0000FF10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5" authorId="0" shapeId="0" xr:uid="{00000000-0006-0000-0300-00000011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5" authorId="0" shapeId="0" xr:uid="{00000000-0006-0000-0300-00000111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5" authorId="0" shapeId="0" xr:uid="{00000000-0006-0000-0300-00000211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5" authorId="0" shapeId="0" xr:uid="{00000000-0006-0000-0300-00000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5" authorId="0" shapeId="0" xr:uid="{00000000-0006-0000-0300-00000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5" authorId="0" shapeId="0" xr:uid="{00000000-0006-0000-0300-00000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5" authorId="0" shapeId="0" xr:uid="{00000000-0006-0000-0300-00000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5" authorId="0" shapeId="0" xr:uid="{00000000-0006-0000-0300-00000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5" authorId="0" shapeId="0" xr:uid="{00000000-0006-0000-0300-00000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5" authorId="0" shapeId="0" xr:uid="{00000000-0006-0000-0300-00000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5" authorId="0" shapeId="0" xr:uid="{00000000-0006-0000-0300-00000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5" authorId="0" shapeId="0" xr:uid="{00000000-0006-0000-0300-00000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5" authorId="0" shapeId="0" xr:uid="{00000000-0006-0000-0300-00000C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5" authorId="0" shapeId="0" xr:uid="{00000000-0006-0000-0300-00000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5" authorId="0" shapeId="0" xr:uid="{00000000-0006-0000-0300-00000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5" authorId="0" shapeId="0" xr:uid="{00000000-0006-0000-0300-00000F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5" authorId="0" shapeId="0" xr:uid="{00000000-0006-0000-0300-000010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5" authorId="0" shapeId="0" xr:uid="{00000000-0006-0000-0300-00001111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5" authorId="0" shapeId="0" xr:uid="{00000000-0006-0000-0300-000012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5" authorId="0" shapeId="0" xr:uid="{00000000-0006-0000-0300-00001311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5" authorId="0" shapeId="0" xr:uid="{00000000-0006-0000-0300-000014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5" authorId="0" shapeId="0" xr:uid="{00000000-0006-0000-0300-00001511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5" authorId="0" shapeId="0" xr:uid="{00000000-0006-0000-0300-00001611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5" authorId="0" shapeId="0" xr:uid="{00000000-0006-0000-0300-00001711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5" authorId="0" shapeId="0" xr:uid="{00000000-0006-0000-0300-00001811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5" authorId="0" shapeId="0" xr:uid="{00000000-0006-0000-0300-00001911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5" authorId="0" shapeId="0" xr:uid="{00000000-0006-0000-0300-00001A11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5" authorId="0" shapeId="0" xr:uid="{00000000-0006-0000-0300-00001B11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5" authorId="0" shapeId="0" xr:uid="{00000000-0006-0000-0300-00001C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5" authorId="0" shapeId="0" xr:uid="{00000000-0006-0000-0300-00001D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5" authorId="0" shapeId="0" xr:uid="{00000000-0006-0000-0300-00001E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5" authorId="0" shapeId="0" xr:uid="{00000000-0006-0000-0300-00001F1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5" authorId="0" shapeId="0" xr:uid="{00000000-0006-0000-0300-0000201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5" authorId="0" shapeId="0" xr:uid="{00000000-0006-0000-0300-0000211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5" authorId="0" shapeId="0" xr:uid="{00000000-0006-0000-0300-0000221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5" authorId="0" shapeId="0" xr:uid="{00000000-0006-0000-0300-000023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5" authorId="0" shapeId="0" xr:uid="{00000000-0006-0000-0300-000024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5" authorId="0" shapeId="0" xr:uid="{00000000-0006-0000-0300-0000251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6" authorId="0" shapeId="0" xr:uid="{00000000-0006-0000-0300-000026110000}">
      <text>
        <r>
          <rPr>
            <sz val="9"/>
            <color indexed="81"/>
            <rFont val="Tahoma"/>
            <charset val="1"/>
          </rPr>
          <t>Date macro run: 2/8/2018 10:38:18 PM</t>
        </r>
      </text>
    </comment>
    <comment ref="B86" authorId="0" shapeId="0" xr:uid="{00000000-0006-0000-0300-0000271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6" authorId="0" shapeId="0" xr:uid="{00000000-0006-0000-0300-00002811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6" authorId="0" shapeId="0" xr:uid="{00000000-0006-0000-0300-00002911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6" authorId="0" shapeId="0" xr:uid="{00000000-0006-0000-0300-00002A11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6" authorId="0" shapeId="0" xr:uid="{00000000-0006-0000-0300-00002B11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6" authorId="0" shapeId="0" xr:uid="{00000000-0006-0000-0300-00002C11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6" authorId="0" shapeId="0" xr:uid="{00000000-0006-0000-0300-00002D11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6" authorId="0" shapeId="0" xr:uid="{00000000-0006-0000-0300-00002E11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6" authorId="0" shapeId="0" xr:uid="{00000000-0006-0000-0300-00002F11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6" authorId="0" shapeId="0" xr:uid="{00000000-0006-0000-0300-00003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6" authorId="0" shapeId="0" xr:uid="{00000000-0006-0000-0300-00003111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6" authorId="0" shapeId="0" xr:uid="{00000000-0006-0000-0300-00003211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6" authorId="0" shapeId="0" xr:uid="{00000000-0006-0000-0300-00003311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6" authorId="0" shapeId="0" xr:uid="{00000000-0006-0000-0300-00003411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6" authorId="0" shapeId="0" xr:uid="{00000000-0006-0000-0300-000035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6" authorId="0" shapeId="0" xr:uid="{00000000-0006-0000-0300-000036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6" authorId="0" shapeId="0" xr:uid="{00000000-0006-0000-0300-00003711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6" authorId="0" shapeId="0" xr:uid="{00000000-0006-0000-0300-00003811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6" authorId="0" shapeId="0" xr:uid="{00000000-0006-0000-0300-000039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6" authorId="0" shapeId="0" xr:uid="{00000000-0006-0000-0300-00003A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6" authorId="0" shapeId="0" xr:uid="{00000000-0006-0000-0300-00003B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6" authorId="0" shapeId="0" xr:uid="{00000000-0006-0000-0300-00003C11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6" authorId="0" shapeId="0" xr:uid="{00000000-0006-0000-0300-00003D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6" authorId="0" shapeId="0" xr:uid="{00000000-0006-0000-0300-00003E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6" authorId="0" shapeId="0" xr:uid="{00000000-0006-0000-0300-00003F11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6" authorId="0" shapeId="0" xr:uid="{00000000-0006-0000-0300-00004011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6" authorId="0" shapeId="0" xr:uid="{00000000-0006-0000-0300-00004111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6" authorId="0" shapeId="0" xr:uid="{00000000-0006-0000-0300-00004211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6" authorId="0" shapeId="0" xr:uid="{00000000-0006-0000-0300-000043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6" authorId="0" shapeId="0" xr:uid="{00000000-0006-0000-0300-000044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6" authorId="0" shapeId="0" xr:uid="{00000000-0006-0000-0300-00004511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6" authorId="0" shapeId="0" xr:uid="{00000000-0006-0000-0300-00004611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6" authorId="0" shapeId="0" xr:uid="{00000000-0006-0000-0300-00004711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6" authorId="0" shapeId="0" xr:uid="{00000000-0006-0000-0300-00004811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6" authorId="0" shapeId="0" xr:uid="{00000000-0006-0000-0300-00004911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6" authorId="0" shapeId="0" xr:uid="{00000000-0006-0000-0300-00004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6" authorId="0" shapeId="0" xr:uid="{00000000-0006-0000-0300-00004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6" authorId="0" shapeId="0" xr:uid="{00000000-0006-0000-0300-00004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6" authorId="0" shapeId="0" xr:uid="{00000000-0006-0000-0300-00004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6" authorId="0" shapeId="0" xr:uid="{00000000-0006-0000-0300-00004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6" authorId="0" shapeId="0" xr:uid="{00000000-0006-0000-0300-00004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6" authorId="0" shapeId="0" xr:uid="{00000000-0006-0000-0300-00005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6" authorId="0" shapeId="0" xr:uid="{00000000-0006-0000-0300-00005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6" authorId="0" shapeId="0" xr:uid="{00000000-0006-0000-0300-00005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6" authorId="0" shapeId="0" xr:uid="{00000000-0006-0000-0300-000053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6" authorId="0" shapeId="0" xr:uid="{00000000-0006-0000-0300-00005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6" authorId="0" shapeId="0" xr:uid="{00000000-0006-0000-0300-00005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6" authorId="0" shapeId="0" xr:uid="{00000000-0006-0000-0300-000056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6" authorId="0" shapeId="0" xr:uid="{00000000-0006-0000-0300-000057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6" authorId="0" shapeId="0" xr:uid="{00000000-0006-0000-0300-00005811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6" authorId="0" shapeId="0" xr:uid="{00000000-0006-0000-0300-000059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6" authorId="0" shapeId="0" xr:uid="{00000000-0006-0000-0300-00005A11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6" authorId="0" shapeId="0" xr:uid="{00000000-0006-0000-0300-00005B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6" authorId="0" shapeId="0" xr:uid="{00000000-0006-0000-0300-00005C11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6" authorId="0" shapeId="0" xr:uid="{00000000-0006-0000-0300-00005D11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6" authorId="0" shapeId="0" xr:uid="{00000000-0006-0000-0300-00005E11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6" authorId="0" shapeId="0" xr:uid="{00000000-0006-0000-0300-00005F11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6" authorId="0" shapeId="0" xr:uid="{00000000-0006-0000-0300-00006011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6" authorId="0" shapeId="0" xr:uid="{00000000-0006-0000-0300-00006111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6" authorId="0" shapeId="0" xr:uid="{00000000-0006-0000-0300-00006211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6" authorId="0" shapeId="0" xr:uid="{00000000-0006-0000-0300-000063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6" authorId="0" shapeId="0" xr:uid="{00000000-0006-0000-0300-000064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6" authorId="0" shapeId="0" xr:uid="{00000000-0006-0000-0300-000065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6" authorId="0" shapeId="0" xr:uid="{00000000-0006-0000-0300-0000661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6" authorId="0" shapeId="0" xr:uid="{00000000-0006-0000-0300-0000671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6" authorId="0" shapeId="0" xr:uid="{00000000-0006-0000-0300-0000681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6" authorId="0" shapeId="0" xr:uid="{00000000-0006-0000-0300-0000691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6" authorId="0" shapeId="0" xr:uid="{00000000-0006-0000-0300-00006A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6" authorId="0" shapeId="0" xr:uid="{00000000-0006-0000-0300-00006B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6" authorId="0" shapeId="0" xr:uid="{00000000-0006-0000-0300-00006C1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7" authorId="0" shapeId="0" xr:uid="{00000000-0006-0000-0300-00006D110000}">
      <text>
        <r>
          <rPr>
            <sz val="9"/>
            <color indexed="81"/>
            <rFont val="Tahoma"/>
            <charset val="1"/>
          </rPr>
          <t>Date macro run: 2/9/2018 10:51:06 PM</t>
        </r>
      </text>
    </comment>
    <comment ref="B87" authorId="0" shapeId="0" xr:uid="{00000000-0006-0000-0300-00006E1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7" authorId="0" shapeId="0" xr:uid="{00000000-0006-0000-0300-00006F11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7" authorId="0" shapeId="0" xr:uid="{00000000-0006-0000-0300-00007011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7" authorId="0" shapeId="0" xr:uid="{00000000-0006-0000-0300-00007111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7" authorId="0" shapeId="0" xr:uid="{00000000-0006-0000-0300-00007211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7" authorId="0" shapeId="0" xr:uid="{00000000-0006-0000-0300-00007311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7" authorId="0" shapeId="0" xr:uid="{00000000-0006-0000-0300-00007411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7" authorId="0" shapeId="0" xr:uid="{00000000-0006-0000-0300-00007511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7" authorId="0" shapeId="0" xr:uid="{00000000-0006-0000-0300-00007611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7" authorId="0" shapeId="0" xr:uid="{00000000-0006-0000-0300-00007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7" authorId="0" shapeId="0" xr:uid="{00000000-0006-0000-0300-00007811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7" authorId="0" shapeId="0" xr:uid="{00000000-0006-0000-0300-00007911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7" authorId="0" shapeId="0" xr:uid="{00000000-0006-0000-0300-00007A11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7" authorId="0" shapeId="0" xr:uid="{00000000-0006-0000-0300-00007B11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7" authorId="0" shapeId="0" xr:uid="{00000000-0006-0000-0300-00007C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7" authorId="0" shapeId="0" xr:uid="{00000000-0006-0000-0300-00007D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7" authorId="0" shapeId="0" xr:uid="{00000000-0006-0000-0300-00007E11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7" authorId="0" shapeId="0" xr:uid="{00000000-0006-0000-0300-00007F11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7" authorId="0" shapeId="0" xr:uid="{00000000-0006-0000-0300-000080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7" authorId="0" shapeId="0" xr:uid="{00000000-0006-0000-0300-000081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7" authorId="0" shapeId="0" xr:uid="{00000000-0006-0000-0300-000082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7" authorId="0" shapeId="0" xr:uid="{00000000-0006-0000-0300-00008311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7" authorId="0" shapeId="0" xr:uid="{00000000-0006-0000-0300-000084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7" authorId="0" shapeId="0" xr:uid="{00000000-0006-0000-0300-000085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7" authorId="0" shapeId="0" xr:uid="{00000000-0006-0000-0300-00008611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7" authorId="0" shapeId="0" xr:uid="{00000000-0006-0000-0300-00008711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7" authorId="0" shapeId="0" xr:uid="{00000000-0006-0000-0300-00008811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7" authorId="0" shapeId="0" xr:uid="{00000000-0006-0000-0300-00008911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7" authorId="0" shapeId="0" xr:uid="{00000000-0006-0000-0300-00008A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7" authorId="0" shapeId="0" xr:uid="{00000000-0006-0000-0300-00008B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7" authorId="0" shapeId="0" xr:uid="{00000000-0006-0000-0300-00008C11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7" authorId="0" shapeId="0" xr:uid="{00000000-0006-0000-0300-00008D11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7" authorId="0" shapeId="0" xr:uid="{00000000-0006-0000-0300-00008E11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7" authorId="0" shapeId="0" xr:uid="{00000000-0006-0000-0300-00008F11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7" authorId="0" shapeId="0" xr:uid="{00000000-0006-0000-0300-00009011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7" authorId="0" shapeId="0" xr:uid="{00000000-0006-0000-0300-000091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7" authorId="0" shapeId="0" xr:uid="{00000000-0006-0000-0300-00009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7" authorId="0" shapeId="0" xr:uid="{00000000-0006-0000-0300-00009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7" authorId="0" shapeId="0" xr:uid="{00000000-0006-0000-0300-000094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7" authorId="0" shapeId="0" xr:uid="{00000000-0006-0000-0300-000095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7" authorId="0" shapeId="0" xr:uid="{00000000-0006-0000-0300-000096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7" authorId="0" shapeId="0" xr:uid="{00000000-0006-0000-0300-000097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7" authorId="0" shapeId="0" xr:uid="{00000000-0006-0000-0300-00009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7" authorId="0" shapeId="0" xr:uid="{00000000-0006-0000-0300-00009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7" authorId="0" shapeId="0" xr:uid="{00000000-0006-0000-0300-00009A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7" authorId="0" shapeId="0" xr:uid="{00000000-0006-0000-0300-00009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7" authorId="0" shapeId="0" xr:uid="{00000000-0006-0000-0300-00009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7" authorId="0" shapeId="0" xr:uid="{00000000-0006-0000-0300-00009D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7" authorId="0" shapeId="0" xr:uid="{00000000-0006-0000-0300-00009E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7" authorId="0" shapeId="0" xr:uid="{00000000-0006-0000-0300-00009F11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7" authorId="0" shapeId="0" xr:uid="{00000000-0006-0000-0300-0000A0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7" authorId="0" shapeId="0" xr:uid="{00000000-0006-0000-0300-0000A111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7" authorId="0" shapeId="0" xr:uid="{00000000-0006-0000-0300-0000A2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7" authorId="0" shapeId="0" xr:uid="{00000000-0006-0000-0300-0000A311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7" authorId="0" shapeId="0" xr:uid="{00000000-0006-0000-0300-0000A411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7" authorId="0" shapeId="0" xr:uid="{00000000-0006-0000-0300-0000A511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7" authorId="0" shapeId="0" xr:uid="{00000000-0006-0000-0300-0000A611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7" authorId="0" shapeId="0" xr:uid="{00000000-0006-0000-0300-0000A711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7" authorId="0" shapeId="0" xr:uid="{00000000-0006-0000-0300-0000A811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7" authorId="0" shapeId="0" xr:uid="{00000000-0006-0000-0300-0000A911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7" authorId="0" shapeId="0" xr:uid="{00000000-0006-0000-0300-0000AA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7" authorId="0" shapeId="0" xr:uid="{00000000-0006-0000-0300-0000AB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7" authorId="0" shapeId="0" xr:uid="{00000000-0006-0000-0300-0000AC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7" authorId="0" shapeId="0" xr:uid="{00000000-0006-0000-0300-0000AD1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7" authorId="0" shapeId="0" xr:uid="{00000000-0006-0000-0300-0000AE1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7" authorId="0" shapeId="0" xr:uid="{00000000-0006-0000-0300-0000AF1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7" authorId="0" shapeId="0" xr:uid="{00000000-0006-0000-0300-0000B01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7" authorId="0" shapeId="0" xr:uid="{00000000-0006-0000-0300-0000B1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7" authorId="0" shapeId="0" xr:uid="{00000000-0006-0000-0300-0000B2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7" authorId="0" shapeId="0" xr:uid="{00000000-0006-0000-0300-0000B31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8" authorId="0" shapeId="0" xr:uid="{00000000-0006-0000-0300-0000B4110000}">
      <text>
        <r>
          <rPr>
            <sz val="9"/>
            <color indexed="81"/>
            <rFont val="Tahoma"/>
            <charset val="1"/>
          </rPr>
          <t>Date macro run: 2/12/2018 10:27:34 PM</t>
        </r>
      </text>
    </comment>
    <comment ref="B88" authorId="0" shapeId="0" xr:uid="{00000000-0006-0000-0300-0000B51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8" authorId="0" shapeId="0" xr:uid="{00000000-0006-0000-0300-0000B611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8" authorId="0" shapeId="0" xr:uid="{00000000-0006-0000-0300-0000B711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8" authorId="0" shapeId="0" xr:uid="{00000000-0006-0000-0300-0000B811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8" authorId="0" shapeId="0" xr:uid="{00000000-0006-0000-0300-0000B911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8" authorId="0" shapeId="0" xr:uid="{00000000-0006-0000-0300-0000BA11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8" authorId="0" shapeId="0" xr:uid="{00000000-0006-0000-0300-0000BB11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8" authorId="0" shapeId="0" xr:uid="{00000000-0006-0000-0300-0000BC11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8" authorId="0" shapeId="0" xr:uid="{00000000-0006-0000-0300-0000BD11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8" authorId="0" shapeId="0" xr:uid="{00000000-0006-0000-0300-0000B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8" authorId="0" shapeId="0" xr:uid="{00000000-0006-0000-0300-0000BF11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8" authorId="0" shapeId="0" xr:uid="{00000000-0006-0000-0300-0000C011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8" authorId="0" shapeId="0" xr:uid="{00000000-0006-0000-0300-0000C111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8" authorId="0" shapeId="0" xr:uid="{00000000-0006-0000-0300-0000C211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8" authorId="0" shapeId="0" xr:uid="{00000000-0006-0000-0300-0000C3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8" authorId="0" shapeId="0" xr:uid="{00000000-0006-0000-0300-0000C4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8" authorId="0" shapeId="0" xr:uid="{00000000-0006-0000-0300-0000C511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8" authorId="0" shapeId="0" xr:uid="{00000000-0006-0000-0300-0000C611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8" authorId="0" shapeId="0" xr:uid="{00000000-0006-0000-0300-0000C7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8" authorId="0" shapeId="0" xr:uid="{00000000-0006-0000-0300-0000C8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8" authorId="0" shapeId="0" xr:uid="{00000000-0006-0000-0300-0000C9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8" authorId="0" shapeId="0" xr:uid="{00000000-0006-0000-0300-0000CA11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8" authorId="0" shapeId="0" xr:uid="{00000000-0006-0000-0300-0000CB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8" authorId="0" shapeId="0" xr:uid="{00000000-0006-0000-0300-0000CC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8" authorId="0" shapeId="0" xr:uid="{00000000-0006-0000-0300-0000CD11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8" authorId="0" shapeId="0" xr:uid="{00000000-0006-0000-0300-0000CE11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8" authorId="0" shapeId="0" xr:uid="{00000000-0006-0000-0300-0000CF11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8" authorId="0" shapeId="0" xr:uid="{00000000-0006-0000-0300-0000D011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8" authorId="0" shapeId="0" xr:uid="{00000000-0006-0000-0300-0000D11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8" authorId="0" shapeId="0" xr:uid="{00000000-0006-0000-0300-0000D2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8" authorId="0" shapeId="0" xr:uid="{00000000-0006-0000-0300-0000D311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8" authorId="0" shapeId="0" xr:uid="{00000000-0006-0000-0300-0000D411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8" authorId="0" shapeId="0" xr:uid="{00000000-0006-0000-0300-0000D511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8" authorId="0" shapeId="0" xr:uid="{00000000-0006-0000-0300-0000D611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8" authorId="0" shapeId="0" xr:uid="{00000000-0006-0000-0300-0000D711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8" authorId="0" shapeId="0" xr:uid="{00000000-0006-0000-0300-0000D8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8" authorId="0" shapeId="0" xr:uid="{00000000-0006-0000-0300-0000D9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8" authorId="0" shapeId="0" xr:uid="{00000000-0006-0000-0300-0000DA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8" authorId="0" shapeId="0" xr:uid="{00000000-0006-0000-0300-0000DB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8" authorId="0" shapeId="0" xr:uid="{00000000-0006-0000-0300-0000DC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8" authorId="0" shapeId="0" xr:uid="{00000000-0006-0000-0300-0000DD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8" authorId="0" shapeId="0" xr:uid="{00000000-0006-0000-0300-0000DE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8" authorId="0" shapeId="0" xr:uid="{00000000-0006-0000-0300-0000DF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8" authorId="0" shapeId="0" xr:uid="{00000000-0006-0000-0300-0000E0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8" authorId="0" shapeId="0" xr:uid="{00000000-0006-0000-0300-0000E11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8" authorId="0" shapeId="0" xr:uid="{00000000-0006-0000-0300-0000E2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8" authorId="0" shapeId="0" xr:uid="{00000000-0006-0000-0300-0000E31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8" authorId="0" shapeId="0" xr:uid="{00000000-0006-0000-0300-0000E411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8" authorId="0" shapeId="0" xr:uid="{00000000-0006-0000-0300-0000E5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8" authorId="0" shapeId="0" xr:uid="{00000000-0006-0000-0300-0000E611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8" authorId="0" shapeId="0" xr:uid="{00000000-0006-0000-0300-0000E711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8" authorId="0" shapeId="0" xr:uid="{00000000-0006-0000-0300-0000E811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8" authorId="0" shapeId="0" xr:uid="{00000000-0006-0000-0300-0000E9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8" authorId="0" shapeId="0" xr:uid="{00000000-0006-0000-0300-0000EA11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8" authorId="0" shapeId="0" xr:uid="{00000000-0006-0000-0300-0000EB11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8" authorId="0" shapeId="0" xr:uid="{00000000-0006-0000-0300-0000EC11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8" authorId="0" shapeId="0" xr:uid="{00000000-0006-0000-0300-0000ED11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8" authorId="0" shapeId="0" xr:uid="{00000000-0006-0000-0300-0000EE11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8" authorId="0" shapeId="0" xr:uid="{00000000-0006-0000-0300-0000EF11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8" authorId="0" shapeId="0" xr:uid="{00000000-0006-0000-0300-0000F011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8" authorId="0" shapeId="0" xr:uid="{00000000-0006-0000-0300-0000F111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8" authorId="0" shapeId="0" xr:uid="{00000000-0006-0000-0300-0000F2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8" authorId="0" shapeId="0" xr:uid="{00000000-0006-0000-0300-0000F31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8" authorId="0" shapeId="0" xr:uid="{00000000-0006-0000-0300-0000F41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8" authorId="0" shapeId="0" xr:uid="{00000000-0006-0000-0300-0000F51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8" authorId="0" shapeId="0" xr:uid="{00000000-0006-0000-0300-0000F61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8" authorId="0" shapeId="0" xr:uid="{00000000-0006-0000-0300-0000F71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8" authorId="0" shapeId="0" xr:uid="{00000000-0006-0000-0300-0000F81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8" authorId="0" shapeId="0" xr:uid="{00000000-0006-0000-0300-0000F911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8" authorId="0" shapeId="0" xr:uid="{00000000-0006-0000-0300-0000FA1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89" authorId="0" shapeId="0" xr:uid="{00000000-0006-0000-0300-0000FB110000}">
      <text>
        <r>
          <rPr>
            <sz val="9"/>
            <color indexed="81"/>
            <rFont val="Tahoma"/>
            <charset val="1"/>
          </rPr>
          <t>Date macro run: 2/14/2018 9:20:19 PM</t>
        </r>
      </text>
    </comment>
    <comment ref="B89" authorId="0" shapeId="0" xr:uid="{00000000-0006-0000-0300-0000FC1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89" authorId="0" shapeId="0" xr:uid="{00000000-0006-0000-0300-0000FD11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89" authorId="0" shapeId="0" xr:uid="{00000000-0006-0000-0300-0000FE11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89" authorId="0" shapeId="0" xr:uid="{00000000-0006-0000-0300-0000FF11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89" authorId="0" shapeId="0" xr:uid="{00000000-0006-0000-0300-00000012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89" authorId="0" shapeId="0" xr:uid="{00000000-0006-0000-0300-00000112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89" authorId="0" shapeId="0" xr:uid="{00000000-0006-0000-0300-00000212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89" authorId="0" shapeId="0" xr:uid="{00000000-0006-0000-0300-00000312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89" authorId="0" shapeId="0" xr:uid="{00000000-0006-0000-0300-00000412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89" authorId="0" shapeId="0" xr:uid="{00000000-0006-0000-0300-00000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L89" authorId="0" shapeId="0" xr:uid="{00000000-0006-0000-0300-00000612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89" authorId="0" shapeId="0" xr:uid="{00000000-0006-0000-0300-00000712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89" authorId="0" shapeId="0" xr:uid="{00000000-0006-0000-0300-00000812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89" authorId="0" shapeId="0" xr:uid="{00000000-0006-0000-0300-00000912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89" authorId="0" shapeId="0" xr:uid="{00000000-0006-0000-0300-00000A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89" authorId="0" shapeId="0" xr:uid="{00000000-0006-0000-0300-00000B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89" authorId="0" shapeId="0" xr:uid="{00000000-0006-0000-0300-00000C12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89" authorId="0" shapeId="0" xr:uid="{00000000-0006-0000-0300-00000D12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89" authorId="0" shapeId="0" xr:uid="{00000000-0006-0000-0300-00000E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89" authorId="0" shapeId="0" xr:uid="{00000000-0006-0000-0300-00000F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89" authorId="0" shapeId="0" xr:uid="{00000000-0006-0000-0300-000010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89" authorId="0" shapeId="0" xr:uid="{00000000-0006-0000-0300-000011120000}">
      <text>
        <r>
          <rPr>
            <sz val="9"/>
            <color indexed="81"/>
            <rFont val="Tahoma"/>
            <charset val="1"/>
          </rPr>
          <t>Stability=,Expiration=2/1/2018</t>
        </r>
      </text>
    </comment>
    <comment ref="X89" authorId="0" shapeId="0" xr:uid="{00000000-0006-0000-0300-000012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89" authorId="0" shapeId="0" xr:uid="{00000000-0006-0000-0300-000013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89" authorId="0" shapeId="0" xr:uid="{00000000-0006-0000-0300-00001412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89" authorId="0" shapeId="0" xr:uid="{00000000-0006-0000-0300-00001512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89" authorId="0" shapeId="0" xr:uid="{00000000-0006-0000-0300-00001612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89" authorId="0" shapeId="0" xr:uid="{00000000-0006-0000-0300-0000171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89" authorId="0" shapeId="0" xr:uid="{00000000-0006-0000-0300-000018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89" authorId="0" shapeId="0" xr:uid="{00000000-0006-0000-0300-000019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89" authorId="0" shapeId="0" xr:uid="{00000000-0006-0000-0300-00001A12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89" authorId="0" shapeId="0" xr:uid="{00000000-0006-0000-0300-00001B12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89" authorId="0" shapeId="0" xr:uid="{00000000-0006-0000-0300-00001C12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89" authorId="0" shapeId="0" xr:uid="{00000000-0006-0000-0300-00001D12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89" authorId="0" shapeId="0" xr:uid="{00000000-0006-0000-0300-00001E12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89" authorId="0" shapeId="0" xr:uid="{00000000-0006-0000-0300-00001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89" authorId="0" shapeId="0" xr:uid="{00000000-0006-0000-0300-00002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89" authorId="0" shapeId="0" xr:uid="{00000000-0006-0000-0300-00002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89" authorId="0" shapeId="0" xr:uid="{00000000-0006-0000-0300-00002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89" authorId="0" shapeId="0" xr:uid="{00000000-0006-0000-0300-00002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89" authorId="0" shapeId="0" xr:uid="{00000000-0006-0000-0300-00002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89" authorId="0" shapeId="0" xr:uid="{00000000-0006-0000-0300-00002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89" authorId="0" shapeId="0" xr:uid="{00000000-0006-0000-0300-00002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89" authorId="0" shapeId="0" xr:uid="{00000000-0006-0000-0300-00002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89" authorId="0" shapeId="0" xr:uid="{00000000-0006-0000-0300-000028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89" authorId="0" shapeId="0" xr:uid="{00000000-0006-0000-0300-00002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89" authorId="0" shapeId="0" xr:uid="{00000000-0006-0000-0300-00002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89" authorId="0" shapeId="0" xr:uid="{00000000-0006-0000-0300-00002B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89" authorId="0" shapeId="0" xr:uid="{00000000-0006-0000-0300-00002C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89" authorId="0" shapeId="0" xr:uid="{00000000-0006-0000-0300-00002D12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89" authorId="0" shapeId="0" xr:uid="{00000000-0006-0000-0300-00002E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89" authorId="0" shapeId="0" xr:uid="{00000000-0006-0000-0300-00002F12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89" authorId="0" shapeId="0" xr:uid="{00000000-0006-0000-0300-000030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89" authorId="0" shapeId="0" xr:uid="{00000000-0006-0000-0300-00003112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89" authorId="0" shapeId="0" xr:uid="{00000000-0006-0000-0300-00003212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89" authorId="0" shapeId="0" xr:uid="{00000000-0006-0000-0300-00003312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89" authorId="0" shapeId="0" xr:uid="{00000000-0006-0000-0300-00003412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89" authorId="0" shapeId="0" xr:uid="{00000000-0006-0000-0300-00003512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89" authorId="0" shapeId="0" xr:uid="{00000000-0006-0000-0300-00003612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89" authorId="0" shapeId="0" xr:uid="{00000000-0006-0000-0300-00003712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89" authorId="0" shapeId="0" xr:uid="{00000000-0006-0000-0300-000038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89" authorId="0" shapeId="0" xr:uid="{00000000-0006-0000-0300-000039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89" authorId="0" shapeId="0" xr:uid="{00000000-0006-0000-0300-00003A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89" authorId="0" shapeId="0" xr:uid="{00000000-0006-0000-0300-00003B1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89" authorId="0" shapeId="0" xr:uid="{00000000-0006-0000-0300-00003C1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89" authorId="0" shapeId="0" xr:uid="{00000000-0006-0000-0300-00003D1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89" authorId="0" shapeId="0" xr:uid="{00000000-0006-0000-0300-00003E1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89" authorId="0" shapeId="0" xr:uid="{00000000-0006-0000-0300-00003F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89" authorId="0" shapeId="0" xr:uid="{00000000-0006-0000-0300-000040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89" authorId="0" shapeId="0" xr:uid="{00000000-0006-0000-0300-0000411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0" authorId="0" shapeId="0" xr:uid="{00000000-0006-0000-0300-000042120000}">
      <text>
        <r>
          <rPr>
            <sz val="9"/>
            <color indexed="81"/>
            <rFont val="Tahoma"/>
            <charset val="1"/>
          </rPr>
          <t>Date macro run: 2/15/2018 9:23:29 PM</t>
        </r>
      </text>
    </comment>
    <comment ref="B90" authorId="0" shapeId="0" xr:uid="{00000000-0006-0000-0300-0000431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0" authorId="0" shapeId="0" xr:uid="{00000000-0006-0000-0300-00004412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0" authorId="0" shapeId="0" xr:uid="{00000000-0006-0000-0300-00004512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0" authorId="0" shapeId="0" xr:uid="{00000000-0006-0000-0300-00004612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0" authorId="0" shapeId="0" xr:uid="{00000000-0006-0000-0300-00004712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0" authorId="0" shapeId="0" xr:uid="{00000000-0006-0000-0300-00004812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0" authorId="0" shapeId="0" xr:uid="{00000000-0006-0000-0300-00004912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0" authorId="0" shapeId="0" xr:uid="{00000000-0006-0000-0300-00004A120000}">
      <text>
        <r>
          <rPr>
            <sz val="9"/>
            <color indexed="81"/>
            <rFont val="Tahoma"/>
            <charset val="1"/>
          </rPr>
          <t>Stability=,Expiration=3/5/2018</t>
        </r>
      </text>
    </comment>
    <comment ref="J90" authorId="0" shapeId="0" xr:uid="{00000000-0006-0000-0300-00004B12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0" authorId="0" shapeId="0" xr:uid="{00000000-0006-0000-0300-00004C1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0" authorId="0" shapeId="0" xr:uid="{00000000-0006-0000-0300-00004D120000}">
      <text>
        <r>
          <rPr>
            <sz val="9"/>
            <color indexed="81"/>
            <rFont val="Tahoma"/>
            <charset val="1"/>
          </rPr>
          <t>Stability=,Expiration=2/3/2018</t>
        </r>
      </text>
    </comment>
    <comment ref="M90" authorId="0" shapeId="0" xr:uid="{00000000-0006-0000-0300-00004E12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0" authorId="0" shapeId="0" xr:uid="{00000000-0006-0000-0300-00004F12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0" authorId="0" shapeId="0" xr:uid="{00000000-0006-0000-0300-00005012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0" authorId="0" shapeId="0" xr:uid="{00000000-0006-0000-0300-000051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0" authorId="0" shapeId="0" xr:uid="{00000000-0006-0000-0300-000052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0" authorId="0" shapeId="0" xr:uid="{00000000-0006-0000-0300-00005312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0" authorId="0" shapeId="0" xr:uid="{00000000-0006-0000-0300-00005412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0" authorId="0" shapeId="0" xr:uid="{00000000-0006-0000-0300-000055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0" authorId="0" shapeId="0" xr:uid="{00000000-0006-0000-0300-000056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0" authorId="0" shapeId="0" xr:uid="{00000000-0006-0000-0300-000057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0" authorId="0" shapeId="0" xr:uid="{00000000-0006-0000-0300-00005812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0" authorId="0" shapeId="0" xr:uid="{00000000-0006-0000-0300-000059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0" authorId="0" shapeId="0" xr:uid="{00000000-0006-0000-0300-00005A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0" authorId="0" shapeId="0" xr:uid="{00000000-0006-0000-0300-00005B12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0" authorId="0" shapeId="0" xr:uid="{00000000-0006-0000-0300-00005C12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0" authorId="0" shapeId="0" xr:uid="{00000000-0006-0000-0300-00005D12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0" authorId="0" shapeId="0" xr:uid="{00000000-0006-0000-0300-00005E1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0" authorId="0" shapeId="0" xr:uid="{00000000-0006-0000-0300-00005F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0" authorId="0" shapeId="0" xr:uid="{00000000-0006-0000-0300-000060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0" authorId="0" shapeId="0" xr:uid="{00000000-0006-0000-0300-00006112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0" authorId="0" shapeId="0" xr:uid="{00000000-0006-0000-0300-00006212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0" authorId="0" shapeId="0" xr:uid="{00000000-0006-0000-0300-00006312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0" authorId="0" shapeId="0" xr:uid="{00000000-0006-0000-0300-000064120000}">
      <text>
        <r>
          <rPr>
            <sz val="9"/>
            <color indexed="81"/>
            <rFont val="Tahoma"/>
            <charset val="1"/>
          </rPr>
          <t>Stability=,Expiration=2/12/2018</t>
        </r>
      </text>
    </comment>
    <comment ref="AJ90" authorId="0" shapeId="0" xr:uid="{00000000-0006-0000-0300-00006512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0" authorId="0" shapeId="0" xr:uid="{00000000-0006-0000-0300-00006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0" authorId="0" shapeId="0" xr:uid="{00000000-0006-0000-0300-00006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0" authorId="0" shapeId="0" xr:uid="{00000000-0006-0000-0300-00006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0" authorId="0" shapeId="0" xr:uid="{00000000-0006-0000-0300-00006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0" authorId="0" shapeId="0" xr:uid="{00000000-0006-0000-0300-00006A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0" authorId="0" shapeId="0" xr:uid="{00000000-0006-0000-0300-00006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0" authorId="0" shapeId="0" xr:uid="{00000000-0006-0000-0300-00006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90" authorId="0" shapeId="0" xr:uid="{00000000-0006-0000-0300-00006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0" authorId="0" shapeId="0" xr:uid="{00000000-0006-0000-0300-00006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0" authorId="0" shapeId="0" xr:uid="{00000000-0006-0000-0300-00006F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0" authorId="0" shapeId="0" xr:uid="{00000000-0006-0000-0300-00007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0" authorId="0" shapeId="0" xr:uid="{00000000-0006-0000-0300-00007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0" authorId="0" shapeId="0" xr:uid="{00000000-0006-0000-0300-000072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0" authorId="0" shapeId="0" xr:uid="{00000000-0006-0000-0300-000073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0" authorId="0" shapeId="0" xr:uid="{00000000-0006-0000-0300-00007412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0" authorId="0" shapeId="0" xr:uid="{00000000-0006-0000-0300-000075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0" authorId="0" shapeId="0" xr:uid="{00000000-0006-0000-0300-00007612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0" authorId="0" shapeId="0" xr:uid="{00000000-0006-0000-0300-000077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0" authorId="0" shapeId="0" xr:uid="{00000000-0006-0000-0300-00007812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0" authorId="0" shapeId="0" xr:uid="{00000000-0006-0000-0300-00007912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0" authorId="0" shapeId="0" xr:uid="{00000000-0006-0000-0300-00007A12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0" authorId="0" shapeId="0" xr:uid="{00000000-0006-0000-0300-00007B12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0" authorId="0" shapeId="0" xr:uid="{00000000-0006-0000-0300-00007C12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0" authorId="0" shapeId="0" xr:uid="{00000000-0006-0000-0300-00007D12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0" authorId="0" shapeId="0" xr:uid="{00000000-0006-0000-0300-00007E12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0" authorId="0" shapeId="0" xr:uid="{00000000-0006-0000-0300-00007F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0" authorId="0" shapeId="0" xr:uid="{00000000-0006-0000-0300-000080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0" authorId="0" shapeId="0" xr:uid="{00000000-0006-0000-0300-000081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0" authorId="0" shapeId="0" xr:uid="{00000000-0006-0000-0300-0000821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0" authorId="0" shapeId="0" xr:uid="{00000000-0006-0000-0300-0000831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0" authorId="0" shapeId="0" xr:uid="{00000000-0006-0000-0300-0000841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0" authorId="0" shapeId="0" xr:uid="{00000000-0006-0000-0300-0000851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0" authorId="0" shapeId="0" xr:uid="{00000000-0006-0000-0300-000086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0" authorId="0" shapeId="0" xr:uid="{00000000-0006-0000-0300-000087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0" authorId="0" shapeId="0" xr:uid="{00000000-0006-0000-0300-0000881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1" authorId="0" shapeId="0" xr:uid="{00000000-0006-0000-0300-000089120000}">
      <text>
        <r>
          <rPr>
            <sz val="9"/>
            <color indexed="81"/>
            <rFont val="Tahoma"/>
            <charset val="1"/>
          </rPr>
          <t>Date macro run: 2/19/2018 10:32:24 PM</t>
        </r>
      </text>
    </comment>
    <comment ref="B91" authorId="0" shapeId="0" xr:uid="{00000000-0006-0000-0300-00008A1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1" authorId="0" shapeId="0" xr:uid="{00000000-0006-0000-0300-00008B12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1" authorId="0" shapeId="0" xr:uid="{00000000-0006-0000-0300-00008C12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1" authorId="0" shapeId="0" xr:uid="{00000000-0006-0000-0300-00008D12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1" authorId="0" shapeId="0" xr:uid="{00000000-0006-0000-0300-00008E12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1" authorId="0" shapeId="0" xr:uid="{00000000-0006-0000-0300-00008F12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1" authorId="0" shapeId="0" xr:uid="{00000000-0006-0000-0300-00009012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1" authorId="0" shapeId="0" xr:uid="{00000000-0006-0000-0300-00009112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1" authorId="0" shapeId="0" xr:uid="{00000000-0006-0000-0300-00009212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1" authorId="0" shapeId="0" xr:uid="{00000000-0006-0000-0300-0000931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1" authorId="0" shapeId="0" xr:uid="{00000000-0006-0000-0300-0000941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1" authorId="0" shapeId="0" xr:uid="{00000000-0006-0000-0300-00009512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1" authorId="0" shapeId="0" xr:uid="{00000000-0006-0000-0300-00009612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1" authorId="0" shapeId="0" xr:uid="{00000000-0006-0000-0300-00009712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1" authorId="0" shapeId="0" xr:uid="{00000000-0006-0000-0300-000098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1" authorId="0" shapeId="0" xr:uid="{00000000-0006-0000-0300-000099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1" authorId="0" shapeId="0" xr:uid="{00000000-0006-0000-0300-00009A12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1" authorId="0" shapeId="0" xr:uid="{00000000-0006-0000-0300-00009B12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1" authorId="0" shapeId="0" xr:uid="{00000000-0006-0000-0300-00009C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1" authorId="0" shapeId="0" xr:uid="{00000000-0006-0000-0300-00009D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1" authorId="0" shapeId="0" xr:uid="{00000000-0006-0000-0300-00009E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1" authorId="0" shapeId="0" xr:uid="{00000000-0006-0000-0300-00009F12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1" authorId="0" shapeId="0" xr:uid="{00000000-0006-0000-0300-0000A0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1" authorId="0" shapeId="0" xr:uid="{00000000-0006-0000-0300-0000A1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1" authorId="0" shapeId="0" xr:uid="{00000000-0006-0000-0300-0000A212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1" authorId="0" shapeId="0" xr:uid="{00000000-0006-0000-0300-0000A312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1" authorId="0" shapeId="0" xr:uid="{00000000-0006-0000-0300-0000A412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1" authorId="0" shapeId="0" xr:uid="{00000000-0006-0000-0300-0000A51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1" authorId="0" shapeId="0" xr:uid="{00000000-0006-0000-0300-0000A6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1" authorId="0" shapeId="0" xr:uid="{00000000-0006-0000-0300-0000A7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1" authorId="0" shapeId="0" xr:uid="{00000000-0006-0000-0300-0000A812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1" authorId="0" shapeId="0" xr:uid="{00000000-0006-0000-0300-0000A912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1" authorId="0" shapeId="0" xr:uid="{00000000-0006-0000-0300-0000AA12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1" authorId="0" shapeId="0" xr:uid="{00000000-0006-0000-0300-0000AB1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1" authorId="0" shapeId="0" xr:uid="{00000000-0006-0000-0300-0000AC12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1" authorId="0" shapeId="0" xr:uid="{00000000-0006-0000-0300-0000AD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1" authorId="0" shapeId="0" xr:uid="{00000000-0006-0000-0300-0000A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1" authorId="0" shapeId="0" xr:uid="{00000000-0006-0000-0300-0000A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1" authorId="0" shapeId="0" xr:uid="{00000000-0006-0000-0300-0000B0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1" authorId="0" shapeId="0" xr:uid="{00000000-0006-0000-0300-0000B1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1" authorId="0" shapeId="0" xr:uid="{00000000-0006-0000-0300-0000B2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1" authorId="0" shapeId="0" xr:uid="{00000000-0006-0000-0300-0000B3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S91" authorId="0" shapeId="0" xr:uid="{00000000-0006-0000-0300-0000B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1" authorId="0" shapeId="0" xr:uid="{00000000-0006-0000-0300-0000B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1" authorId="0" shapeId="0" xr:uid="{00000000-0006-0000-0300-0000B6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1" authorId="0" shapeId="0" xr:uid="{00000000-0006-0000-0300-0000B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1" authorId="0" shapeId="0" xr:uid="{00000000-0006-0000-0300-0000B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1" authorId="0" shapeId="0" xr:uid="{00000000-0006-0000-0300-0000B9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1" authorId="0" shapeId="0" xr:uid="{00000000-0006-0000-0300-0000BA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1" authorId="0" shapeId="0" xr:uid="{00000000-0006-0000-0300-0000BB12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1" authorId="0" shapeId="0" xr:uid="{00000000-0006-0000-0300-0000BC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1" authorId="0" shapeId="0" xr:uid="{00000000-0006-0000-0300-0000BD12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1" authorId="0" shapeId="0" xr:uid="{00000000-0006-0000-0300-0000BE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1" authorId="0" shapeId="0" xr:uid="{00000000-0006-0000-0300-0000BF12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1" authorId="0" shapeId="0" xr:uid="{00000000-0006-0000-0300-0000C012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1" authorId="0" shapeId="0" xr:uid="{00000000-0006-0000-0300-0000C112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1" authorId="0" shapeId="0" xr:uid="{00000000-0006-0000-0300-0000C212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1" authorId="0" shapeId="0" xr:uid="{00000000-0006-0000-0300-0000C312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1" authorId="0" shapeId="0" xr:uid="{00000000-0006-0000-0300-0000C412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1" authorId="0" shapeId="0" xr:uid="{00000000-0006-0000-0300-0000C512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1" authorId="0" shapeId="0" xr:uid="{00000000-0006-0000-0300-0000C6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1" authorId="0" shapeId="0" xr:uid="{00000000-0006-0000-0300-0000C7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1" authorId="0" shapeId="0" xr:uid="{00000000-0006-0000-0300-0000C81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1" authorId="0" shapeId="0" xr:uid="{00000000-0006-0000-0300-0000C91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1" authorId="0" shapeId="0" xr:uid="{00000000-0006-0000-0300-0000CA1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1" authorId="0" shapeId="0" xr:uid="{00000000-0006-0000-0300-0000CB1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1" authorId="0" shapeId="0" xr:uid="{00000000-0006-0000-0300-0000CC1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1" authorId="0" shapeId="0" xr:uid="{00000000-0006-0000-0300-0000CD1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1" authorId="0" shapeId="0" xr:uid="{00000000-0006-0000-0300-0000CE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1" authorId="0" shapeId="0" xr:uid="{00000000-0006-0000-0300-0000CF1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2" authorId="0" shapeId="0" xr:uid="{00000000-0006-0000-0300-0000D0120000}">
      <text>
        <r>
          <rPr>
            <sz val="9"/>
            <color indexed="81"/>
            <rFont val="Tahoma"/>
            <charset val="1"/>
          </rPr>
          <t>Date macro run: 2/22/2018 8:56:46 PM</t>
        </r>
      </text>
    </comment>
    <comment ref="B92" authorId="0" shapeId="0" xr:uid="{00000000-0006-0000-0300-0000D11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2" authorId="0" shapeId="0" xr:uid="{00000000-0006-0000-0300-0000D212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2" authorId="0" shapeId="0" xr:uid="{00000000-0006-0000-0300-0000D312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2" authorId="0" shapeId="0" xr:uid="{00000000-0006-0000-0300-0000D412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2" authorId="0" shapeId="0" xr:uid="{00000000-0006-0000-0300-0000D512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2" authorId="0" shapeId="0" xr:uid="{00000000-0006-0000-0300-0000D612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2" authorId="0" shapeId="0" xr:uid="{00000000-0006-0000-0300-0000D712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2" authorId="0" shapeId="0" xr:uid="{00000000-0006-0000-0300-0000D812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2" authorId="0" shapeId="0" xr:uid="{00000000-0006-0000-0300-0000D912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2" authorId="0" shapeId="0" xr:uid="{00000000-0006-0000-0300-0000DA1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2" authorId="0" shapeId="0" xr:uid="{00000000-0006-0000-0300-0000DB1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2" authorId="0" shapeId="0" xr:uid="{00000000-0006-0000-0300-0000DC12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2" authorId="0" shapeId="0" xr:uid="{00000000-0006-0000-0300-0000DD12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2" authorId="0" shapeId="0" xr:uid="{00000000-0006-0000-0300-0000DE12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2" authorId="0" shapeId="0" xr:uid="{00000000-0006-0000-0300-0000DF12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2" authorId="0" shapeId="0" xr:uid="{00000000-0006-0000-0300-0000E0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2" authorId="0" shapeId="0" xr:uid="{00000000-0006-0000-0300-0000E112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2" authorId="0" shapeId="0" xr:uid="{00000000-0006-0000-0300-0000E212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2" authorId="0" shapeId="0" xr:uid="{00000000-0006-0000-0300-0000E312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2" authorId="0" shapeId="0" xr:uid="{00000000-0006-0000-0300-0000E4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2" authorId="0" shapeId="0" xr:uid="{00000000-0006-0000-0300-0000E5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2" authorId="0" shapeId="0" xr:uid="{00000000-0006-0000-0300-0000E612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2" authorId="0" shapeId="0" xr:uid="{00000000-0006-0000-0300-0000E7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2" authorId="0" shapeId="0" xr:uid="{00000000-0006-0000-0300-0000E812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2" authorId="0" shapeId="0" xr:uid="{00000000-0006-0000-0300-0000E912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2" authorId="0" shapeId="0" xr:uid="{00000000-0006-0000-0300-0000EA12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2" authorId="0" shapeId="0" xr:uid="{00000000-0006-0000-0300-0000EB12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2" authorId="0" shapeId="0" xr:uid="{00000000-0006-0000-0300-0000EC1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2" authorId="0" shapeId="0" xr:uid="{00000000-0006-0000-0300-0000ED1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2" authorId="0" shapeId="0" xr:uid="{00000000-0006-0000-0300-0000EE12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2" authorId="0" shapeId="0" xr:uid="{00000000-0006-0000-0300-0000EF12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2" authorId="0" shapeId="0" xr:uid="{00000000-0006-0000-0300-0000F012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2" authorId="0" shapeId="0" xr:uid="{00000000-0006-0000-0300-0000F112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2" authorId="0" shapeId="0" xr:uid="{00000000-0006-0000-0300-0000F21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2" authorId="0" shapeId="0" xr:uid="{00000000-0006-0000-0300-0000F312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2" authorId="0" shapeId="0" xr:uid="{00000000-0006-0000-0300-0000F4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2" authorId="0" shapeId="0" xr:uid="{00000000-0006-0000-0300-0000F5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2" authorId="0" shapeId="0" xr:uid="{00000000-0006-0000-0300-0000F6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2" authorId="0" shapeId="0" xr:uid="{00000000-0006-0000-0300-0000F7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2" authorId="0" shapeId="0" xr:uid="{00000000-0006-0000-0300-0000F8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2" authorId="0" shapeId="0" xr:uid="{00000000-0006-0000-0300-0000F9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2" authorId="0" shapeId="0" xr:uid="{00000000-0006-0000-0300-0000FA1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2" authorId="0" shapeId="0" xr:uid="{00000000-0006-0000-0300-0000FB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2" authorId="0" shapeId="0" xr:uid="{00000000-0006-0000-0300-0000FC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2" authorId="0" shapeId="0" xr:uid="{00000000-0006-0000-0300-0000FD1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2" authorId="0" shapeId="0" xr:uid="{00000000-0006-0000-0300-0000FE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2" authorId="0" shapeId="0" xr:uid="{00000000-0006-0000-0300-0000FF1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2" authorId="0" shapeId="0" xr:uid="{00000000-0006-0000-0300-000000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2" authorId="0" shapeId="0" xr:uid="{00000000-0006-0000-0300-000001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2" authorId="0" shapeId="0" xr:uid="{00000000-0006-0000-0300-00000213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2" authorId="0" shapeId="0" xr:uid="{00000000-0006-0000-0300-000003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2" authorId="0" shapeId="0" xr:uid="{00000000-0006-0000-0300-00000413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2" authorId="0" shapeId="0" xr:uid="{00000000-0006-0000-0300-000005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2" authorId="0" shapeId="0" xr:uid="{00000000-0006-0000-0300-00000613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2" authorId="0" shapeId="0" xr:uid="{00000000-0006-0000-0300-00000713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2" authorId="0" shapeId="0" xr:uid="{00000000-0006-0000-0300-000008130000}">
      <text>
        <r>
          <rPr>
            <sz val="9"/>
            <color indexed="81"/>
            <rFont val="Tahoma"/>
            <charset val="1"/>
          </rPr>
          <t>Stability=,Expiration=3/6/2018, 2 boxes expired so deducted down 2 from here</t>
        </r>
      </text>
    </comment>
    <comment ref="BH92" authorId="0" shapeId="0" xr:uid="{00000000-0006-0000-0300-00000913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2" authorId="0" shapeId="0" xr:uid="{00000000-0006-0000-0300-00000A13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2" authorId="0" shapeId="0" xr:uid="{00000000-0006-0000-0300-00000B13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2" authorId="0" shapeId="0" xr:uid="{00000000-0006-0000-0300-00000C13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2" authorId="0" shapeId="0" xr:uid="{00000000-0006-0000-0300-00000D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2" authorId="0" shapeId="0" xr:uid="{00000000-0006-0000-0300-00000E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2" authorId="0" shapeId="0" xr:uid="{00000000-0006-0000-0300-00000F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2" authorId="0" shapeId="0" xr:uid="{00000000-0006-0000-0300-0000101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2" authorId="0" shapeId="0" xr:uid="{00000000-0006-0000-0300-0000111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2" authorId="0" shapeId="0" xr:uid="{00000000-0006-0000-0300-0000121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2" authorId="0" shapeId="0" xr:uid="{00000000-0006-0000-0300-0000131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2" authorId="0" shapeId="0" xr:uid="{00000000-0006-0000-0300-000014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2" authorId="0" shapeId="0" xr:uid="{00000000-0006-0000-0300-000015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2" authorId="0" shapeId="0" xr:uid="{00000000-0006-0000-0300-0000161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3" authorId="0" shapeId="0" xr:uid="{00000000-0006-0000-0300-000017130000}">
      <text>
        <r>
          <rPr>
            <sz val="9"/>
            <color indexed="81"/>
            <rFont val="Tahoma"/>
            <charset val="1"/>
          </rPr>
          <t>Date macro run: 2/26/2018 10:39:50 PM</t>
        </r>
      </text>
    </comment>
    <comment ref="B93" authorId="0" shapeId="0" xr:uid="{00000000-0006-0000-0300-0000181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3" authorId="0" shapeId="0" xr:uid="{00000000-0006-0000-0300-00001913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3" authorId="0" shapeId="0" xr:uid="{00000000-0006-0000-0300-00001A13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3" authorId="0" shapeId="0" xr:uid="{00000000-0006-0000-0300-00001B13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3" authorId="0" shapeId="0" xr:uid="{00000000-0006-0000-0300-00001C13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3" authorId="0" shapeId="0" xr:uid="{00000000-0006-0000-0300-00001D13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3" authorId="0" shapeId="0" xr:uid="{00000000-0006-0000-0300-00001E13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3" authorId="0" shapeId="0" xr:uid="{00000000-0006-0000-0300-00001F13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3" authorId="0" shapeId="0" xr:uid="{00000000-0006-0000-0300-00002013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3" authorId="0" shapeId="0" xr:uid="{00000000-0006-0000-0300-0000211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3" authorId="0" shapeId="0" xr:uid="{00000000-0006-0000-0300-0000221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3" authorId="0" shapeId="0" xr:uid="{00000000-0006-0000-0300-00002313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3" authorId="0" shapeId="0" xr:uid="{00000000-0006-0000-0300-00002413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3" authorId="0" shapeId="0" xr:uid="{00000000-0006-0000-0300-0000251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3" authorId="0" shapeId="0" xr:uid="{00000000-0006-0000-0300-000026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3" authorId="0" shapeId="0" xr:uid="{00000000-0006-0000-0300-000027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3" authorId="0" shapeId="0" xr:uid="{00000000-0006-0000-0300-00002813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3" authorId="0" shapeId="0" xr:uid="{00000000-0006-0000-0300-00002913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3" authorId="0" shapeId="0" xr:uid="{00000000-0006-0000-0300-00002A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3" authorId="0" shapeId="0" xr:uid="{00000000-0006-0000-0300-00002B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3" authorId="0" shapeId="0" xr:uid="{00000000-0006-0000-0300-00002C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3" authorId="0" shapeId="0" xr:uid="{00000000-0006-0000-0300-00002D13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3" authorId="0" shapeId="0" xr:uid="{00000000-0006-0000-0300-00002E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3" authorId="0" shapeId="0" xr:uid="{00000000-0006-0000-0300-00002F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3" authorId="0" shapeId="0" xr:uid="{00000000-0006-0000-0300-00003013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3" authorId="0" shapeId="0" xr:uid="{00000000-0006-0000-0300-00003113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3" authorId="0" shapeId="0" xr:uid="{00000000-0006-0000-0300-00003213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3" authorId="0" shapeId="0" xr:uid="{00000000-0006-0000-0300-0000331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3" authorId="0" shapeId="0" xr:uid="{00000000-0006-0000-0300-000034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3" authorId="0" shapeId="0" xr:uid="{00000000-0006-0000-0300-000035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3" authorId="0" shapeId="0" xr:uid="{00000000-0006-0000-0300-00003613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3" authorId="0" shapeId="0" xr:uid="{00000000-0006-0000-0300-00003713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3" authorId="0" shapeId="0" xr:uid="{00000000-0006-0000-0300-00003813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3" authorId="0" shapeId="0" xr:uid="{00000000-0006-0000-0300-0000391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3" authorId="0" shapeId="0" xr:uid="{00000000-0006-0000-0300-00003A13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3" authorId="0" shapeId="0" xr:uid="{00000000-0006-0000-0300-00003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3" authorId="0" shapeId="0" xr:uid="{00000000-0006-0000-0300-00003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3" authorId="0" shapeId="0" xr:uid="{00000000-0006-0000-0300-00003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3" authorId="0" shapeId="0" xr:uid="{00000000-0006-0000-0300-00003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3" authorId="0" shapeId="0" xr:uid="{00000000-0006-0000-0300-00003F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3" authorId="0" shapeId="0" xr:uid="{00000000-0006-0000-0300-00004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3" authorId="0" shapeId="0" xr:uid="{00000000-0006-0000-0300-0000411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3" authorId="0" shapeId="0" xr:uid="{00000000-0006-0000-0300-00004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3" authorId="0" shapeId="0" xr:uid="{00000000-0006-0000-0300-00004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3" authorId="0" shapeId="0" xr:uid="{00000000-0006-0000-0300-000044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3" authorId="0" shapeId="0" xr:uid="{00000000-0006-0000-0300-00004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3" authorId="0" shapeId="0" xr:uid="{00000000-0006-0000-0300-00004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3" authorId="0" shapeId="0" xr:uid="{00000000-0006-0000-0300-000047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3" authorId="0" shapeId="0" xr:uid="{00000000-0006-0000-0300-000048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3" authorId="0" shapeId="0" xr:uid="{00000000-0006-0000-0300-00004913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3" authorId="0" shapeId="0" xr:uid="{00000000-0006-0000-0300-00004A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3" authorId="0" shapeId="0" xr:uid="{00000000-0006-0000-0300-00004B13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3" authorId="0" shapeId="0" xr:uid="{00000000-0006-0000-0300-00004C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3" authorId="0" shapeId="0" xr:uid="{00000000-0006-0000-0300-00004D13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3" authorId="0" shapeId="0" xr:uid="{00000000-0006-0000-0300-00004E13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3" authorId="0" shapeId="0" xr:uid="{00000000-0006-0000-0300-00004F13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3" authorId="0" shapeId="0" xr:uid="{00000000-0006-0000-0300-00005013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3" authorId="0" shapeId="0" xr:uid="{00000000-0006-0000-0300-00005113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3" authorId="0" shapeId="0" xr:uid="{00000000-0006-0000-0300-00005213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3" authorId="0" shapeId="0" xr:uid="{00000000-0006-0000-0300-00005313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3" authorId="0" shapeId="0" xr:uid="{00000000-0006-0000-0300-000054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3" authorId="0" shapeId="0" xr:uid="{00000000-0006-0000-0300-000055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3" authorId="0" shapeId="0" xr:uid="{00000000-0006-0000-0300-000056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3" authorId="0" shapeId="0" xr:uid="{00000000-0006-0000-0300-0000571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3" authorId="0" shapeId="0" xr:uid="{00000000-0006-0000-0300-0000581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3" authorId="0" shapeId="0" xr:uid="{00000000-0006-0000-0300-0000591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3" authorId="0" shapeId="0" xr:uid="{00000000-0006-0000-0300-00005A1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3" authorId="0" shapeId="0" xr:uid="{00000000-0006-0000-0300-00005B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3" authorId="0" shapeId="0" xr:uid="{00000000-0006-0000-0300-00005C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3" authorId="0" shapeId="0" xr:uid="{00000000-0006-0000-0300-00005D1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4" authorId="0" shapeId="0" xr:uid="{00000000-0006-0000-0300-00005E130000}">
      <text>
        <r>
          <rPr>
            <sz val="9"/>
            <color indexed="81"/>
            <rFont val="Tahoma"/>
            <charset val="1"/>
          </rPr>
          <t>Date macro run: 2/28/2018 9:10:47 PM</t>
        </r>
      </text>
    </comment>
    <comment ref="B94" authorId="0" shapeId="0" xr:uid="{00000000-0006-0000-0300-00005F1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4" authorId="0" shapeId="0" xr:uid="{00000000-0006-0000-0300-00006013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4" authorId="0" shapeId="0" xr:uid="{00000000-0006-0000-0300-00006113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4" authorId="0" shapeId="0" xr:uid="{00000000-0006-0000-0300-00006213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4" authorId="0" shapeId="0" xr:uid="{00000000-0006-0000-0300-00006313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4" authorId="0" shapeId="0" xr:uid="{00000000-0006-0000-0300-00006413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4" authorId="0" shapeId="0" xr:uid="{00000000-0006-0000-0300-00006513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4" authorId="0" shapeId="0" xr:uid="{00000000-0006-0000-0300-00006613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4" authorId="0" shapeId="0" xr:uid="{00000000-0006-0000-0300-00006713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4" authorId="0" shapeId="0" xr:uid="{00000000-0006-0000-0300-0000681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4" authorId="0" shapeId="0" xr:uid="{00000000-0006-0000-0300-0000691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4" authorId="0" shapeId="0" xr:uid="{00000000-0006-0000-0300-00006A13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4" authorId="0" shapeId="0" xr:uid="{00000000-0006-0000-0300-00006B13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4" authorId="0" shapeId="0" xr:uid="{00000000-0006-0000-0300-00006C1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4" authorId="0" shapeId="0" xr:uid="{00000000-0006-0000-0300-00006D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4" authorId="0" shapeId="0" xr:uid="{00000000-0006-0000-0300-00006E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4" authorId="0" shapeId="0" xr:uid="{00000000-0006-0000-0300-00006F13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4" authorId="0" shapeId="0" xr:uid="{00000000-0006-0000-0300-00007013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4" authorId="0" shapeId="0" xr:uid="{00000000-0006-0000-0300-000071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4" authorId="0" shapeId="0" xr:uid="{00000000-0006-0000-0300-000072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4" authorId="0" shapeId="0" xr:uid="{00000000-0006-0000-0300-000073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4" authorId="0" shapeId="0" xr:uid="{00000000-0006-0000-0300-00007413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4" authorId="0" shapeId="0" xr:uid="{00000000-0006-0000-0300-000075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4" authorId="0" shapeId="0" xr:uid="{00000000-0006-0000-0300-000076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4" authorId="0" shapeId="0" xr:uid="{00000000-0006-0000-0300-00007713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4" authorId="0" shapeId="0" xr:uid="{00000000-0006-0000-0300-00007813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4" authorId="0" shapeId="0" xr:uid="{00000000-0006-0000-0300-00007913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4" authorId="0" shapeId="0" xr:uid="{00000000-0006-0000-0300-00007A1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4" authorId="0" shapeId="0" xr:uid="{00000000-0006-0000-0300-00007B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4" authorId="0" shapeId="0" xr:uid="{00000000-0006-0000-0300-00007C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4" authorId="0" shapeId="0" xr:uid="{00000000-0006-0000-0300-00007D13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4" authorId="0" shapeId="0" xr:uid="{00000000-0006-0000-0300-00007E13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4" authorId="0" shapeId="0" xr:uid="{00000000-0006-0000-0300-00007F13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4" authorId="0" shapeId="0" xr:uid="{00000000-0006-0000-0300-0000801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4" authorId="0" shapeId="0" xr:uid="{00000000-0006-0000-0300-00008113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4" authorId="0" shapeId="0" xr:uid="{00000000-0006-0000-0300-000082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4" authorId="0" shapeId="0" xr:uid="{00000000-0006-0000-0300-00008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4" authorId="0" shapeId="0" xr:uid="{00000000-0006-0000-0300-00008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4" authorId="0" shapeId="0" xr:uid="{00000000-0006-0000-0300-000085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4" authorId="0" shapeId="0" xr:uid="{00000000-0006-0000-0300-000086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4" authorId="0" shapeId="0" xr:uid="{00000000-0006-0000-0300-000087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4" authorId="0" shapeId="0" xr:uid="{00000000-0006-0000-0300-0000881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4" authorId="0" shapeId="0" xr:uid="{00000000-0006-0000-0300-00008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4" authorId="0" shapeId="0" xr:uid="{00000000-0006-0000-0300-00008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4" authorId="0" shapeId="0" xr:uid="{00000000-0006-0000-0300-00008B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4" authorId="0" shapeId="0" xr:uid="{00000000-0006-0000-0300-00008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4" authorId="0" shapeId="0" xr:uid="{00000000-0006-0000-0300-00008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4" authorId="0" shapeId="0" xr:uid="{00000000-0006-0000-0300-00008E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4" authorId="0" shapeId="0" xr:uid="{00000000-0006-0000-0300-00008F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4" authorId="0" shapeId="0" xr:uid="{00000000-0006-0000-0300-000090130000}">
      <text>
        <r>
          <rPr>
            <sz val="9"/>
            <color indexed="81"/>
            <rFont val="Tahoma"/>
            <charset val="1"/>
          </rPr>
          <t>Stability=,Expiration=10/20/2018</t>
        </r>
      </text>
    </comment>
    <comment ref="BB94" authorId="0" shapeId="0" xr:uid="{00000000-0006-0000-0300-000091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4" authorId="0" shapeId="0" xr:uid="{00000000-0006-0000-0300-00009213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4" authorId="0" shapeId="0" xr:uid="{00000000-0006-0000-0300-000093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4" authorId="0" shapeId="0" xr:uid="{00000000-0006-0000-0300-00009413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4" authorId="0" shapeId="0" xr:uid="{00000000-0006-0000-0300-00009513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4" authorId="0" shapeId="0" xr:uid="{00000000-0006-0000-0300-00009613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4" authorId="0" shapeId="0" xr:uid="{00000000-0006-0000-0300-00009713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4" authorId="0" shapeId="0" xr:uid="{00000000-0006-0000-0300-00009813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4" authorId="0" shapeId="0" xr:uid="{00000000-0006-0000-0300-00009913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4" authorId="0" shapeId="0" xr:uid="{00000000-0006-0000-0300-00009A13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4" authorId="0" shapeId="0" xr:uid="{00000000-0006-0000-0300-00009B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4" authorId="0" shapeId="0" xr:uid="{00000000-0006-0000-0300-00009C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4" authorId="0" shapeId="0" xr:uid="{00000000-0006-0000-0300-00009D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4" authorId="0" shapeId="0" xr:uid="{00000000-0006-0000-0300-00009E1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4" authorId="0" shapeId="0" xr:uid="{00000000-0006-0000-0300-00009F1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4" authorId="0" shapeId="0" xr:uid="{00000000-0006-0000-0300-0000A01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4" authorId="0" shapeId="0" xr:uid="{00000000-0006-0000-0300-0000A11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4" authorId="0" shapeId="0" xr:uid="{00000000-0006-0000-0300-0000A2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4" authorId="0" shapeId="0" xr:uid="{00000000-0006-0000-0300-0000A3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4" authorId="0" shapeId="0" xr:uid="{00000000-0006-0000-0300-0000A41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5" authorId="0" shapeId="0" xr:uid="{00000000-0006-0000-0300-0000A5130000}">
      <text>
        <r>
          <rPr>
            <sz val="9"/>
            <color indexed="81"/>
            <rFont val="Tahoma"/>
            <charset val="1"/>
          </rPr>
          <t>Date macro run: 3/2/2018 10:09:11 PM</t>
        </r>
      </text>
    </comment>
    <comment ref="B95" authorId="0" shapeId="0" xr:uid="{00000000-0006-0000-0300-0000A61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5" authorId="0" shapeId="0" xr:uid="{00000000-0006-0000-0300-0000A713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5" authorId="0" shapeId="0" xr:uid="{00000000-0006-0000-0300-0000A813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5" authorId="0" shapeId="0" xr:uid="{00000000-0006-0000-0300-0000A913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5" authorId="0" shapeId="0" xr:uid="{00000000-0006-0000-0300-0000AA13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5" authorId="0" shapeId="0" xr:uid="{00000000-0006-0000-0300-0000AB13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5" authorId="0" shapeId="0" xr:uid="{00000000-0006-0000-0300-0000AC13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5" authorId="0" shapeId="0" xr:uid="{00000000-0006-0000-0300-0000AD13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5" authorId="0" shapeId="0" xr:uid="{00000000-0006-0000-0300-0000AE13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5" authorId="0" shapeId="0" xr:uid="{00000000-0006-0000-0300-0000AF1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5" authorId="0" shapeId="0" xr:uid="{00000000-0006-0000-0300-0000B01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5" authorId="0" shapeId="0" xr:uid="{00000000-0006-0000-0300-0000B113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5" authorId="0" shapeId="0" xr:uid="{00000000-0006-0000-0300-0000B213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5" authorId="0" shapeId="0" xr:uid="{00000000-0006-0000-0300-0000B31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5" authorId="0" shapeId="0" xr:uid="{00000000-0006-0000-0300-0000B4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5" authorId="0" shapeId="0" xr:uid="{00000000-0006-0000-0300-0000B5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5" authorId="0" shapeId="0" xr:uid="{00000000-0006-0000-0300-0000B613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5" authorId="0" shapeId="0" xr:uid="{00000000-0006-0000-0300-0000B713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5" authorId="0" shapeId="0" xr:uid="{00000000-0006-0000-0300-0000B8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5" authorId="0" shapeId="0" xr:uid="{00000000-0006-0000-0300-0000B9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5" authorId="0" shapeId="0" xr:uid="{00000000-0006-0000-0300-0000BA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5" authorId="0" shapeId="0" xr:uid="{00000000-0006-0000-0300-0000BB130000}">
      <text>
        <r>
          <rPr>
            <sz val="9"/>
            <color indexed="81"/>
            <rFont val="Tahoma"/>
            <charset val="1"/>
          </rPr>
          <t>Stability=,Expiration=3/26/2018</t>
        </r>
      </text>
    </comment>
    <comment ref="X95" authorId="0" shapeId="0" xr:uid="{00000000-0006-0000-0300-0000BC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5" authorId="0" shapeId="0" xr:uid="{00000000-0006-0000-0300-0000BD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5" authorId="0" shapeId="0" xr:uid="{00000000-0006-0000-0300-0000BE13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5" authorId="0" shapeId="0" xr:uid="{00000000-0006-0000-0300-0000BF13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5" authorId="0" shapeId="0" xr:uid="{00000000-0006-0000-0300-0000C013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5" authorId="0" shapeId="0" xr:uid="{00000000-0006-0000-0300-0000C11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5" authorId="0" shapeId="0" xr:uid="{00000000-0006-0000-0300-0000C2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5" authorId="0" shapeId="0" xr:uid="{00000000-0006-0000-0300-0000C3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5" authorId="0" shapeId="0" xr:uid="{00000000-0006-0000-0300-0000C413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5" authorId="0" shapeId="0" xr:uid="{00000000-0006-0000-0300-0000C513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5" authorId="0" shapeId="0" xr:uid="{00000000-0006-0000-0300-0000C613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5" authorId="0" shapeId="0" xr:uid="{00000000-0006-0000-0300-0000C71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5" authorId="0" shapeId="0" xr:uid="{00000000-0006-0000-0300-0000C813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5" authorId="0" shapeId="0" xr:uid="{00000000-0006-0000-0300-0000C9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5" authorId="0" shapeId="0" xr:uid="{00000000-0006-0000-0300-0000CA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5" authorId="0" shapeId="0" xr:uid="{00000000-0006-0000-0300-0000CB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5" authorId="0" shapeId="0" xr:uid="{00000000-0006-0000-0300-0000CC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5" authorId="0" shapeId="0" xr:uid="{00000000-0006-0000-0300-0000CD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5" authorId="0" shapeId="0" xr:uid="{00000000-0006-0000-0300-0000CE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5" authorId="0" shapeId="0" xr:uid="{00000000-0006-0000-0300-0000CF1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5" authorId="0" shapeId="0" xr:uid="{00000000-0006-0000-0300-0000D0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5" authorId="0" shapeId="0" xr:uid="{00000000-0006-0000-0300-0000D1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5" authorId="0" shapeId="0" xr:uid="{00000000-0006-0000-0300-0000D21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5" authorId="0" shapeId="0" xr:uid="{00000000-0006-0000-0300-0000D3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5" authorId="0" shapeId="0" xr:uid="{00000000-0006-0000-0300-0000D41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5" authorId="0" shapeId="0" xr:uid="{00000000-0006-0000-0300-0000D5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AZ95" authorId="0" shapeId="0" xr:uid="{00000000-0006-0000-0300-0000D6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5" authorId="0" shapeId="0" xr:uid="{00000000-0006-0000-0300-0000D71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5" authorId="0" shapeId="0" xr:uid="{00000000-0006-0000-0300-0000D8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5" authorId="0" shapeId="0" xr:uid="{00000000-0006-0000-0300-0000D913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5" authorId="0" shapeId="0" xr:uid="{00000000-0006-0000-0300-0000DA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5" authorId="0" shapeId="0" xr:uid="{00000000-0006-0000-0300-0000DB13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5" authorId="0" shapeId="0" xr:uid="{00000000-0006-0000-0300-0000DC13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5" authorId="0" shapeId="0" xr:uid="{00000000-0006-0000-0300-0000DD13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5" authorId="0" shapeId="0" xr:uid="{00000000-0006-0000-0300-0000DE13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5" authorId="0" shapeId="0" xr:uid="{00000000-0006-0000-0300-0000DF13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5" authorId="0" shapeId="0" xr:uid="{00000000-0006-0000-0300-0000E013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5" authorId="0" shapeId="0" xr:uid="{00000000-0006-0000-0300-0000E113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5" authorId="0" shapeId="0" xr:uid="{00000000-0006-0000-0300-0000E213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5" authorId="0" shapeId="0" xr:uid="{00000000-0006-0000-0300-0000E3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5" authorId="0" shapeId="0" xr:uid="{00000000-0006-0000-0300-0000E41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5" authorId="0" shapeId="0" xr:uid="{00000000-0006-0000-0300-0000E51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5" authorId="0" shapeId="0" xr:uid="{00000000-0006-0000-0300-0000E61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5" authorId="0" shapeId="0" xr:uid="{00000000-0006-0000-0300-0000E71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5" authorId="0" shapeId="0" xr:uid="{00000000-0006-0000-0300-0000E81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5" authorId="0" shapeId="0" xr:uid="{00000000-0006-0000-0300-0000E91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5" authorId="0" shapeId="0" xr:uid="{00000000-0006-0000-0300-0000EA13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5" authorId="0" shapeId="0" xr:uid="{00000000-0006-0000-0300-0000EB1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6" authorId="0" shapeId="0" xr:uid="{00000000-0006-0000-0300-0000EC130000}">
      <text>
        <r>
          <rPr>
            <sz val="9"/>
            <color indexed="81"/>
            <rFont val="Tahoma"/>
            <charset val="1"/>
          </rPr>
          <t>Date macro run: 3/5/2018 10:45:56 PM</t>
        </r>
      </text>
    </comment>
    <comment ref="B96" authorId="0" shapeId="0" xr:uid="{00000000-0006-0000-0300-0000ED1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6" authorId="0" shapeId="0" xr:uid="{00000000-0006-0000-0300-0000EE13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6" authorId="0" shapeId="0" xr:uid="{00000000-0006-0000-0300-0000EF13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6" authorId="0" shapeId="0" xr:uid="{00000000-0006-0000-0300-0000F013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6" authorId="0" shapeId="0" xr:uid="{00000000-0006-0000-0300-0000F1130000}">
      <text>
        <r>
          <rPr>
            <sz val="9"/>
            <color indexed="81"/>
            <rFont val="Tahoma"/>
            <charset val="1"/>
          </rPr>
          <t>Stability=,Expiration=2/6/2019</t>
        </r>
      </text>
    </comment>
    <comment ref="G96" authorId="0" shapeId="0" xr:uid="{00000000-0006-0000-0300-0000F213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6" authorId="0" shapeId="0" xr:uid="{00000000-0006-0000-0300-0000F313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6" authorId="0" shapeId="0" xr:uid="{00000000-0006-0000-0300-0000F413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6" authorId="0" shapeId="0" xr:uid="{00000000-0006-0000-0300-0000F513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6" authorId="0" shapeId="0" xr:uid="{00000000-0006-0000-0300-0000F61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L96" authorId="0" shapeId="0" xr:uid="{00000000-0006-0000-0300-0000F71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6" authorId="0" shapeId="0" xr:uid="{00000000-0006-0000-0300-0000F813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6" authorId="0" shapeId="0" xr:uid="{00000000-0006-0000-0300-0000F913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6" authorId="0" shapeId="0" xr:uid="{00000000-0006-0000-0300-0000FA1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P96" authorId="0" shapeId="0" xr:uid="{00000000-0006-0000-0300-0000FB13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Q96" authorId="0" shapeId="0" xr:uid="{00000000-0006-0000-0300-0000FC1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6" authorId="0" shapeId="0" xr:uid="{00000000-0006-0000-0300-0000FD13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6" authorId="0" shapeId="0" xr:uid="{00000000-0006-0000-0300-0000FE13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6" authorId="0" shapeId="0" xr:uid="{00000000-0006-0000-0300-0000FF13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6" authorId="0" shapeId="0" xr:uid="{00000000-0006-0000-0300-000000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6" authorId="0" shapeId="0" xr:uid="{00000000-0006-0000-0300-000001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6" authorId="0" shapeId="0" xr:uid="{00000000-0006-0000-0300-00000214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96" authorId="0" shapeId="0" xr:uid="{00000000-0006-0000-0300-000003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6" authorId="0" shapeId="0" xr:uid="{00000000-0006-0000-0300-000004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6" authorId="0" shapeId="0" xr:uid="{00000000-0006-0000-0300-00000514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6" authorId="0" shapeId="0" xr:uid="{00000000-0006-0000-0300-00000614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6" authorId="0" shapeId="0" xr:uid="{00000000-0006-0000-0300-00000714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6" authorId="0" shapeId="0" xr:uid="{00000000-0006-0000-0300-00000814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6" authorId="0" shapeId="0" xr:uid="{00000000-0006-0000-0300-000009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6" authorId="0" shapeId="0" xr:uid="{00000000-0006-0000-0300-00000A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6" authorId="0" shapeId="0" xr:uid="{00000000-0006-0000-0300-00000B14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6" authorId="0" shapeId="0" xr:uid="{00000000-0006-0000-0300-00000C14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6" authorId="0" shapeId="0" xr:uid="{00000000-0006-0000-0300-00000D14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6" authorId="0" shapeId="0" xr:uid="{00000000-0006-0000-0300-00000E1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6" authorId="0" shapeId="0" xr:uid="{00000000-0006-0000-0300-00000F14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6" authorId="0" shapeId="0" xr:uid="{00000000-0006-0000-0300-00001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6" authorId="0" shapeId="0" xr:uid="{00000000-0006-0000-0300-00001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6" authorId="0" shapeId="0" xr:uid="{00000000-0006-0000-0300-00001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6" authorId="0" shapeId="0" xr:uid="{00000000-0006-0000-0300-00001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6" authorId="0" shapeId="0" xr:uid="{00000000-0006-0000-0300-000014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6" authorId="0" shapeId="0" xr:uid="{00000000-0006-0000-0300-00001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6" authorId="0" shapeId="0" xr:uid="{00000000-0006-0000-0300-0000161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6" authorId="0" shapeId="0" xr:uid="{00000000-0006-0000-0300-00001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6" authorId="0" shapeId="0" xr:uid="{00000000-0006-0000-0300-00001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6" authorId="0" shapeId="0" xr:uid="{00000000-0006-0000-0300-000019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6" authorId="0" shapeId="0" xr:uid="{00000000-0006-0000-0300-00001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6" authorId="0" shapeId="0" xr:uid="{00000000-0006-0000-0300-00001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6" authorId="0" shapeId="0" xr:uid="{00000000-0006-0000-0300-00001C14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96" authorId="0" shapeId="0" xr:uid="{00000000-0006-0000-0300-00001D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6" authorId="0" shapeId="0" xr:uid="{00000000-0006-0000-0300-00001E1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6" authorId="0" shapeId="0" xr:uid="{00000000-0006-0000-0300-00001F14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6" authorId="0" shapeId="0" xr:uid="{00000000-0006-0000-0300-00002014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6" authorId="0" shapeId="0" xr:uid="{00000000-0006-0000-0300-000021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6" authorId="0" shapeId="0" xr:uid="{00000000-0006-0000-0300-00002214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6" authorId="0" shapeId="0" xr:uid="{00000000-0006-0000-0300-00002314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6" authorId="0" shapeId="0" xr:uid="{00000000-0006-0000-0300-00002414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6" authorId="0" shapeId="0" xr:uid="{00000000-0006-0000-0300-00002514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6" authorId="0" shapeId="0" xr:uid="{00000000-0006-0000-0300-00002614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6" authorId="0" shapeId="0" xr:uid="{00000000-0006-0000-0300-00002714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6" authorId="0" shapeId="0" xr:uid="{00000000-0006-0000-0300-00002814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6" authorId="0" shapeId="0" xr:uid="{00000000-0006-0000-0300-000029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6" authorId="0" shapeId="0" xr:uid="{00000000-0006-0000-0300-00002A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6" authorId="0" shapeId="0" xr:uid="{00000000-0006-0000-0300-00002B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6" authorId="0" shapeId="0" xr:uid="{00000000-0006-0000-0300-00002C1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6" authorId="0" shapeId="0" xr:uid="{00000000-0006-0000-0300-00002D1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6" authorId="0" shapeId="0" xr:uid="{00000000-0006-0000-0300-00002E1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6" authorId="0" shapeId="0" xr:uid="{00000000-0006-0000-0300-00002F1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6" authorId="0" shapeId="0" xr:uid="{00000000-0006-0000-0300-000030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6" authorId="0" shapeId="0" xr:uid="{00000000-0006-0000-0300-000031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6" authorId="0" shapeId="0" xr:uid="{00000000-0006-0000-0300-00003214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7" authorId="0" shapeId="0" xr:uid="{00000000-0006-0000-0300-000033140000}">
      <text>
        <r>
          <rPr>
            <sz val="9"/>
            <color indexed="81"/>
            <rFont val="Tahoma"/>
            <charset val="1"/>
          </rPr>
          <t>Date macro run: 3/7/2018 10:26:18 PM</t>
        </r>
      </text>
    </comment>
    <comment ref="B97" authorId="0" shapeId="0" xr:uid="{00000000-0006-0000-0300-0000341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7" authorId="0" shapeId="0" xr:uid="{00000000-0006-0000-0300-00003514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7" authorId="0" shapeId="0" xr:uid="{00000000-0006-0000-0300-00003614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7" authorId="0" shapeId="0" xr:uid="{00000000-0006-0000-0300-00003714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7" authorId="0" shapeId="0" xr:uid="{00000000-0006-0000-0300-0000381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97" authorId="0" shapeId="0" xr:uid="{00000000-0006-0000-0300-00003914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7" authorId="0" shapeId="0" xr:uid="{00000000-0006-0000-0300-00003A14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7" authorId="0" shapeId="0" xr:uid="{00000000-0006-0000-0300-00003B14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7" authorId="0" shapeId="0" xr:uid="{00000000-0006-0000-0300-00003C14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7" authorId="0" shapeId="0" xr:uid="{00000000-0006-0000-0300-00003D1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97" authorId="0" shapeId="0" xr:uid="{00000000-0006-0000-0300-00003E1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7" authorId="0" shapeId="0" xr:uid="{00000000-0006-0000-0300-00003F14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7" authorId="0" shapeId="0" xr:uid="{00000000-0006-0000-0300-00004014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7" authorId="0" shapeId="0" xr:uid="{00000000-0006-0000-0300-00004114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97" authorId="0" shapeId="0" xr:uid="{00000000-0006-0000-0300-0000421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97" authorId="0" shapeId="0" xr:uid="{00000000-0006-0000-0300-000043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7" authorId="0" shapeId="0" xr:uid="{00000000-0006-0000-0300-00004414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7" authorId="0" shapeId="0" xr:uid="{00000000-0006-0000-0300-00004514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7" authorId="0" shapeId="0" xr:uid="{00000000-0006-0000-0300-00004614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7" authorId="0" shapeId="0" xr:uid="{00000000-0006-0000-0300-000047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7" authorId="0" shapeId="0" xr:uid="{00000000-0006-0000-0300-000048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7" authorId="0" shapeId="0" xr:uid="{00000000-0006-0000-0300-00004914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97" authorId="0" shapeId="0" xr:uid="{00000000-0006-0000-0300-00004A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7" authorId="0" shapeId="0" xr:uid="{00000000-0006-0000-0300-00004B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7" authorId="0" shapeId="0" xr:uid="{00000000-0006-0000-0300-00004C14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7" authorId="0" shapeId="0" xr:uid="{00000000-0006-0000-0300-00004D14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7" authorId="0" shapeId="0" xr:uid="{00000000-0006-0000-0300-00004E14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7" authorId="0" shapeId="0" xr:uid="{00000000-0006-0000-0300-00004F14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7" authorId="0" shapeId="0" xr:uid="{00000000-0006-0000-0300-000050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7" authorId="0" shapeId="0" xr:uid="{00000000-0006-0000-0300-000051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7" authorId="0" shapeId="0" xr:uid="{00000000-0006-0000-0300-00005214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7" authorId="0" shapeId="0" xr:uid="{00000000-0006-0000-0300-00005314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7" authorId="0" shapeId="0" xr:uid="{00000000-0006-0000-0300-00005414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7" authorId="0" shapeId="0" xr:uid="{00000000-0006-0000-0300-0000551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7" authorId="0" shapeId="0" xr:uid="{00000000-0006-0000-0300-00005614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7" authorId="0" shapeId="0" xr:uid="{00000000-0006-0000-0300-00005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7" authorId="0" shapeId="0" xr:uid="{00000000-0006-0000-0300-00005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7" authorId="0" shapeId="0" xr:uid="{00000000-0006-0000-0300-00005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7" authorId="0" shapeId="0" xr:uid="{00000000-0006-0000-0300-00005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7" authorId="0" shapeId="0" xr:uid="{00000000-0006-0000-0300-00005B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7" authorId="0" shapeId="0" xr:uid="{00000000-0006-0000-0300-00005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7" authorId="0" shapeId="0" xr:uid="{00000000-0006-0000-0300-00005D1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7" authorId="0" shapeId="0" xr:uid="{00000000-0006-0000-0300-00005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7" authorId="0" shapeId="0" xr:uid="{00000000-0006-0000-0300-00005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7" authorId="0" shapeId="0" xr:uid="{00000000-0006-0000-0300-000060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7" authorId="0" shapeId="0" xr:uid="{00000000-0006-0000-0300-00006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7" authorId="0" shapeId="0" xr:uid="{00000000-0006-0000-0300-00006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7" authorId="0" shapeId="0" xr:uid="{00000000-0006-0000-0300-00006314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97" authorId="0" shapeId="0" xr:uid="{00000000-0006-0000-0300-000064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7" authorId="0" shapeId="0" xr:uid="{00000000-0006-0000-0300-0000651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7" authorId="0" shapeId="0" xr:uid="{00000000-0006-0000-0300-00006614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7" authorId="0" shapeId="0" xr:uid="{00000000-0006-0000-0300-00006714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7" authorId="0" shapeId="0" xr:uid="{00000000-0006-0000-0300-000068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7" authorId="0" shapeId="0" xr:uid="{00000000-0006-0000-0300-00006914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7" authorId="0" shapeId="0" xr:uid="{00000000-0006-0000-0300-00006A14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7" authorId="0" shapeId="0" xr:uid="{00000000-0006-0000-0300-00006B140000}">
      <text>
        <r>
          <rPr>
            <sz val="9"/>
            <color indexed="81"/>
            <rFont val="Tahoma"/>
            <charset val="1"/>
          </rPr>
          <t>Stability=,Expiration=3/6/2018</t>
        </r>
      </text>
    </comment>
    <comment ref="BH97" authorId="0" shapeId="0" xr:uid="{00000000-0006-0000-0300-00006C14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7" authorId="0" shapeId="0" xr:uid="{00000000-0006-0000-0300-00006D14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7" authorId="0" shapeId="0" xr:uid="{00000000-0006-0000-0300-00006E14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7" authorId="0" shapeId="0" xr:uid="{00000000-0006-0000-0300-00006F14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7" authorId="0" shapeId="0" xr:uid="{00000000-0006-0000-0300-000070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7" authorId="0" shapeId="0" xr:uid="{00000000-0006-0000-0300-000071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7" authorId="0" shapeId="0" xr:uid="{00000000-0006-0000-0300-000072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7" authorId="0" shapeId="0" xr:uid="{00000000-0006-0000-0300-0000731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7" authorId="0" shapeId="0" xr:uid="{00000000-0006-0000-0300-0000741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7" authorId="0" shapeId="0" xr:uid="{00000000-0006-0000-0300-0000751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7" authorId="0" shapeId="0" xr:uid="{00000000-0006-0000-0300-0000761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7" authorId="0" shapeId="0" xr:uid="{00000000-0006-0000-0300-000077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7" authorId="0" shapeId="0" xr:uid="{00000000-0006-0000-0300-000078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7" authorId="0" shapeId="0" xr:uid="{00000000-0006-0000-0300-00007914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8" authorId="0" shapeId="0" xr:uid="{00000000-0006-0000-0300-00007A140000}">
      <text>
        <r>
          <rPr>
            <sz val="9"/>
            <color indexed="81"/>
            <rFont val="Tahoma"/>
            <charset val="1"/>
          </rPr>
          <t>Date macro run: 3/9/2018 8:27:39 PM</t>
        </r>
      </text>
    </comment>
    <comment ref="B98" authorId="0" shapeId="0" xr:uid="{00000000-0006-0000-0300-00007B1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8" authorId="0" shapeId="0" xr:uid="{00000000-0006-0000-0300-00007C14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8" authorId="0" shapeId="0" xr:uid="{00000000-0006-0000-0300-00007D14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8" authorId="0" shapeId="0" xr:uid="{00000000-0006-0000-0300-00007E14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8" authorId="0" shapeId="0" xr:uid="{00000000-0006-0000-0300-00007F1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98" authorId="0" shapeId="0" xr:uid="{00000000-0006-0000-0300-00008014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8" authorId="0" shapeId="0" xr:uid="{00000000-0006-0000-0300-00008114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8" authorId="0" shapeId="0" xr:uid="{00000000-0006-0000-0300-00008214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8" authorId="0" shapeId="0" xr:uid="{00000000-0006-0000-0300-00008314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8" authorId="0" shapeId="0" xr:uid="{00000000-0006-0000-0300-0000841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98" authorId="0" shapeId="0" xr:uid="{00000000-0006-0000-0300-0000851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8" authorId="0" shapeId="0" xr:uid="{00000000-0006-0000-0300-00008614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8" authorId="0" shapeId="0" xr:uid="{00000000-0006-0000-0300-00008714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8" authorId="0" shapeId="0" xr:uid="{00000000-0006-0000-0300-00008814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98" authorId="0" shapeId="0" xr:uid="{00000000-0006-0000-0300-0000891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98" authorId="0" shapeId="0" xr:uid="{00000000-0006-0000-0300-00008A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R98" authorId="0" shapeId="0" xr:uid="{00000000-0006-0000-0300-00008B14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8" authorId="0" shapeId="0" xr:uid="{00000000-0006-0000-0300-00008C14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8" authorId="0" shapeId="0" xr:uid="{00000000-0006-0000-0300-00008D14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8" authorId="0" shapeId="0" xr:uid="{00000000-0006-0000-0300-00008E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8" authorId="0" shapeId="0" xr:uid="{00000000-0006-0000-0300-00008F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8" authorId="0" shapeId="0" xr:uid="{00000000-0006-0000-0300-00009014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98" authorId="0" shapeId="0" xr:uid="{00000000-0006-0000-0300-000091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8" authorId="0" shapeId="0" xr:uid="{00000000-0006-0000-0300-000092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8" authorId="0" shapeId="0" xr:uid="{00000000-0006-0000-0300-00009314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8" authorId="0" shapeId="0" xr:uid="{00000000-0006-0000-0300-00009414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8" authorId="0" shapeId="0" xr:uid="{00000000-0006-0000-0300-00009514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8" authorId="0" shapeId="0" xr:uid="{00000000-0006-0000-0300-00009614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8" authorId="0" shapeId="0" xr:uid="{00000000-0006-0000-0300-000097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8" authorId="0" shapeId="0" xr:uid="{00000000-0006-0000-0300-000098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8" authorId="0" shapeId="0" xr:uid="{00000000-0006-0000-0300-00009914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8" authorId="0" shapeId="0" xr:uid="{00000000-0006-0000-0300-00009A14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8" authorId="0" shapeId="0" xr:uid="{00000000-0006-0000-0300-00009B14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8" authorId="0" shapeId="0" xr:uid="{00000000-0006-0000-0300-00009C1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8" authorId="0" shapeId="0" xr:uid="{00000000-0006-0000-0300-00009D14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8" authorId="0" shapeId="0" xr:uid="{00000000-0006-0000-0300-00009E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8" authorId="0" shapeId="0" xr:uid="{00000000-0006-0000-0300-00009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8" authorId="0" shapeId="0" xr:uid="{00000000-0006-0000-0300-0000A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8" authorId="0" shapeId="0" xr:uid="{00000000-0006-0000-0300-0000A1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8" authorId="0" shapeId="0" xr:uid="{00000000-0006-0000-0300-0000A2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8" authorId="0" shapeId="0" xr:uid="{00000000-0006-0000-0300-0000A3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8" authorId="0" shapeId="0" xr:uid="{00000000-0006-0000-0300-0000A41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8" authorId="0" shapeId="0" xr:uid="{00000000-0006-0000-0300-0000A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8" authorId="0" shapeId="0" xr:uid="{00000000-0006-0000-0300-0000A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8" authorId="0" shapeId="0" xr:uid="{00000000-0006-0000-0300-0000A7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8" authorId="0" shapeId="0" xr:uid="{00000000-0006-0000-0300-0000A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8" authorId="0" shapeId="0" xr:uid="{00000000-0006-0000-0300-0000A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8" authorId="0" shapeId="0" xr:uid="{00000000-0006-0000-0300-0000AA14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98" authorId="0" shapeId="0" xr:uid="{00000000-0006-0000-0300-0000AB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8" authorId="0" shapeId="0" xr:uid="{00000000-0006-0000-0300-0000AC1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8" authorId="0" shapeId="0" xr:uid="{00000000-0006-0000-0300-0000AD14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8" authorId="0" shapeId="0" xr:uid="{00000000-0006-0000-0300-0000AE14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8" authorId="0" shapeId="0" xr:uid="{00000000-0006-0000-0300-0000AF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8" authorId="0" shapeId="0" xr:uid="{00000000-0006-0000-0300-0000B014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8" authorId="0" shapeId="0" xr:uid="{00000000-0006-0000-0300-0000B114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8" authorId="0" shapeId="0" xr:uid="{00000000-0006-0000-0300-0000B21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98" authorId="0" shapeId="0" xr:uid="{00000000-0006-0000-0300-0000B314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8" authorId="0" shapeId="0" xr:uid="{00000000-0006-0000-0300-0000B414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8" authorId="0" shapeId="0" xr:uid="{00000000-0006-0000-0300-0000B514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8" authorId="0" shapeId="0" xr:uid="{00000000-0006-0000-0300-0000B614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8" authorId="0" shapeId="0" xr:uid="{00000000-0006-0000-0300-0000B7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8" authorId="0" shapeId="0" xr:uid="{00000000-0006-0000-0300-0000B8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8" authorId="0" shapeId="0" xr:uid="{00000000-0006-0000-0300-0000B9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8" authorId="0" shapeId="0" xr:uid="{00000000-0006-0000-0300-0000BA1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8" authorId="0" shapeId="0" xr:uid="{00000000-0006-0000-0300-0000BB1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8" authorId="0" shapeId="0" xr:uid="{00000000-0006-0000-0300-0000BC1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8" authorId="0" shapeId="0" xr:uid="{00000000-0006-0000-0300-0000BD1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8" authorId="0" shapeId="0" xr:uid="{00000000-0006-0000-0300-0000BE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8" authorId="0" shapeId="0" xr:uid="{00000000-0006-0000-0300-0000BF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8" authorId="0" shapeId="0" xr:uid="{00000000-0006-0000-0300-0000C014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99" authorId="0" shapeId="0" xr:uid="{00000000-0006-0000-0300-0000C1140000}">
      <text>
        <r>
          <rPr>
            <sz val="9"/>
            <color indexed="81"/>
            <rFont val="Tahoma"/>
            <charset val="1"/>
          </rPr>
          <t>Date macro run: 3/12/2018 10:15:16 PM</t>
        </r>
      </text>
    </comment>
    <comment ref="B99" authorId="0" shapeId="0" xr:uid="{00000000-0006-0000-0300-0000C21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99" authorId="0" shapeId="0" xr:uid="{00000000-0006-0000-0300-0000C314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99" authorId="0" shapeId="0" xr:uid="{00000000-0006-0000-0300-0000C414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99" authorId="0" shapeId="0" xr:uid="{00000000-0006-0000-0300-0000C514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99" authorId="0" shapeId="0" xr:uid="{00000000-0006-0000-0300-0000C61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99" authorId="0" shapeId="0" xr:uid="{00000000-0006-0000-0300-0000C714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99" authorId="0" shapeId="0" xr:uid="{00000000-0006-0000-0300-0000C814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99" authorId="0" shapeId="0" xr:uid="{00000000-0006-0000-0300-0000C914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99" authorId="0" shapeId="0" xr:uid="{00000000-0006-0000-0300-0000CA14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99" authorId="0" shapeId="0" xr:uid="{00000000-0006-0000-0300-0000CB1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99" authorId="0" shapeId="0" xr:uid="{00000000-0006-0000-0300-0000CC1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99" authorId="0" shapeId="0" xr:uid="{00000000-0006-0000-0300-0000CD14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99" authorId="0" shapeId="0" xr:uid="{00000000-0006-0000-0300-0000CE14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99" authorId="0" shapeId="0" xr:uid="{00000000-0006-0000-0300-0000CF14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99" authorId="0" shapeId="0" xr:uid="{00000000-0006-0000-0300-0000D01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99" authorId="0" shapeId="0" xr:uid="{00000000-0006-0000-0300-0000D114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99" authorId="0" shapeId="0" xr:uid="{00000000-0006-0000-0300-0000D214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99" authorId="0" shapeId="0" xr:uid="{00000000-0006-0000-0300-0000D314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99" authorId="0" shapeId="0" xr:uid="{00000000-0006-0000-0300-0000D414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99" authorId="0" shapeId="0" xr:uid="{00000000-0006-0000-0300-0000D5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99" authorId="0" shapeId="0" xr:uid="{00000000-0006-0000-0300-0000D6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99" authorId="0" shapeId="0" xr:uid="{00000000-0006-0000-0300-0000D714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99" authorId="0" shapeId="0" xr:uid="{00000000-0006-0000-0300-0000D8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99" authorId="0" shapeId="0" xr:uid="{00000000-0006-0000-0300-0000D9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99" authorId="0" shapeId="0" xr:uid="{00000000-0006-0000-0300-0000DA14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99" authorId="0" shapeId="0" xr:uid="{00000000-0006-0000-0300-0000DB14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99" authorId="0" shapeId="0" xr:uid="{00000000-0006-0000-0300-0000DC14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99" authorId="0" shapeId="0" xr:uid="{00000000-0006-0000-0300-0000DD14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99" authorId="0" shapeId="0" xr:uid="{00000000-0006-0000-0300-0000DE1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99" authorId="0" shapeId="0" xr:uid="{00000000-0006-0000-0300-0000DF14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99" authorId="0" shapeId="0" xr:uid="{00000000-0006-0000-0300-0000E014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99" authorId="0" shapeId="0" xr:uid="{00000000-0006-0000-0300-0000E114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99" authorId="0" shapeId="0" xr:uid="{00000000-0006-0000-0300-0000E214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99" authorId="0" shapeId="0" xr:uid="{00000000-0006-0000-0300-0000E31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99" authorId="0" shapeId="0" xr:uid="{00000000-0006-0000-0300-0000E414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99" authorId="0" shapeId="0" xr:uid="{00000000-0006-0000-0300-0000E5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99" authorId="0" shapeId="0" xr:uid="{00000000-0006-0000-0300-0000E6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99" authorId="0" shapeId="0" xr:uid="{00000000-0006-0000-0300-0000E7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99" authorId="0" shapeId="0" xr:uid="{00000000-0006-0000-0300-0000E8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99" authorId="0" shapeId="0" xr:uid="{00000000-0006-0000-0300-0000E9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99" authorId="0" shapeId="0" xr:uid="{00000000-0006-0000-0300-0000EA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99" authorId="0" shapeId="0" xr:uid="{00000000-0006-0000-0300-0000EB1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99" authorId="0" shapeId="0" xr:uid="{00000000-0006-0000-0300-0000EC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99" authorId="0" shapeId="0" xr:uid="{00000000-0006-0000-0300-0000ED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99" authorId="0" shapeId="0" xr:uid="{00000000-0006-0000-0300-0000EE1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99" authorId="0" shapeId="0" xr:uid="{00000000-0006-0000-0300-0000EF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99" authorId="0" shapeId="0" xr:uid="{00000000-0006-0000-0300-0000F01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99" authorId="0" shapeId="0" xr:uid="{00000000-0006-0000-0300-0000F114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99" authorId="0" shapeId="0" xr:uid="{00000000-0006-0000-0300-0000F21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99" authorId="0" shapeId="0" xr:uid="{00000000-0006-0000-0300-0000F31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99" authorId="0" shapeId="0" xr:uid="{00000000-0006-0000-0300-0000F414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99" authorId="0" shapeId="0" xr:uid="{00000000-0006-0000-0300-0000F514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99" authorId="0" shapeId="0" xr:uid="{00000000-0006-0000-0300-0000F6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99" authorId="0" shapeId="0" xr:uid="{00000000-0006-0000-0300-0000F714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99" authorId="0" shapeId="0" xr:uid="{00000000-0006-0000-0300-0000F814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99" authorId="0" shapeId="0" xr:uid="{00000000-0006-0000-0300-0000F91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99" authorId="0" shapeId="0" xr:uid="{00000000-0006-0000-0300-0000FA14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99" authorId="0" shapeId="0" xr:uid="{00000000-0006-0000-0300-0000FB14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99" authorId="0" shapeId="0" xr:uid="{00000000-0006-0000-0300-0000FC14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99" authorId="0" shapeId="0" xr:uid="{00000000-0006-0000-0300-0000FD14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99" authorId="0" shapeId="0" xr:uid="{00000000-0006-0000-0300-0000FE14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99" authorId="0" shapeId="0" xr:uid="{00000000-0006-0000-0300-0000FF1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99" authorId="0" shapeId="0" xr:uid="{00000000-0006-0000-0300-000000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99" authorId="0" shapeId="0" xr:uid="{00000000-0006-0000-0300-00000115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99" authorId="0" shapeId="0" xr:uid="{00000000-0006-0000-0300-00000215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99" authorId="0" shapeId="0" xr:uid="{00000000-0006-0000-0300-00000315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99" authorId="0" shapeId="0" xr:uid="{00000000-0006-0000-0300-00000415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99" authorId="0" shapeId="0" xr:uid="{00000000-0006-0000-0300-000005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99" authorId="0" shapeId="0" xr:uid="{00000000-0006-0000-0300-000006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99" authorId="0" shapeId="0" xr:uid="{00000000-0006-0000-0300-00000715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0" authorId="0" shapeId="0" xr:uid="{00000000-0006-0000-0300-000008150000}">
      <text>
        <r>
          <rPr>
            <sz val="9"/>
            <color indexed="81"/>
            <rFont val="Tahoma"/>
            <charset val="1"/>
          </rPr>
          <t>Date macro run: 3/14/2018 8:46:46 PM</t>
        </r>
      </text>
    </comment>
    <comment ref="B100" authorId="0" shapeId="0" xr:uid="{00000000-0006-0000-0300-00000915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0" authorId="0" shapeId="0" xr:uid="{00000000-0006-0000-0300-00000A15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100" authorId="0" shapeId="0" xr:uid="{00000000-0006-0000-0300-00000B15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100" authorId="0" shapeId="0" xr:uid="{00000000-0006-0000-0300-00000C15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100" authorId="0" shapeId="0" xr:uid="{00000000-0006-0000-0300-00000D15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0" authorId="0" shapeId="0" xr:uid="{00000000-0006-0000-0300-00000E15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0" authorId="0" shapeId="0" xr:uid="{00000000-0006-0000-0300-00000F15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0" authorId="0" shapeId="0" xr:uid="{00000000-0006-0000-0300-00001015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0" authorId="0" shapeId="0" xr:uid="{00000000-0006-0000-0300-00001115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0" authorId="0" shapeId="0" xr:uid="{00000000-0006-0000-0300-00001215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0" authorId="0" shapeId="0" xr:uid="{00000000-0006-0000-0300-00001315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0" authorId="0" shapeId="0" xr:uid="{00000000-0006-0000-0300-00001415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100" authorId="0" shapeId="0" xr:uid="{00000000-0006-0000-0300-00001515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100" authorId="0" shapeId="0" xr:uid="{00000000-0006-0000-0300-00001615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0" authorId="0" shapeId="0" xr:uid="{00000000-0006-0000-0300-00001715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0" authorId="0" shapeId="0" xr:uid="{00000000-0006-0000-0300-00001815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0" authorId="0" shapeId="0" xr:uid="{00000000-0006-0000-0300-00001915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0" authorId="0" shapeId="0" xr:uid="{00000000-0006-0000-0300-00001A15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0" authorId="0" shapeId="0" xr:uid="{00000000-0006-0000-0300-00001B15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100" authorId="0" shapeId="0" xr:uid="{00000000-0006-0000-0300-00001C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0" authorId="0" shapeId="0" xr:uid="{00000000-0006-0000-0300-00001D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0" authorId="0" shapeId="0" xr:uid="{00000000-0006-0000-0300-00001E15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0" authorId="0" shapeId="0" xr:uid="{00000000-0006-0000-0300-00001F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0" authorId="0" shapeId="0" xr:uid="{00000000-0006-0000-0300-000020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0" authorId="0" shapeId="0" xr:uid="{00000000-0006-0000-0300-00002115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100" authorId="0" shapeId="0" xr:uid="{00000000-0006-0000-0300-00002215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0" authorId="0" shapeId="0" xr:uid="{00000000-0006-0000-0300-00002315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0" authorId="0" shapeId="0" xr:uid="{00000000-0006-0000-0300-00002415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0" authorId="0" shapeId="0" xr:uid="{00000000-0006-0000-0300-00002515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0" authorId="0" shapeId="0" xr:uid="{00000000-0006-0000-0300-000026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0" authorId="0" shapeId="0" xr:uid="{00000000-0006-0000-0300-00002715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0" authorId="0" shapeId="0" xr:uid="{00000000-0006-0000-0300-00002815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0" authorId="0" shapeId="0" xr:uid="{00000000-0006-0000-0300-00002915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0" authorId="0" shapeId="0" xr:uid="{00000000-0006-0000-0300-00002A15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0" authorId="0" shapeId="0" xr:uid="{00000000-0006-0000-0300-00002B15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0" authorId="0" shapeId="0" xr:uid="{00000000-0006-0000-0300-00002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0" authorId="0" shapeId="0" xr:uid="{00000000-0006-0000-0300-00002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0" authorId="0" shapeId="0" xr:uid="{00000000-0006-0000-0300-00002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0" authorId="0" shapeId="0" xr:uid="{00000000-0006-0000-0300-00002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0" authorId="0" shapeId="0" xr:uid="{00000000-0006-0000-0300-000030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0" authorId="0" shapeId="0" xr:uid="{00000000-0006-0000-0300-00003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0" authorId="0" shapeId="0" xr:uid="{00000000-0006-0000-0300-00003215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0" authorId="0" shapeId="0" xr:uid="{00000000-0006-0000-0300-00003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0" authorId="0" shapeId="0" xr:uid="{00000000-0006-0000-0300-00003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0" authorId="0" shapeId="0" xr:uid="{00000000-0006-0000-0300-000035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0" authorId="0" shapeId="0" xr:uid="{00000000-0006-0000-0300-00003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0" authorId="0" shapeId="0" xr:uid="{00000000-0006-0000-0300-00003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0" authorId="0" shapeId="0" xr:uid="{00000000-0006-0000-0300-00003815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0" authorId="0" shapeId="0" xr:uid="{00000000-0006-0000-0300-000039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0" authorId="0" shapeId="0" xr:uid="{00000000-0006-0000-0300-00003A15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0" authorId="0" shapeId="0" xr:uid="{00000000-0006-0000-0300-00003B15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0" authorId="0" shapeId="0" xr:uid="{00000000-0006-0000-0300-00003C15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0" authorId="0" shapeId="0" xr:uid="{00000000-0006-0000-0300-00003D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0" authorId="0" shapeId="0" xr:uid="{00000000-0006-0000-0300-00003E15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0" authorId="0" shapeId="0" xr:uid="{00000000-0006-0000-0300-00003F15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0" authorId="0" shapeId="0" xr:uid="{00000000-0006-0000-0300-00004015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0" authorId="0" shapeId="0" xr:uid="{00000000-0006-0000-0300-00004115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0" authorId="0" shapeId="0" xr:uid="{00000000-0006-0000-0300-00004215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0" authorId="0" shapeId="0" xr:uid="{00000000-0006-0000-0300-00004315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0" authorId="0" shapeId="0" xr:uid="{00000000-0006-0000-0300-00004415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0" authorId="0" shapeId="0" xr:uid="{00000000-0006-0000-0300-000045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0" authorId="0" shapeId="0" xr:uid="{00000000-0006-0000-0300-000046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0" authorId="0" shapeId="0" xr:uid="{00000000-0006-0000-0300-000047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0" authorId="0" shapeId="0" xr:uid="{00000000-0006-0000-0300-00004815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0" authorId="0" shapeId="0" xr:uid="{00000000-0006-0000-0300-00004915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0" authorId="0" shapeId="0" xr:uid="{00000000-0006-0000-0300-00004A15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0" authorId="0" shapeId="0" xr:uid="{00000000-0006-0000-0300-00004B15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0" authorId="0" shapeId="0" xr:uid="{00000000-0006-0000-0300-00004C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0" authorId="0" shapeId="0" xr:uid="{00000000-0006-0000-0300-00004D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0" authorId="0" shapeId="0" xr:uid="{00000000-0006-0000-0300-00004E15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1" authorId="0" shapeId="0" xr:uid="{00000000-0006-0000-0300-00004F150000}">
      <text>
        <r>
          <rPr>
            <sz val="9"/>
            <color indexed="81"/>
            <rFont val="Tahoma"/>
            <charset val="1"/>
          </rPr>
          <t>Date macro run: 3/16/2018 6:21:34 PM</t>
        </r>
      </text>
    </comment>
    <comment ref="B101" authorId="0" shapeId="0" xr:uid="{00000000-0006-0000-0300-00005015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1" authorId="0" shapeId="0" xr:uid="{00000000-0006-0000-0300-00005115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101" authorId="0" shapeId="0" xr:uid="{00000000-0006-0000-0300-00005215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101" authorId="0" shapeId="0" xr:uid="{00000000-0006-0000-0300-00005315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101" authorId="0" shapeId="0" xr:uid="{00000000-0006-0000-0300-00005415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1" authorId="0" shapeId="0" xr:uid="{00000000-0006-0000-0300-00005515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1" authorId="0" shapeId="0" xr:uid="{00000000-0006-0000-0300-00005615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1" authorId="0" shapeId="0" xr:uid="{00000000-0006-0000-0300-00005715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1" authorId="0" shapeId="0" xr:uid="{00000000-0006-0000-0300-00005815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1" authorId="0" shapeId="0" xr:uid="{00000000-0006-0000-0300-00005915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1" authorId="0" shapeId="0" xr:uid="{00000000-0006-0000-0300-00005A15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1" authorId="0" shapeId="0" xr:uid="{00000000-0006-0000-0300-00005B15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101" authorId="0" shapeId="0" xr:uid="{00000000-0006-0000-0300-00005C15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101" authorId="0" shapeId="0" xr:uid="{00000000-0006-0000-0300-00005D15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1" authorId="0" shapeId="0" xr:uid="{00000000-0006-0000-0300-00005E15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1" authorId="0" shapeId="0" xr:uid="{00000000-0006-0000-0300-00005F15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1" authorId="0" shapeId="0" xr:uid="{00000000-0006-0000-0300-00006015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1" authorId="0" shapeId="0" xr:uid="{00000000-0006-0000-0300-00006115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1" authorId="0" shapeId="0" xr:uid="{00000000-0006-0000-0300-00006215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101" authorId="0" shapeId="0" xr:uid="{00000000-0006-0000-0300-000063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1" authorId="0" shapeId="0" xr:uid="{00000000-0006-0000-0300-000064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1" authorId="0" shapeId="0" xr:uid="{00000000-0006-0000-0300-00006515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1" authorId="0" shapeId="0" xr:uid="{00000000-0006-0000-0300-000066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1" authorId="0" shapeId="0" xr:uid="{00000000-0006-0000-0300-000067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1" authorId="0" shapeId="0" xr:uid="{00000000-0006-0000-0300-00006815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101" authorId="0" shapeId="0" xr:uid="{00000000-0006-0000-0300-00006915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1" authorId="0" shapeId="0" xr:uid="{00000000-0006-0000-0300-00006A15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1" authorId="0" shapeId="0" xr:uid="{00000000-0006-0000-0300-00006B15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1" authorId="0" shapeId="0" xr:uid="{00000000-0006-0000-0300-00006C15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1" authorId="0" shapeId="0" xr:uid="{00000000-0006-0000-0300-00006D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1" authorId="0" shapeId="0" xr:uid="{00000000-0006-0000-0300-00006E15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1" authorId="0" shapeId="0" xr:uid="{00000000-0006-0000-0300-00006F15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1" authorId="0" shapeId="0" xr:uid="{00000000-0006-0000-0300-00007015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1" authorId="0" shapeId="0" xr:uid="{00000000-0006-0000-0300-00007115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1" authorId="0" shapeId="0" xr:uid="{00000000-0006-0000-0300-00007215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1" authorId="0" shapeId="0" xr:uid="{00000000-0006-0000-0300-000073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1" authorId="0" shapeId="0" xr:uid="{00000000-0006-0000-0300-00007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1" authorId="0" shapeId="0" xr:uid="{00000000-0006-0000-0300-00007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1" authorId="0" shapeId="0" xr:uid="{00000000-0006-0000-0300-000076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1" authorId="0" shapeId="0" xr:uid="{00000000-0006-0000-0300-000077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1" authorId="0" shapeId="0" xr:uid="{00000000-0006-0000-0300-000078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1" authorId="0" shapeId="0" xr:uid="{00000000-0006-0000-0300-00007915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1" authorId="0" shapeId="0" xr:uid="{00000000-0006-0000-0300-00007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1" authorId="0" shapeId="0" xr:uid="{00000000-0006-0000-0300-00007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1" authorId="0" shapeId="0" xr:uid="{00000000-0006-0000-0300-00007C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1" authorId="0" shapeId="0" xr:uid="{00000000-0006-0000-0300-00007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1" authorId="0" shapeId="0" xr:uid="{00000000-0006-0000-0300-00007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1" authorId="0" shapeId="0" xr:uid="{00000000-0006-0000-0300-00007F15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1" authorId="0" shapeId="0" xr:uid="{00000000-0006-0000-0300-000080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1" authorId="0" shapeId="0" xr:uid="{00000000-0006-0000-0300-00008115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1" authorId="0" shapeId="0" xr:uid="{00000000-0006-0000-0300-00008215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1" authorId="0" shapeId="0" xr:uid="{00000000-0006-0000-0300-00008315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1" authorId="0" shapeId="0" xr:uid="{00000000-0006-0000-0300-000084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1" authorId="0" shapeId="0" xr:uid="{00000000-0006-0000-0300-00008515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1" authorId="0" shapeId="0" xr:uid="{00000000-0006-0000-0300-00008615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1" authorId="0" shapeId="0" xr:uid="{00000000-0006-0000-0300-00008715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1" authorId="0" shapeId="0" xr:uid="{00000000-0006-0000-0300-00008815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1" authorId="0" shapeId="0" xr:uid="{00000000-0006-0000-0300-00008915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1" authorId="0" shapeId="0" xr:uid="{00000000-0006-0000-0300-00008A15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1" authorId="0" shapeId="0" xr:uid="{00000000-0006-0000-0300-00008B15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1" authorId="0" shapeId="0" xr:uid="{00000000-0006-0000-0300-00008C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1" authorId="0" shapeId="0" xr:uid="{00000000-0006-0000-0300-00008D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1" authorId="0" shapeId="0" xr:uid="{00000000-0006-0000-0300-00008E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1" authorId="0" shapeId="0" xr:uid="{00000000-0006-0000-0300-00008F15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1" authorId="0" shapeId="0" xr:uid="{00000000-0006-0000-0300-00009015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1" authorId="0" shapeId="0" xr:uid="{00000000-0006-0000-0300-00009115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1" authorId="0" shapeId="0" xr:uid="{00000000-0006-0000-0300-00009215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1" authorId="0" shapeId="0" xr:uid="{00000000-0006-0000-0300-000093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1" authorId="0" shapeId="0" xr:uid="{00000000-0006-0000-0300-000094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1" authorId="0" shapeId="0" xr:uid="{00000000-0006-0000-0300-00009515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2" authorId="0" shapeId="0" xr:uid="{00000000-0006-0000-0300-000096150000}">
      <text>
        <r>
          <rPr>
            <sz val="9"/>
            <color indexed="81"/>
            <rFont val="Tahoma"/>
            <charset val="1"/>
          </rPr>
          <t>Date macro run: 3/19/2018 9:04:21 PM</t>
        </r>
      </text>
    </comment>
    <comment ref="B102" authorId="0" shapeId="0" xr:uid="{00000000-0006-0000-0300-00009715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2" authorId="0" shapeId="0" xr:uid="{00000000-0006-0000-0300-00009815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102" authorId="0" shapeId="0" xr:uid="{00000000-0006-0000-0300-000099150000}">
      <text>
        <r>
          <rPr>
            <sz val="9"/>
            <color indexed="81"/>
            <rFont val="Tahoma"/>
            <charset val="1"/>
          </rPr>
          <t>Stability=,Expiration=3/12/2018</t>
        </r>
      </text>
    </comment>
    <comment ref="E102" authorId="0" shapeId="0" xr:uid="{00000000-0006-0000-0300-00009A15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102" authorId="0" shapeId="0" xr:uid="{00000000-0006-0000-0300-00009B15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2" authorId="0" shapeId="0" xr:uid="{00000000-0006-0000-0300-00009C15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2" authorId="0" shapeId="0" xr:uid="{00000000-0006-0000-0300-00009D15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2" authorId="0" shapeId="0" xr:uid="{00000000-0006-0000-0300-00009E15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2" authorId="0" shapeId="0" xr:uid="{00000000-0006-0000-0300-00009F15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2" authorId="0" shapeId="0" xr:uid="{00000000-0006-0000-0300-0000A015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2" authorId="0" shapeId="0" xr:uid="{00000000-0006-0000-0300-0000A115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2" authorId="0" shapeId="0" xr:uid="{00000000-0006-0000-0300-0000A2150000}">
      <text>
        <r>
          <rPr>
            <sz val="9"/>
            <color indexed="81"/>
            <rFont val="Tahoma"/>
            <charset val="1"/>
          </rPr>
          <t>Stability=,Expiration=10/26/2018</t>
        </r>
      </text>
    </comment>
    <comment ref="N102" authorId="0" shapeId="0" xr:uid="{00000000-0006-0000-0300-0000A3150000}">
      <text>
        <r>
          <rPr>
            <sz val="9"/>
            <color indexed="81"/>
            <rFont val="Tahoma"/>
            <charset val="1"/>
          </rPr>
          <t>Stability=,Expiration=8/8/2018</t>
        </r>
      </text>
    </comment>
    <comment ref="O102" authorId="0" shapeId="0" xr:uid="{00000000-0006-0000-0300-0000A415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2" authorId="0" shapeId="0" xr:uid="{00000000-0006-0000-0300-0000A515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2" authorId="0" shapeId="0" xr:uid="{00000000-0006-0000-0300-0000A615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2" authorId="0" shapeId="0" xr:uid="{00000000-0006-0000-0300-0000A715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2" authorId="0" shapeId="0" xr:uid="{00000000-0006-0000-0300-0000A815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2" authorId="0" shapeId="0" xr:uid="{00000000-0006-0000-0300-0000A9150000}">
      <text>
        <r>
          <rPr>
            <sz val="9"/>
            <color indexed="81"/>
            <rFont val="Tahoma"/>
            <charset val="1"/>
          </rPr>
          <t>Stability=,Expiration=3/13/2018</t>
        </r>
      </text>
    </comment>
    <comment ref="U102" authorId="0" shapeId="0" xr:uid="{00000000-0006-0000-0300-0000AA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2" authorId="0" shapeId="0" xr:uid="{00000000-0006-0000-0300-0000AB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2" authorId="0" shapeId="0" xr:uid="{00000000-0006-0000-0300-0000AC15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2" authorId="0" shapeId="0" xr:uid="{00000000-0006-0000-0300-0000AD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2" authorId="0" shapeId="0" xr:uid="{00000000-0006-0000-0300-0000AE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2" authorId="0" shapeId="0" xr:uid="{00000000-0006-0000-0300-0000AF150000}">
      <text>
        <r>
          <rPr>
            <sz val="9"/>
            <color indexed="81"/>
            <rFont val="Tahoma"/>
            <charset val="1"/>
          </rPr>
          <t>Stability=,Expiration=3/31/2018</t>
        </r>
      </text>
    </comment>
    <comment ref="AA102" authorId="0" shapeId="0" xr:uid="{00000000-0006-0000-0300-0000B015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2" authorId="0" shapeId="0" xr:uid="{00000000-0006-0000-0300-0000B115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2" authorId="0" shapeId="0" xr:uid="{00000000-0006-0000-0300-0000B215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2" authorId="0" shapeId="0" xr:uid="{00000000-0006-0000-0300-0000B315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2" authorId="0" shapeId="0" xr:uid="{00000000-0006-0000-0300-0000B4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2" authorId="0" shapeId="0" xr:uid="{00000000-0006-0000-0300-0000B515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2" authorId="0" shapeId="0" xr:uid="{00000000-0006-0000-0300-0000B615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2" authorId="0" shapeId="0" xr:uid="{00000000-0006-0000-0300-0000B715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2" authorId="0" shapeId="0" xr:uid="{00000000-0006-0000-0300-0000B815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2" authorId="0" shapeId="0" xr:uid="{00000000-0006-0000-0300-0000B915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2" authorId="0" shapeId="0" xr:uid="{00000000-0006-0000-0300-0000BA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2" authorId="0" shapeId="0" xr:uid="{00000000-0006-0000-0300-0000BB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2" authorId="0" shapeId="0" xr:uid="{00000000-0006-0000-0300-0000BC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2" authorId="0" shapeId="0" xr:uid="{00000000-0006-0000-0300-0000BD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2" authorId="0" shapeId="0" xr:uid="{00000000-0006-0000-0300-0000BE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2" authorId="0" shapeId="0" xr:uid="{00000000-0006-0000-0300-0000BF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2" authorId="0" shapeId="0" xr:uid="{00000000-0006-0000-0300-0000C015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2" authorId="0" shapeId="0" xr:uid="{00000000-0006-0000-0300-0000C1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2" authorId="0" shapeId="0" xr:uid="{00000000-0006-0000-0300-0000C2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2" authorId="0" shapeId="0" xr:uid="{00000000-0006-0000-0300-0000C3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2" authorId="0" shapeId="0" xr:uid="{00000000-0006-0000-0300-0000C4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2" authorId="0" shapeId="0" xr:uid="{00000000-0006-0000-0300-0000C515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2" authorId="0" shapeId="0" xr:uid="{00000000-0006-0000-0300-0000C615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2" authorId="0" shapeId="0" xr:uid="{00000000-0006-0000-0300-0000C7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2" authorId="0" shapeId="0" xr:uid="{00000000-0006-0000-0300-0000C815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2" authorId="0" shapeId="0" xr:uid="{00000000-0006-0000-0300-0000C915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2" authorId="0" shapeId="0" xr:uid="{00000000-0006-0000-0300-0000CA15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2" authorId="0" shapeId="0" xr:uid="{00000000-0006-0000-0300-0000CB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2" authorId="0" shapeId="0" xr:uid="{00000000-0006-0000-0300-0000CC15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2" authorId="0" shapeId="0" xr:uid="{00000000-0006-0000-0300-0000CD15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2" authorId="0" shapeId="0" xr:uid="{00000000-0006-0000-0300-0000CE15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2" authorId="0" shapeId="0" xr:uid="{00000000-0006-0000-0300-0000CF15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2" authorId="0" shapeId="0" xr:uid="{00000000-0006-0000-0300-0000D015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2" authorId="0" shapeId="0" xr:uid="{00000000-0006-0000-0300-0000D115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2" authorId="0" shapeId="0" xr:uid="{00000000-0006-0000-0300-0000D215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2" authorId="0" shapeId="0" xr:uid="{00000000-0006-0000-0300-0000D3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2" authorId="0" shapeId="0" xr:uid="{00000000-0006-0000-0300-0000D4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2" authorId="0" shapeId="0" xr:uid="{00000000-0006-0000-0300-0000D515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2" authorId="0" shapeId="0" xr:uid="{00000000-0006-0000-0300-0000D615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2" authorId="0" shapeId="0" xr:uid="{00000000-0006-0000-0300-0000D715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2" authorId="0" shapeId="0" xr:uid="{00000000-0006-0000-0300-0000D815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2" authorId="0" shapeId="0" xr:uid="{00000000-0006-0000-0300-0000D915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2" authorId="0" shapeId="0" xr:uid="{00000000-0006-0000-0300-0000DA15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2" authorId="0" shapeId="0" xr:uid="{00000000-0006-0000-0300-0000DB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2" authorId="0" shapeId="0" xr:uid="{00000000-0006-0000-0300-0000DC15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3" authorId="0" shapeId="0" xr:uid="{00000000-0006-0000-0300-0000DD150000}">
      <text>
        <r>
          <rPr>
            <sz val="9"/>
            <color indexed="81"/>
            <rFont val="Tahoma"/>
            <charset val="1"/>
          </rPr>
          <t>Date macro run: 3/21/2018 9:37:47 PM</t>
        </r>
      </text>
    </comment>
    <comment ref="B103" authorId="0" shapeId="0" xr:uid="{00000000-0006-0000-0300-0000DE15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3" authorId="0" shapeId="0" xr:uid="{00000000-0006-0000-0300-0000DF150000}">
      <text>
        <r>
          <rPr>
            <sz val="9"/>
            <color indexed="81"/>
            <rFont val="Tahoma"/>
            <charset val="1"/>
          </rPr>
          <t>Stability=,Expiration=1/7/2019</t>
        </r>
      </text>
    </comment>
    <comment ref="D103" authorId="0" shapeId="0" xr:uid="{00000000-0006-0000-0300-0000E015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3" authorId="0" shapeId="0" xr:uid="{00000000-0006-0000-0300-0000E1150000}">
      <text>
        <r>
          <rPr>
            <sz val="9"/>
            <color indexed="81"/>
            <rFont val="Tahoma"/>
            <charset val="1"/>
          </rPr>
          <t>Stability=,Expiration=5/3/2019</t>
        </r>
      </text>
    </comment>
    <comment ref="F103" authorId="0" shapeId="0" xr:uid="{00000000-0006-0000-0300-0000E215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3" authorId="0" shapeId="0" xr:uid="{00000000-0006-0000-0300-0000E315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3" authorId="0" shapeId="0" xr:uid="{00000000-0006-0000-0300-0000E415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3" authorId="0" shapeId="0" xr:uid="{00000000-0006-0000-0300-0000E515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3" authorId="0" shapeId="0" xr:uid="{00000000-0006-0000-0300-0000E615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3" authorId="0" shapeId="0" xr:uid="{00000000-0006-0000-0300-0000E715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3" authorId="0" shapeId="0" xr:uid="{00000000-0006-0000-0300-0000E815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3" authorId="0" shapeId="0" xr:uid="{00000000-0006-0000-0300-0000E915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3" authorId="0" shapeId="0" xr:uid="{00000000-0006-0000-0300-0000EA15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3" authorId="0" shapeId="0" xr:uid="{00000000-0006-0000-0300-0000EB15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3" authorId="0" shapeId="0" xr:uid="{00000000-0006-0000-0300-0000EC15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3" authorId="0" shapeId="0" xr:uid="{00000000-0006-0000-0300-0000ED15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3" authorId="0" shapeId="0" xr:uid="{00000000-0006-0000-0300-0000EE15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3" authorId="0" shapeId="0" xr:uid="{00000000-0006-0000-0300-0000EF15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3" authorId="0" shapeId="0" xr:uid="{00000000-0006-0000-0300-0000F015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3" authorId="0" shapeId="0" xr:uid="{00000000-0006-0000-0300-0000F1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3" authorId="0" shapeId="0" xr:uid="{00000000-0006-0000-0300-0000F2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3" authorId="0" shapeId="0" xr:uid="{00000000-0006-0000-0300-0000F315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3" authorId="0" shapeId="0" xr:uid="{00000000-0006-0000-0300-0000F4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3" authorId="0" shapeId="0" xr:uid="{00000000-0006-0000-0300-0000F515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3" authorId="0" shapeId="0" xr:uid="{00000000-0006-0000-0300-0000F615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3" authorId="0" shapeId="0" xr:uid="{00000000-0006-0000-0300-0000F715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3" authorId="0" shapeId="0" xr:uid="{00000000-0006-0000-0300-0000F815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3" authorId="0" shapeId="0" xr:uid="{00000000-0006-0000-0300-0000F915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3" authorId="0" shapeId="0" xr:uid="{00000000-0006-0000-0300-0000FA15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3" authorId="0" shapeId="0" xr:uid="{00000000-0006-0000-0300-0000FB15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3" authorId="0" shapeId="0" xr:uid="{00000000-0006-0000-0300-0000FC15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3" authorId="0" shapeId="0" xr:uid="{00000000-0006-0000-0300-0000FD15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3" authorId="0" shapeId="0" xr:uid="{00000000-0006-0000-0300-0000FE15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3" authorId="0" shapeId="0" xr:uid="{00000000-0006-0000-0300-0000FF15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3" authorId="0" shapeId="0" xr:uid="{00000000-0006-0000-0300-00000016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3" authorId="0" shapeId="0" xr:uid="{00000000-0006-0000-0300-00000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3" authorId="0" shapeId="0" xr:uid="{00000000-0006-0000-0300-00000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3" authorId="0" shapeId="0" xr:uid="{00000000-0006-0000-0300-00000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3" authorId="0" shapeId="0" xr:uid="{00000000-0006-0000-0300-00000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3" authorId="0" shapeId="0" xr:uid="{00000000-0006-0000-0300-000005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3" authorId="0" shapeId="0" xr:uid="{00000000-0006-0000-0300-00000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3" authorId="0" shapeId="0" xr:uid="{00000000-0006-0000-0300-00000716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3" authorId="0" shapeId="0" xr:uid="{00000000-0006-0000-0300-00000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3" authorId="0" shapeId="0" xr:uid="{00000000-0006-0000-0300-00000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3" authorId="0" shapeId="0" xr:uid="{00000000-0006-0000-0300-00000A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3" authorId="0" shapeId="0" xr:uid="{00000000-0006-0000-0300-00000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3" authorId="0" shapeId="0" xr:uid="{00000000-0006-0000-0300-00000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3" authorId="0" shapeId="0" xr:uid="{00000000-0006-0000-0300-00000D16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3" authorId="0" shapeId="0" xr:uid="{00000000-0006-0000-0300-00000E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3" authorId="0" shapeId="0" xr:uid="{00000000-0006-0000-0300-00000F16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3" authorId="0" shapeId="0" xr:uid="{00000000-0006-0000-0300-00001016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3" authorId="0" shapeId="0" xr:uid="{00000000-0006-0000-0300-00001116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3" authorId="0" shapeId="0" xr:uid="{00000000-0006-0000-0300-000012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3" authorId="0" shapeId="0" xr:uid="{00000000-0006-0000-0300-00001316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3" authorId="0" shapeId="0" xr:uid="{00000000-0006-0000-0300-00001416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3" authorId="0" shapeId="0" xr:uid="{00000000-0006-0000-0300-00001516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3" authorId="0" shapeId="0" xr:uid="{00000000-0006-0000-0300-00001616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3" authorId="0" shapeId="0" xr:uid="{00000000-0006-0000-0300-00001716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3" authorId="0" shapeId="0" xr:uid="{00000000-0006-0000-0300-00001816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3" authorId="0" shapeId="0" xr:uid="{00000000-0006-0000-0300-00001916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3" authorId="0" shapeId="0" xr:uid="{00000000-0006-0000-0300-00001A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3" authorId="0" shapeId="0" xr:uid="{00000000-0006-0000-0300-00001B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3" authorId="0" shapeId="0" xr:uid="{00000000-0006-0000-0300-00001C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3" authorId="0" shapeId="0" xr:uid="{00000000-0006-0000-0300-00001D16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3" authorId="0" shapeId="0" xr:uid="{00000000-0006-0000-0300-00001E16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3" authorId="0" shapeId="0" xr:uid="{00000000-0006-0000-0300-00001F16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3" authorId="0" shapeId="0" xr:uid="{00000000-0006-0000-0300-00002016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3" authorId="0" shapeId="0" xr:uid="{00000000-0006-0000-0300-000021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3" authorId="0" shapeId="0" xr:uid="{00000000-0006-0000-0300-000022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3" authorId="0" shapeId="0" xr:uid="{00000000-0006-0000-0300-00002316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4" authorId="0" shapeId="0" xr:uid="{00000000-0006-0000-0300-000024160000}">
      <text>
        <r>
          <rPr>
            <sz val="9"/>
            <color indexed="81"/>
            <rFont val="Tahoma"/>
            <charset val="1"/>
          </rPr>
          <t>Date macro run: 3/23/2018 9:11:16 PM</t>
        </r>
      </text>
    </comment>
    <comment ref="B104" authorId="0" shapeId="0" xr:uid="{00000000-0006-0000-0300-00002516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4" authorId="0" shapeId="0" xr:uid="{00000000-0006-0000-0300-00002616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4" authorId="0" shapeId="0" xr:uid="{00000000-0006-0000-0300-00002716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4" authorId="0" shapeId="0" xr:uid="{00000000-0006-0000-0300-00002816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4" authorId="0" shapeId="0" xr:uid="{00000000-0006-0000-0300-00002916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4" authorId="0" shapeId="0" xr:uid="{00000000-0006-0000-0300-00002A16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4" authorId="0" shapeId="0" xr:uid="{00000000-0006-0000-0300-00002B16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4" authorId="0" shapeId="0" xr:uid="{00000000-0006-0000-0300-00002C16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4" authorId="0" shapeId="0" xr:uid="{00000000-0006-0000-0300-00002D16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4" authorId="0" shapeId="0" xr:uid="{00000000-0006-0000-0300-00002E16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4" authorId="0" shapeId="0" xr:uid="{00000000-0006-0000-0300-00002F16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4" authorId="0" shapeId="0" xr:uid="{00000000-0006-0000-0300-00003016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4" authorId="0" shapeId="0" xr:uid="{00000000-0006-0000-0300-00003116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4" authorId="0" shapeId="0" xr:uid="{00000000-0006-0000-0300-00003216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4" authorId="0" shapeId="0" xr:uid="{00000000-0006-0000-0300-00003316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4" authorId="0" shapeId="0" xr:uid="{00000000-0006-0000-0300-00003416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4" authorId="0" shapeId="0" xr:uid="{00000000-0006-0000-0300-00003516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4" authorId="0" shapeId="0" xr:uid="{00000000-0006-0000-0300-00003616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4" authorId="0" shapeId="0" xr:uid="{00000000-0006-0000-0300-00003716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4" authorId="0" shapeId="0" xr:uid="{00000000-0006-0000-0300-000038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4" authorId="0" shapeId="0" xr:uid="{00000000-0006-0000-0300-000039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4" authorId="0" shapeId="0" xr:uid="{00000000-0006-0000-0300-00003A16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4" authorId="0" shapeId="0" xr:uid="{00000000-0006-0000-0300-00003B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4" authorId="0" shapeId="0" xr:uid="{00000000-0006-0000-0300-00003C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4" authorId="0" shapeId="0" xr:uid="{00000000-0006-0000-0300-00003D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4" authorId="0" shapeId="0" xr:uid="{00000000-0006-0000-0300-00003E16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4" authorId="0" shapeId="0" xr:uid="{00000000-0006-0000-0300-00003F16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4" authorId="0" shapeId="0" xr:uid="{00000000-0006-0000-0300-00004016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4" authorId="0" shapeId="0" xr:uid="{00000000-0006-0000-0300-00004116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4" authorId="0" shapeId="0" xr:uid="{00000000-0006-0000-0300-000042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4" authorId="0" shapeId="0" xr:uid="{00000000-0006-0000-0300-00004316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4" authorId="0" shapeId="0" xr:uid="{00000000-0006-0000-0300-00004416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4" authorId="0" shapeId="0" xr:uid="{00000000-0006-0000-0300-00004516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4" authorId="0" shapeId="0" xr:uid="{00000000-0006-0000-0300-00004616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4" authorId="0" shapeId="0" xr:uid="{00000000-0006-0000-0300-00004716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4" authorId="0" shapeId="0" xr:uid="{00000000-0006-0000-0300-00004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4" authorId="0" shapeId="0" xr:uid="{00000000-0006-0000-0300-00004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4" authorId="0" shapeId="0" xr:uid="{00000000-0006-0000-0300-00004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4" authorId="0" shapeId="0" xr:uid="{00000000-0006-0000-0300-00004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4" authorId="0" shapeId="0" xr:uid="{00000000-0006-0000-0300-00004C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4" authorId="0" shapeId="0" xr:uid="{00000000-0006-0000-0300-00004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4" authorId="0" shapeId="0" xr:uid="{00000000-0006-0000-0300-00004E16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4" authorId="0" shapeId="0" xr:uid="{00000000-0006-0000-0300-00004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4" authorId="0" shapeId="0" xr:uid="{00000000-0006-0000-0300-00005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4" authorId="0" shapeId="0" xr:uid="{00000000-0006-0000-0300-000051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4" authorId="0" shapeId="0" xr:uid="{00000000-0006-0000-0300-00005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4" authorId="0" shapeId="0" xr:uid="{00000000-0006-0000-0300-00005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4" authorId="0" shapeId="0" xr:uid="{00000000-0006-0000-0300-00005416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4" authorId="0" shapeId="0" xr:uid="{00000000-0006-0000-0300-000055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4" authorId="0" shapeId="0" xr:uid="{00000000-0006-0000-0300-00005616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4" authorId="0" shapeId="0" xr:uid="{00000000-0006-0000-0300-00005716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4" authorId="0" shapeId="0" xr:uid="{00000000-0006-0000-0300-00005816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4" authorId="0" shapeId="0" xr:uid="{00000000-0006-0000-0300-000059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4" authorId="0" shapeId="0" xr:uid="{00000000-0006-0000-0300-00005A16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4" authorId="0" shapeId="0" xr:uid="{00000000-0006-0000-0300-00005B16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4" authorId="0" shapeId="0" xr:uid="{00000000-0006-0000-0300-00005C16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4" authorId="0" shapeId="0" xr:uid="{00000000-0006-0000-0300-00005D16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4" authorId="0" shapeId="0" xr:uid="{00000000-0006-0000-0300-00005E16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4" authorId="0" shapeId="0" xr:uid="{00000000-0006-0000-0300-00005F16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4" authorId="0" shapeId="0" xr:uid="{00000000-0006-0000-0300-00006016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4" authorId="0" shapeId="0" xr:uid="{00000000-0006-0000-0300-000061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4" authorId="0" shapeId="0" xr:uid="{00000000-0006-0000-0300-000062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4" authorId="0" shapeId="0" xr:uid="{00000000-0006-0000-0300-000063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4" authorId="0" shapeId="0" xr:uid="{00000000-0006-0000-0300-00006416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4" authorId="0" shapeId="0" xr:uid="{00000000-0006-0000-0300-00006516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4" authorId="0" shapeId="0" xr:uid="{00000000-0006-0000-0300-00006616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4" authorId="0" shapeId="0" xr:uid="{00000000-0006-0000-0300-00006716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4" authorId="0" shapeId="0" xr:uid="{00000000-0006-0000-0300-000068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4" authorId="0" shapeId="0" xr:uid="{00000000-0006-0000-0300-000069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4" authorId="0" shapeId="0" xr:uid="{00000000-0006-0000-0300-00006A16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5" authorId="0" shapeId="0" xr:uid="{00000000-0006-0000-0300-00006B160000}">
      <text>
        <r>
          <rPr>
            <sz val="9"/>
            <color indexed="81"/>
            <rFont val="Tahoma"/>
            <charset val="1"/>
          </rPr>
          <t>Date macro run: 3/26/2018 9:43:46 PM</t>
        </r>
      </text>
    </comment>
    <comment ref="B105" authorId="0" shapeId="0" xr:uid="{00000000-0006-0000-0300-00006C16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5" authorId="0" shapeId="0" xr:uid="{00000000-0006-0000-0300-00006D16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5" authorId="0" shapeId="0" xr:uid="{00000000-0006-0000-0300-00006E16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5" authorId="0" shapeId="0" xr:uid="{00000000-0006-0000-0300-00006F16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5" authorId="0" shapeId="0" xr:uid="{00000000-0006-0000-0300-00007016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5" authorId="0" shapeId="0" xr:uid="{00000000-0006-0000-0300-00007116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5" authorId="0" shapeId="0" xr:uid="{00000000-0006-0000-0300-00007216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5" authorId="0" shapeId="0" xr:uid="{00000000-0006-0000-0300-00007316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5" authorId="0" shapeId="0" xr:uid="{00000000-0006-0000-0300-00007416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5" authorId="0" shapeId="0" xr:uid="{00000000-0006-0000-0300-00007516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5" authorId="0" shapeId="0" xr:uid="{00000000-0006-0000-0300-00007616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5" authorId="0" shapeId="0" xr:uid="{00000000-0006-0000-0300-00007716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5" authorId="0" shapeId="0" xr:uid="{00000000-0006-0000-0300-00007816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5" authorId="0" shapeId="0" xr:uid="{00000000-0006-0000-0300-00007916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5" authorId="0" shapeId="0" xr:uid="{00000000-0006-0000-0300-00007A16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5" authorId="0" shapeId="0" xr:uid="{00000000-0006-0000-0300-00007B16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5" authorId="0" shapeId="0" xr:uid="{00000000-0006-0000-0300-00007C16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5" authorId="0" shapeId="0" xr:uid="{00000000-0006-0000-0300-00007D16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5" authorId="0" shapeId="0" xr:uid="{00000000-0006-0000-0300-00007E16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5" authorId="0" shapeId="0" xr:uid="{00000000-0006-0000-0300-00007F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5" authorId="0" shapeId="0" xr:uid="{00000000-0006-0000-0300-000080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5" authorId="0" shapeId="0" xr:uid="{00000000-0006-0000-0300-00008116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5" authorId="0" shapeId="0" xr:uid="{00000000-0006-0000-0300-000082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5" authorId="0" shapeId="0" xr:uid="{00000000-0006-0000-0300-000083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5" authorId="0" shapeId="0" xr:uid="{00000000-0006-0000-0300-000084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5" authorId="0" shapeId="0" xr:uid="{00000000-0006-0000-0300-00008516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5" authorId="0" shapeId="0" xr:uid="{00000000-0006-0000-0300-00008616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5" authorId="0" shapeId="0" xr:uid="{00000000-0006-0000-0300-00008716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5" authorId="0" shapeId="0" xr:uid="{00000000-0006-0000-0300-00008816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5" authorId="0" shapeId="0" xr:uid="{00000000-0006-0000-0300-000089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5" authorId="0" shapeId="0" xr:uid="{00000000-0006-0000-0300-00008A16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5" authorId="0" shapeId="0" xr:uid="{00000000-0006-0000-0300-00008B16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5" authorId="0" shapeId="0" xr:uid="{00000000-0006-0000-0300-00008C16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5" authorId="0" shapeId="0" xr:uid="{00000000-0006-0000-0300-00008D16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5" authorId="0" shapeId="0" xr:uid="{00000000-0006-0000-0300-00008E16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5" authorId="0" shapeId="0" xr:uid="{00000000-0006-0000-0300-00008F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5" authorId="0" shapeId="0" xr:uid="{00000000-0006-0000-0300-00009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5" authorId="0" shapeId="0" xr:uid="{00000000-0006-0000-0300-00009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5" authorId="0" shapeId="0" xr:uid="{00000000-0006-0000-0300-000092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5" authorId="0" shapeId="0" xr:uid="{00000000-0006-0000-0300-000093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5" authorId="0" shapeId="0" xr:uid="{00000000-0006-0000-0300-000094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5" authorId="0" shapeId="0" xr:uid="{00000000-0006-0000-0300-00009516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5" authorId="0" shapeId="0" xr:uid="{00000000-0006-0000-0300-00009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5" authorId="0" shapeId="0" xr:uid="{00000000-0006-0000-0300-00009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5" authorId="0" shapeId="0" xr:uid="{00000000-0006-0000-0300-000098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5" authorId="0" shapeId="0" xr:uid="{00000000-0006-0000-0300-00009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5" authorId="0" shapeId="0" xr:uid="{00000000-0006-0000-0300-00009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5" authorId="0" shapeId="0" xr:uid="{00000000-0006-0000-0300-00009B16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5" authorId="0" shapeId="0" xr:uid="{00000000-0006-0000-0300-00009C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5" authorId="0" shapeId="0" xr:uid="{00000000-0006-0000-0300-00009D16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5" authorId="0" shapeId="0" xr:uid="{00000000-0006-0000-0300-00009E16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5" authorId="0" shapeId="0" xr:uid="{00000000-0006-0000-0300-00009F16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5" authorId="0" shapeId="0" xr:uid="{00000000-0006-0000-0300-0000A0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5" authorId="0" shapeId="0" xr:uid="{00000000-0006-0000-0300-0000A116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5" authorId="0" shapeId="0" xr:uid="{00000000-0006-0000-0300-0000A216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5" authorId="0" shapeId="0" xr:uid="{00000000-0006-0000-0300-0000A316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5" authorId="0" shapeId="0" xr:uid="{00000000-0006-0000-0300-0000A416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5" authorId="0" shapeId="0" xr:uid="{00000000-0006-0000-0300-0000A516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5" authorId="0" shapeId="0" xr:uid="{00000000-0006-0000-0300-0000A616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5" authorId="0" shapeId="0" xr:uid="{00000000-0006-0000-0300-0000A716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5" authorId="0" shapeId="0" xr:uid="{00000000-0006-0000-0300-0000A8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5" authorId="0" shapeId="0" xr:uid="{00000000-0006-0000-0300-0000A9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5" authorId="0" shapeId="0" xr:uid="{00000000-0006-0000-0300-0000AA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5" authorId="0" shapeId="0" xr:uid="{00000000-0006-0000-0300-0000AB16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5" authorId="0" shapeId="0" xr:uid="{00000000-0006-0000-0300-0000AC16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5" authorId="0" shapeId="0" xr:uid="{00000000-0006-0000-0300-0000AD16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5" authorId="0" shapeId="0" xr:uid="{00000000-0006-0000-0300-0000AE16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5" authorId="0" shapeId="0" xr:uid="{00000000-0006-0000-0300-0000AF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5" authorId="0" shapeId="0" xr:uid="{00000000-0006-0000-0300-0000B0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5" authorId="0" shapeId="0" xr:uid="{00000000-0006-0000-0300-0000B116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6" authorId="0" shapeId="0" xr:uid="{00000000-0006-0000-0300-0000B2160000}">
      <text>
        <r>
          <rPr>
            <sz val="9"/>
            <color indexed="81"/>
            <rFont val="Tahoma"/>
            <charset val="1"/>
          </rPr>
          <t>Date macro run: 3/28/2018 9:28:07 PM</t>
        </r>
      </text>
    </comment>
    <comment ref="B106" authorId="0" shapeId="0" xr:uid="{00000000-0006-0000-0300-0000B316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6" authorId="0" shapeId="0" xr:uid="{00000000-0006-0000-0300-0000B416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6" authorId="0" shapeId="0" xr:uid="{00000000-0006-0000-0300-0000B516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6" authorId="0" shapeId="0" xr:uid="{00000000-0006-0000-0300-0000B616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6" authorId="0" shapeId="0" xr:uid="{00000000-0006-0000-0300-0000B716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6" authorId="0" shapeId="0" xr:uid="{00000000-0006-0000-0300-0000B816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6" authorId="0" shapeId="0" xr:uid="{00000000-0006-0000-0300-0000B916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6" authorId="0" shapeId="0" xr:uid="{00000000-0006-0000-0300-0000BA16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6" authorId="0" shapeId="0" xr:uid="{00000000-0006-0000-0300-0000BB16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6" authorId="0" shapeId="0" xr:uid="{00000000-0006-0000-0300-0000BC16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6" authorId="0" shapeId="0" xr:uid="{00000000-0006-0000-0300-0000BD16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6" authorId="0" shapeId="0" xr:uid="{00000000-0006-0000-0300-0000BE16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6" authorId="0" shapeId="0" xr:uid="{00000000-0006-0000-0300-0000BF16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6" authorId="0" shapeId="0" xr:uid="{00000000-0006-0000-0300-0000C016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6" authorId="0" shapeId="0" xr:uid="{00000000-0006-0000-0300-0000C116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6" authorId="0" shapeId="0" xr:uid="{00000000-0006-0000-0300-0000C216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6" authorId="0" shapeId="0" xr:uid="{00000000-0006-0000-0300-0000C316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6" authorId="0" shapeId="0" xr:uid="{00000000-0006-0000-0300-0000C416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6" authorId="0" shapeId="0" xr:uid="{00000000-0006-0000-0300-0000C516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6" authorId="0" shapeId="0" xr:uid="{00000000-0006-0000-0300-0000C6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6" authorId="0" shapeId="0" xr:uid="{00000000-0006-0000-0300-0000C7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6" authorId="0" shapeId="0" xr:uid="{00000000-0006-0000-0300-0000C816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6" authorId="0" shapeId="0" xr:uid="{00000000-0006-0000-0300-0000C9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6" authorId="0" shapeId="0" xr:uid="{00000000-0006-0000-0300-0000CA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6" authorId="0" shapeId="0" xr:uid="{00000000-0006-0000-0300-0000CB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6" authorId="0" shapeId="0" xr:uid="{00000000-0006-0000-0300-0000CC16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6" authorId="0" shapeId="0" xr:uid="{00000000-0006-0000-0300-0000CD16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6" authorId="0" shapeId="0" xr:uid="{00000000-0006-0000-0300-0000CE16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6" authorId="0" shapeId="0" xr:uid="{00000000-0006-0000-0300-0000CF16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6" authorId="0" shapeId="0" xr:uid="{00000000-0006-0000-0300-0000D0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6" authorId="0" shapeId="0" xr:uid="{00000000-0006-0000-0300-0000D116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6" authorId="0" shapeId="0" xr:uid="{00000000-0006-0000-0300-0000D216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6" authorId="0" shapeId="0" xr:uid="{00000000-0006-0000-0300-0000D316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6" authorId="0" shapeId="0" xr:uid="{00000000-0006-0000-0300-0000D416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6" authorId="0" shapeId="0" xr:uid="{00000000-0006-0000-0300-0000D5160000}">
      <text>
        <r>
          <rPr>
            <sz val="9"/>
            <color indexed="81"/>
            <rFont val="Tahoma"/>
            <charset val="1"/>
          </rPr>
          <t>Stability=,Expiration=4/11/2018</t>
        </r>
      </text>
    </comment>
    <comment ref="AK106" authorId="0" shapeId="0" xr:uid="{00000000-0006-0000-0300-0000D6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6" authorId="0" shapeId="0" xr:uid="{00000000-0006-0000-0300-0000D7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6" authorId="0" shapeId="0" xr:uid="{00000000-0006-0000-0300-0000D8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6" authorId="0" shapeId="0" xr:uid="{00000000-0006-0000-0300-0000D9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6" authorId="0" shapeId="0" xr:uid="{00000000-0006-0000-0300-0000DA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6" authorId="0" shapeId="0" xr:uid="{00000000-0006-0000-0300-0000DB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6" authorId="0" shapeId="0" xr:uid="{00000000-0006-0000-0300-0000DC16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6" authorId="0" shapeId="0" xr:uid="{00000000-0006-0000-0300-0000DD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6" authorId="0" shapeId="0" xr:uid="{00000000-0006-0000-0300-0000DE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6" authorId="0" shapeId="0" xr:uid="{00000000-0006-0000-0300-0000DF16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6" authorId="0" shapeId="0" xr:uid="{00000000-0006-0000-0300-0000E0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6" authorId="0" shapeId="0" xr:uid="{00000000-0006-0000-0300-0000E116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6" authorId="0" shapeId="0" xr:uid="{00000000-0006-0000-0300-0000E216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6" authorId="0" shapeId="0" xr:uid="{00000000-0006-0000-0300-0000E3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6" authorId="0" shapeId="0" xr:uid="{00000000-0006-0000-0300-0000E416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6" authorId="0" shapeId="0" xr:uid="{00000000-0006-0000-0300-0000E516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6" authorId="0" shapeId="0" xr:uid="{00000000-0006-0000-0300-0000E616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6" authorId="0" shapeId="0" xr:uid="{00000000-0006-0000-0300-0000E7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6" authorId="0" shapeId="0" xr:uid="{00000000-0006-0000-0300-0000E8160000}">
      <text>
        <r>
          <rPr>
            <sz val="9"/>
            <color indexed="81"/>
            <rFont val="Tahoma"/>
            <charset val="1"/>
          </rPr>
          <t>Stability=,Expiration=4/4/2018</t>
        </r>
      </text>
    </comment>
    <comment ref="BF106" authorId="0" shapeId="0" xr:uid="{00000000-0006-0000-0300-0000E916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6" authorId="0" shapeId="0" xr:uid="{00000000-0006-0000-0300-0000EA16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6" authorId="0" shapeId="0" xr:uid="{00000000-0006-0000-0300-0000EB16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6" authorId="0" shapeId="0" xr:uid="{00000000-0006-0000-0300-0000EC16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6" authorId="0" shapeId="0" xr:uid="{00000000-0006-0000-0300-0000ED16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6" authorId="0" shapeId="0" xr:uid="{00000000-0006-0000-0300-0000EE16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6" authorId="0" shapeId="0" xr:uid="{00000000-0006-0000-0300-0000EF16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6" authorId="0" shapeId="0" xr:uid="{00000000-0006-0000-0300-0000F0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6" authorId="0" shapeId="0" xr:uid="{00000000-0006-0000-0300-0000F116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6" authorId="0" shapeId="0" xr:uid="{00000000-0006-0000-0300-0000F216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6" authorId="0" shapeId="0" xr:uid="{00000000-0006-0000-0300-0000F316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6" authorId="0" shapeId="0" xr:uid="{00000000-0006-0000-0300-0000F416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6" authorId="0" shapeId="0" xr:uid="{00000000-0006-0000-0300-0000F516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6" authorId="0" shapeId="0" xr:uid="{00000000-0006-0000-0300-0000F616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6" authorId="0" shapeId="0" xr:uid="{00000000-0006-0000-0300-0000F716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6" authorId="0" shapeId="0" xr:uid="{00000000-0006-0000-0300-0000F816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7" authorId="0" shapeId="0" xr:uid="{00000000-0006-0000-0300-0000F9160000}">
      <text>
        <r>
          <rPr>
            <sz val="9"/>
            <color indexed="81"/>
            <rFont val="Tahoma"/>
            <charset val="1"/>
          </rPr>
          <t>Date macro run: 4/2/2018 10:00:38 PM</t>
        </r>
      </text>
    </comment>
    <comment ref="B107" authorId="0" shapeId="0" xr:uid="{00000000-0006-0000-0300-0000FA16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7" authorId="0" shapeId="0" xr:uid="{00000000-0006-0000-0300-0000FB16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7" authorId="0" shapeId="0" xr:uid="{00000000-0006-0000-0300-0000FC16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7" authorId="0" shapeId="0" xr:uid="{00000000-0006-0000-0300-0000FD16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7" authorId="0" shapeId="0" xr:uid="{00000000-0006-0000-0300-0000FE16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7" authorId="0" shapeId="0" xr:uid="{00000000-0006-0000-0300-0000FF16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7" authorId="0" shapeId="0" xr:uid="{00000000-0006-0000-0300-000000170000}">
      <text>
        <r>
          <rPr>
            <sz val="9"/>
            <color indexed="81"/>
            <rFont val="Tahoma"/>
            <charset val="1"/>
          </rPr>
          <t>Stability=,Expiration=4/3/2018</t>
        </r>
      </text>
    </comment>
    <comment ref="I107" authorId="0" shapeId="0" xr:uid="{00000000-0006-0000-0300-00000117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7" authorId="0" shapeId="0" xr:uid="{00000000-0006-0000-0300-0000021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7" authorId="0" shapeId="0" xr:uid="{00000000-0006-0000-0300-00000317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7" authorId="0" shapeId="0" xr:uid="{00000000-0006-0000-0300-00000417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7" authorId="0" shapeId="0" xr:uid="{00000000-0006-0000-0300-00000517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7" authorId="0" shapeId="0" xr:uid="{00000000-0006-0000-0300-00000617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7" authorId="0" shapeId="0" xr:uid="{00000000-0006-0000-0300-00000717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7" authorId="0" shapeId="0" xr:uid="{00000000-0006-0000-0300-00000817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7" authorId="0" shapeId="0" xr:uid="{00000000-0006-0000-0300-00000917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7" authorId="0" shapeId="0" xr:uid="{00000000-0006-0000-0300-00000A1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7" authorId="0" shapeId="0" xr:uid="{00000000-0006-0000-0300-00000B1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7" authorId="0" shapeId="0" xr:uid="{00000000-0006-0000-0300-00000C17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7" authorId="0" shapeId="0" xr:uid="{00000000-0006-0000-0300-00000D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7" authorId="0" shapeId="0" xr:uid="{00000000-0006-0000-0300-00000E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7" authorId="0" shapeId="0" xr:uid="{00000000-0006-0000-0300-00000F17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7" authorId="0" shapeId="0" xr:uid="{00000000-0006-0000-0300-000010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7" authorId="0" shapeId="0" xr:uid="{00000000-0006-0000-0300-000011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7" authorId="0" shapeId="0" xr:uid="{00000000-0006-0000-0300-000012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7" authorId="0" shapeId="0" xr:uid="{00000000-0006-0000-0300-0000131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7" authorId="0" shapeId="0" xr:uid="{00000000-0006-0000-0300-00001417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7" authorId="0" shapeId="0" xr:uid="{00000000-0006-0000-0300-00001517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AD107" authorId="0" shapeId="0" xr:uid="{00000000-0006-0000-0300-00001617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AE107" authorId="0" shapeId="0" xr:uid="{00000000-0006-0000-0300-000017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AF107" authorId="0" shapeId="0" xr:uid="{00000000-0006-0000-0300-000018170000}">
      <text>
        <r>
          <rPr>
            <sz val="9"/>
            <color indexed="81"/>
            <rFont val="Tahoma"/>
            <charset val="1"/>
          </rPr>
          <t>Stability=,Expiration=5/27/2018</t>
        </r>
      </text>
    </comment>
    <comment ref="AG107" authorId="0" shapeId="0" xr:uid="{00000000-0006-0000-0300-000019170000}">
      <text>
        <r>
          <rPr>
            <sz val="9"/>
            <color indexed="81"/>
            <rFont val="Tahoma"/>
            <charset val="1"/>
          </rPr>
          <t>Stability=,Expiration=1/19/2019</t>
        </r>
      </text>
    </comment>
    <comment ref="AH107" authorId="0" shapeId="0" xr:uid="{00000000-0006-0000-0300-00001A170000}">
      <text>
        <r>
          <rPr>
            <sz val="9"/>
            <color indexed="81"/>
            <rFont val="Tahoma"/>
            <charset val="1"/>
          </rPr>
          <t>Stability=,Expiration=8/17/2018</t>
        </r>
      </text>
    </comment>
    <comment ref="AI107" authorId="0" shapeId="0" xr:uid="{00000000-0006-0000-0300-00001B17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7" authorId="0" shapeId="0" xr:uid="{00000000-0006-0000-0300-00001C17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07" authorId="0" shapeId="0" xr:uid="{00000000-0006-0000-0300-00001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7" authorId="0" shapeId="0" xr:uid="{00000000-0006-0000-0300-00001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7" authorId="0" shapeId="0" xr:uid="{00000000-0006-0000-0300-00001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7" authorId="0" shapeId="0" xr:uid="{00000000-0006-0000-0300-00002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7" authorId="0" shapeId="0" xr:uid="{00000000-0006-0000-0300-000021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7" authorId="0" shapeId="0" xr:uid="{00000000-0006-0000-0300-00002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7" authorId="0" shapeId="0" xr:uid="{00000000-0006-0000-0300-00002317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7" authorId="0" shapeId="0" xr:uid="{00000000-0006-0000-0300-00002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7" authorId="0" shapeId="0" xr:uid="{00000000-0006-0000-0300-00002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7" authorId="0" shapeId="0" xr:uid="{00000000-0006-0000-0300-000026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7" authorId="0" shapeId="0" xr:uid="{00000000-0006-0000-0300-00002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7" authorId="0" shapeId="0" xr:uid="{00000000-0006-0000-0300-00002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7" authorId="0" shapeId="0" xr:uid="{00000000-0006-0000-0300-00002917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7" authorId="0" shapeId="0" xr:uid="{00000000-0006-0000-0300-00002A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7" authorId="0" shapeId="0" xr:uid="{00000000-0006-0000-0300-00002B17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7" authorId="0" shapeId="0" xr:uid="{00000000-0006-0000-0300-00002C1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7" authorId="0" shapeId="0" xr:uid="{00000000-0006-0000-0300-00002D1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7" authorId="0" shapeId="0" xr:uid="{00000000-0006-0000-0300-00002E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7" authorId="0" shapeId="0" xr:uid="{00000000-0006-0000-0300-00002F17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07" authorId="0" shapeId="0" xr:uid="{00000000-0006-0000-0300-0000301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7" authorId="0" shapeId="0" xr:uid="{00000000-0006-0000-0300-00003117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7" authorId="0" shapeId="0" xr:uid="{00000000-0006-0000-0300-00003217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7" authorId="0" shapeId="0" xr:uid="{00000000-0006-0000-0300-00003317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7" authorId="0" shapeId="0" xr:uid="{00000000-0006-0000-0300-00003417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7" authorId="0" shapeId="0" xr:uid="{00000000-0006-0000-0300-00003517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7" authorId="0" shapeId="0" xr:uid="{00000000-0006-0000-0300-000036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7" authorId="0" shapeId="0" xr:uid="{00000000-0006-0000-0300-000037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7" authorId="0" shapeId="0" xr:uid="{00000000-0006-0000-0300-000038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7" authorId="0" shapeId="0" xr:uid="{00000000-0006-0000-0300-0000391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7" authorId="0" shapeId="0" xr:uid="{00000000-0006-0000-0300-00003A1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7" authorId="0" shapeId="0" xr:uid="{00000000-0006-0000-0300-00003B1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7" authorId="0" shapeId="0" xr:uid="{00000000-0006-0000-0300-00003C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7" authorId="0" shapeId="0" xr:uid="{00000000-0006-0000-0300-00003D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7" authorId="0" shapeId="0" xr:uid="{00000000-0006-0000-0300-00003E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BU107" authorId="0" shapeId="0" xr:uid="{00000000-0006-0000-0300-00003F1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8" authorId="0" shapeId="0" xr:uid="{00000000-0006-0000-0300-000040170000}">
      <text>
        <r>
          <rPr>
            <sz val="9"/>
            <color indexed="81"/>
            <rFont val="Tahoma"/>
            <charset val="1"/>
          </rPr>
          <t>Date macro run: 4/4/2018 9:50:27 PM</t>
        </r>
      </text>
    </comment>
    <comment ref="B108" authorId="0" shapeId="0" xr:uid="{00000000-0006-0000-0300-0000411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8" authorId="0" shapeId="0" xr:uid="{00000000-0006-0000-0300-00004217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8" authorId="0" shapeId="0" xr:uid="{00000000-0006-0000-0300-00004317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8" authorId="0" shapeId="0" xr:uid="{00000000-0006-0000-0300-00004417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8" authorId="0" shapeId="0" xr:uid="{00000000-0006-0000-0300-00004517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8" authorId="0" shapeId="0" xr:uid="{00000000-0006-0000-0300-0000461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8" authorId="0" shapeId="0" xr:uid="{00000000-0006-0000-0300-00004717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08" authorId="0" shapeId="0" xr:uid="{00000000-0006-0000-0300-00004817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8" authorId="0" shapeId="0" xr:uid="{00000000-0006-0000-0300-0000491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8" authorId="0" shapeId="0" xr:uid="{00000000-0006-0000-0300-00004A17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8" authorId="0" shapeId="0" xr:uid="{00000000-0006-0000-0300-00004B17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8" authorId="0" shapeId="0" xr:uid="{00000000-0006-0000-0300-00004C17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8" authorId="0" shapeId="0" xr:uid="{00000000-0006-0000-0300-00004D17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8" authorId="0" shapeId="0" xr:uid="{00000000-0006-0000-0300-00004E17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8" authorId="0" shapeId="0" xr:uid="{00000000-0006-0000-0300-00004F17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8" authorId="0" shapeId="0" xr:uid="{00000000-0006-0000-0300-00005017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8" authorId="0" shapeId="0" xr:uid="{00000000-0006-0000-0300-0000511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8" authorId="0" shapeId="0" xr:uid="{00000000-0006-0000-0300-0000521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8" authorId="0" shapeId="0" xr:uid="{00000000-0006-0000-0300-00005317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8" authorId="0" shapeId="0" xr:uid="{00000000-0006-0000-0300-000054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8" authorId="0" shapeId="0" xr:uid="{00000000-0006-0000-0300-000055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8" authorId="0" shapeId="0" xr:uid="{00000000-0006-0000-0300-00005617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8" authorId="0" shapeId="0" xr:uid="{00000000-0006-0000-0300-000057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8" authorId="0" shapeId="0" xr:uid="{00000000-0006-0000-0300-000058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8" authorId="0" shapeId="0" xr:uid="{00000000-0006-0000-0300-000059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8" authorId="0" shapeId="0" xr:uid="{00000000-0006-0000-0300-00005A1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8" authorId="0" shapeId="0" xr:uid="{00000000-0006-0000-0300-00005B17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8" authorId="0" shapeId="0" xr:uid="{00000000-0006-0000-0300-00005C17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08" authorId="0" shapeId="0" xr:uid="{00000000-0006-0000-0300-00005D17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08" authorId="0" shapeId="0" xr:uid="{00000000-0006-0000-0300-00005E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08" authorId="0" shapeId="0" xr:uid="{00000000-0006-0000-0300-00005F17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08" authorId="0" shapeId="0" xr:uid="{00000000-0006-0000-0300-000060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08" authorId="0" shapeId="0" xr:uid="{00000000-0006-0000-0300-00006117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08" authorId="0" shapeId="0" xr:uid="{00000000-0006-0000-0300-00006217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8" authorId="0" shapeId="0" xr:uid="{00000000-0006-0000-0300-00006317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08" authorId="0" shapeId="0" xr:uid="{00000000-0006-0000-0300-00006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8" authorId="0" shapeId="0" xr:uid="{00000000-0006-0000-0300-00006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8" authorId="0" shapeId="0" xr:uid="{00000000-0006-0000-0300-00006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8" authorId="0" shapeId="0" xr:uid="{00000000-0006-0000-0300-00006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8" authorId="0" shapeId="0" xr:uid="{00000000-0006-0000-0300-000068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8" authorId="0" shapeId="0" xr:uid="{00000000-0006-0000-0300-00006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8" authorId="0" shapeId="0" xr:uid="{00000000-0006-0000-0300-00006A17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8" authorId="0" shapeId="0" xr:uid="{00000000-0006-0000-0300-00006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8" authorId="0" shapeId="0" xr:uid="{00000000-0006-0000-0300-00006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8" authorId="0" shapeId="0" xr:uid="{00000000-0006-0000-0300-00006D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8" authorId="0" shapeId="0" xr:uid="{00000000-0006-0000-0300-00006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8" authorId="0" shapeId="0" xr:uid="{00000000-0006-0000-0300-00006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8" authorId="0" shapeId="0" xr:uid="{00000000-0006-0000-0300-00007017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8" authorId="0" shapeId="0" xr:uid="{00000000-0006-0000-0300-000071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8" authorId="0" shapeId="0" xr:uid="{00000000-0006-0000-0300-00007217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8" authorId="0" shapeId="0" xr:uid="{00000000-0006-0000-0300-0000731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8" authorId="0" shapeId="0" xr:uid="{00000000-0006-0000-0300-0000741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8" authorId="0" shapeId="0" xr:uid="{00000000-0006-0000-0300-000075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8" authorId="0" shapeId="0" xr:uid="{00000000-0006-0000-0300-000076170000}">
      <text>
        <r>
          <rPr>
            <sz val="9"/>
            <color indexed="81"/>
            <rFont val="Tahoma"/>
            <charset val="1"/>
          </rPr>
          <t>Stability=,Expiration=6/12/2018, had to deduct down 2 from here since 2 boxes expired</t>
        </r>
      </text>
    </comment>
    <comment ref="BF108" authorId="0" shapeId="0" xr:uid="{00000000-0006-0000-0300-0000771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8" authorId="0" shapeId="0" xr:uid="{00000000-0006-0000-0300-00007817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8" authorId="0" shapeId="0" xr:uid="{00000000-0006-0000-0300-00007917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8" authorId="0" shapeId="0" xr:uid="{00000000-0006-0000-0300-00007A17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8" authorId="0" shapeId="0" xr:uid="{00000000-0006-0000-0300-00007B17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8" authorId="0" shapeId="0" xr:uid="{00000000-0006-0000-0300-00007C17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8" authorId="0" shapeId="0" xr:uid="{00000000-0006-0000-0300-00007D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8" authorId="0" shapeId="0" xr:uid="{00000000-0006-0000-0300-00007E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8" authorId="0" shapeId="0" xr:uid="{00000000-0006-0000-0300-00007F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8" authorId="0" shapeId="0" xr:uid="{00000000-0006-0000-0300-0000801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8" authorId="0" shapeId="0" xr:uid="{00000000-0006-0000-0300-0000811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8" authorId="0" shapeId="0" xr:uid="{00000000-0006-0000-0300-0000821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8" authorId="0" shapeId="0" xr:uid="{00000000-0006-0000-0300-000083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8" authorId="0" shapeId="0" xr:uid="{00000000-0006-0000-0300-000084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8" authorId="0" shapeId="0" xr:uid="{00000000-0006-0000-0300-00008517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08" authorId="0" shapeId="0" xr:uid="{00000000-0006-0000-0300-0000861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09" authorId="0" shapeId="0" xr:uid="{00000000-0006-0000-0300-000087170000}">
      <text>
        <r>
          <rPr>
            <sz val="9"/>
            <color indexed="81"/>
            <rFont val="Tahoma"/>
            <charset val="1"/>
          </rPr>
          <t>Date macro run: 4/6/2018 8:52:04 PM</t>
        </r>
      </text>
    </comment>
    <comment ref="B109" authorId="0" shapeId="0" xr:uid="{00000000-0006-0000-0300-0000881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09" authorId="0" shapeId="0" xr:uid="{00000000-0006-0000-0300-00008917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09" authorId="0" shapeId="0" xr:uid="{00000000-0006-0000-0300-00008A17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09" authorId="0" shapeId="0" xr:uid="{00000000-0006-0000-0300-00008B17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09" authorId="0" shapeId="0" xr:uid="{00000000-0006-0000-0300-00008C17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09" authorId="0" shapeId="0" xr:uid="{00000000-0006-0000-0300-00008D1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09" authorId="0" shapeId="0" xr:uid="{00000000-0006-0000-0300-00008E17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09" authorId="0" shapeId="0" xr:uid="{00000000-0006-0000-0300-00008F17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09" authorId="0" shapeId="0" xr:uid="{00000000-0006-0000-0300-0000901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09" authorId="0" shapeId="0" xr:uid="{00000000-0006-0000-0300-00009117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09" authorId="0" shapeId="0" xr:uid="{00000000-0006-0000-0300-00009217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09" authorId="0" shapeId="0" xr:uid="{00000000-0006-0000-0300-00009317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09" authorId="0" shapeId="0" xr:uid="{00000000-0006-0000-0300-00009417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09" authorId="0" shapeId="0" xr:uid="{00000000-0006-0000-0300-00009517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09" authorId="0" shapeId="0" xr:uid="{00000000-0006-0000-0300-00009617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09" authorId="0" shapeId="0" xr:uid="{00000000-0006-0000-0300-00009717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09" authorId="0" shapeId="0" xr:uid="{00000000-0006-0000-0300-0000981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09" authorId="0" shapeId="0" xr:uid="{00000000-0006-0000-0300-0000991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09" authorId="0" shapeId="0" xr:uid="{00000000-0006-0000-0300-00009A17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09" authorId="0" shapeId="0" xr:uid="{00000000-0006-0000-0300-00009B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09" authorId="0" shapeId="0" xr:uid="{00000000-0006-0000-0300-00009C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09" authorId="0" shapeId="0" xr:uid="{00000000-0006-0000-0300-00009D17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09" authorId="0" shapeId="0" xr:uid="{00000000-0006-0000-0300-00009E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09" authorId="0" shapeId="0" xr:uid="{00000000-0006-0000-0300-00009F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09" authorId="0" shapeId="0" xr:uid="{00000000-0006-0000-0300-0000A0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09" authorId="0" shapeId="0" xr:uid="{00000000-0006-0000-0300-0000A11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09" authorId="0" shapeId="0" xr:uid="{00000000-0006-0000-0300-0000A217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09" authorId="0" shapeId="0" xr:uid="{00000000-0006-0000-0300-0000A317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09" authorId="0" shapeId="0" xr:uid="{00000000-0006-0000-0300-0000A417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09" authorId="0" shapeId="0" xr:uid="{00000000-0006-0000-0300-0000A5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09" authorId="0" shapeId="0" xr:uid="{00000000-0006-0000-0300-0000A617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09" authorId="0" shapeId="0" xr:uid="{00000000-0006-0000-0300-0000A7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09" authorId="0" shapeId="0" xr:uid="{00000000-0006-0000-0300-0000A817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09" authorId="0" shapeId="0" xr:uid="{00000000-0006-0000-0300-0000A917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09" authorId="0" shapeId="0" xr:uid="{00000000-0006-0000-0300-0000AA17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09" authorId="0" shapeId="0" xr:uid="{00000000-0006-0000-0300-0000AB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09" authorId="0" shapeId="0" xr:uid="{00000000-0006-0000-0300-0000A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09" authorId="0" shapeId="0" xr:uid="{00000000-0006-0000-0300-0000A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09" authorId="0" shapeId="0" xr:uid="{00000000-0006-0000-0300-0000AE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09" authorId="0" shapeId="0" xr:uid="{00000000-0006-0000-0300-0000AF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09" authorId="0" shapeId="0" xr:uid="{00000000-0006-0000-0300-0000B0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09" authorId="0" shapeId="0" xr:uid="{00000000-0006-0000-0300-0000B117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09" authorId="0" shapeId="0" xr:uid="{00000000-0006-0000-0300-0000B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09" authorId="0" shapeId="0" xr:uid="{00000000-0006-0000-0300-0000B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09" authorId="0" shapeId="0" xr:uid="{00000000-0006-0000-0300-0000B4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09" authorId="0" shapeId="0" xr:uid="{00000000-0006-0000-0300-0000B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09" authorId="0" shapeId="0" xr:uid="{00000000-0006-0000-0300-0000B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09" authorId="0" shapeId="0" xr:uid="{00000000-0006-0000-0300-0000B717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09" authorId="0" shapeId="0" xr:uid="{00000000-0006-0000-0300-0000B8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09" authorId="0" shapeId="0" xr:uid="{00000000-0006-0000-0300-0000B917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09" authorId="0" shapeId="0" xr:uid="{00000000-0006-0000-0300-0000BA17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09" authorId="0" shapeId="0" xr:uid="{00000000-0006-0000-0300-0000BB17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09" authorId="0" shapeId="0" xr:uid="{00000000-0006-0000-0300-0000BC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09" authorId="0" shapeId="0" xr:uid="{00000000-0006-0000-0300-0000BD17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09" authorId="0" shapeId="0" xr:uid="{00000000-0006-0000-0300-0000BE17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09" authorId="0" shapeId="0" xr:uid="{00000000-0006-0000-0300-0000BF17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09" authorId="0" shapeId="0" xr:uid="{00000000-0006-0000-0300-0000C017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09" authorId="0" shapeId="0" xr:uid="{00000000-0006-0000-0300-0000C117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09" authorId="0" shapeId="0" xr:uid="{00000000-0006-0000-0300-0000C217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09" authorId="0" shapeId="0" xr:uid="{00000000-0006-0000-0300-0000C317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09" authorId="0" shapeId="0" xr:uid="{00000000-0006-0000-0300-0000C4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09" authorId="0" shapeId="0" xr:uid="{00000000-0006-0000-0300-0000C5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09" authorId="0" shapeId="0" xr:uid="{00000000-0006-0000-0300-0000C6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09" authorId="0" shapeId="0" xr:uid="{00000000-0006-0000-0300-0000C717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09" authorId="0" shapeId="0" xr:uid="{00000000-0006-0000-0300-0000C817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09" authorId="0" shapeId="0" xr:uid="{00000000-0006-0000-0300-0000C917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09" authorId="0" shapeId="0" xr:uid="{00000000-0006-0000-0300-0000CA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09" authorId="0" shapeId="0" xr:uid="{00000000-0006-0000-0300-0000CB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09" authorId="0" shapeId="0" xr:uid="{00000000-0006-0000-0300-0000CC17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09" authorId="0" shapeId="0" xr:uid="{00000000-0006-0000-0300-0000CD17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0" authorId="0" shapeId="0" xr:uid="{00000000-0006-0000-0300-0000CE170000}">
      <text>
        <r>
          <rPr>
            <sz val="9"/>
            <color indexed="81"/>
            <rFont val="Tahoma"/>
            <charset val="1"/>
          </rPr>
          <t>Date macro run: 4/9/2018 10:07:12 PM</t>
        </r>
      </text>
    </comment>
    <comment ref="B110" authorId="0" shapeId="0" xr:uid="{00000000-0006-0000-0300-0000CF17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0" authorId="0" shapeId="0" xr:uid="{00000000-0006-0000-0300-0000D017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0" authorId="0" shapeId="0" xr:uid="{00000000-0006-0000-0300-0000D117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0" authorId="0" shapeId="0" xr:uid="{00000000-0006-0000-0300-0000D217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0" authorId="0" shapeId="0" xr:uid="{00000000-0006-0000-0300-0000D317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0" authorId="0" shapeId="0" xr:uid="{00000000-0006-0000-0300-0000D417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0" authorId="0" shapeId="0" xr:uid="{00000000-0006-0000-0300-0000D517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0" authorId="0" shapeId="0" xr:uid="{00000000-0006-0000-0300-0000D617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0" authorId="0" shapeId="0" xr:uid="{00000000-0006-0000-0300-0000D717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0" authorId="0" shapeId="0" xr:uid="{00000000-0006-0000-0300-0000D817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0" authorId="0" shapeId="0" xr:uid="{00000000-0006-0000-0300-0000D917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0" authorId="0" shapeId="0" xr:uid="{00000000-0006-0000-0300-0000DA17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0" authorId="0" shapeId="0" xr:uid="{00000000-0006-0000-0300-0000DB17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0" authorId="0" shapeId="0" xr:uid="{00000000-0006-0000-0300-0000DC17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0" authorId="0" shapeId="0" xr:uid="{00000000-0006-0000-0300-0000DD17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0" authorId="0" shapeId="0" xr:uid="{00000000-0006-0000-0300-0000DE17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0" authorId="0" shapeId="0" xr:uid="{00000000-0006-0000-0300-0000DF17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10" authorId="0" shapeId="0" xr:uid="{00000000-0006-0000-0300-0000E017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0" authorId="0" shapeId="0" xr:uid="{00000000-0006-0000-0300-0000E117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0" authorId="0" shapeId="0" xr:uid="{00000000-0006-0000-0300-0000E2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0" authorId="0" shapeId="0" xr:uid="{00000000-0006-0000-0300-0000E3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W110" authorId="0" shapeId="0" xr:uid="{00000000-0006-0000-0300-0000E417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0" authorId="0" shapeId="0" xr:uid="{00000000-0006-0000-0300-0000E517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0" authorId="0" shapeId="0" xr:uid="{00000000-0006-0000-0300-0000E617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10" authorId="0" shapeId="0" xr:uid="{00000000-0006-0000-0300-0000E7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0" authorId="0" shapeId="0" xr:uid="{00000000-0006-0000-0300-0000E817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10" authorId="0" shapeId="0" xr:uid="{00000000-0006-0000-0300-0000E917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10" authorId="0" shapeId="0" xr:uid="{00000000-0006-0000-0300-0000EA17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0" authorId="0" shapeId="0" xr:uid="{00000000-0006-0000-0300-0000EB17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0" authorId="0" shapeId="0" xr:uid="{00000000-0006-0000-0300-0000EC17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0" authorId="0" shapeId="0" xr:uid="{00000000-0006-0000-0300-0000ED17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0" authorId="0" shapeId="0" xr:uid="{00000000-0006-0000-0300-0000EE17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0" authorId="0" shapeId="0" xr:uid="{00000000-0006-0000-0300-0000EF17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0" authorId="0" shapeId="0" xr:uid="{00000000-0006-0000-0300-0000F017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0" authorId="0" shapeId="0" xr:uid="{00000000-0006-0000-0300-0000F117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0" authorId="0" shapeId="0" xr:uid="{00000000-0006-0000-0300-0000F2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0" authorId="0" shapeId="0" xr:uid="{00000000-0006-0000-0300-0000F3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0" authorId="0" shapeId="0" xr:uid="{00000000-0006-0000-0300-0000F4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0" authorId="0" shapeId="0" xr:uid="{00000000-0006-0000-0300-0000F5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0" authorId="0" shapeId="0" xr:uid="{00000000-0006-0000-0300-0000F6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0" authorId="0" shapeId="0" xr:uid="{00000000-0006-0000-0300-0000F7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0" authorId="0" shapeId="0" xr:uid="{00000000-0006-0000-0300-0000F817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0" authorId="0" shapeId="0" xr:uid="{00000000-0006-0000-0300-0000F9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0" authorId="0" shapeId="0" xr:uid="{00000000-0006-0000-0300-0000FA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0" authorId="0" shapeId="0" xr:uid="{00000000-0006-0000-0300-0000FB17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0" authorId="0" shapeId="0" xr:uid="{00000000-0006-0000-0300-0000FC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0" authorId="0" shapeId="0" xr:uid="{00000000-0006-0000-0300-0000FD17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0" authorId="0" shapeId="0" xr:uid="{00000000-0006-0000-0300-0000FE17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0" authorId="0" shapeId="0" xr:uid="{00000000-0006-0000-0300-0000FF17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0" authorId="0" shapeId="0" xr:uid="{00000000-0006-0000-0300-00000018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0" authorId="0" shapeId="0" xr:uid="{00000000-0006-0000-0300-0000011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0" authorId="0" shapeId="0" xr:uid="{00000000-0006-0000-0300-0000021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0" authorId="0" shapeId="0" xr:uid="{00000000-0006-0000-0300-000003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0" authorId="0" shapeId="0" xr:uid="{00000000-0006-0000-0300-00000418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0" authorId="0" shapeId="0" xr:uid="{00000000-0006-0000-0300-0000051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0" authorId="0" shapeId="0" xr:uid="{00000000-0006-0000-0300-00000618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0" authorId="0" shapeId="0" xr:uid="{00000000-0006-0000-0300-00000718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0" authorId="0" shapeId="0" xr:uid="{00000000-0006-0000-0300-00000818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0" authorId="0" shapeId="0" xr:uid="{00000000-0006-0000-0300-00000918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10" authorId="0" shapeId="0" xr:uid="{00000000-0006-0000-0300-00000A18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10" authorId="0" shapeId="0" xr:uid="{00000000-0006-0000-0300-00000B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0" authorId="0" shapeId="0" xr:uid="{00000000-0006-0000-0300-00000C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0" authorId="0" shapeId="0" xr:uid="{00000000-0006-0000-0300-00000D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0" authorId="0" shapeId="0" xr:uid="{00000000-0006-0000-0300-00000E1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0" authorId="0" shapeId="0" xr:uid="{00000000-0006-0000-0300-00000F1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0" authorId="0" shapeId="0" xr:uid="{00000000-0006-0000-0300-0000101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0" authorId="0" shapeId="0" xr:uid="{00000000-0006-0000-0300-000011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0" authorId="0" shapeId="0" xr:uid="{00000000-0006-0000-0300-000012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0" authorId="0" shapeId="0" xr:uid="{00000000-0006-0000-0300-00001318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0" authorId="0" shapeId="0" xr:uid="{00000000-0006-0000-0300-0000141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1" authorId="0" shapeId="0" xr:uid="{00000000-0006-0000-0300-000015180000}">
      <text>
        <r>
          <rPr>
            <sz val="9"/>
            <color indexed="81"/>
            <rFont val="Tahoma"/>
            <charset val="1"/>
          </rPr>
          <t>Date macro run: 4/11/2018 8:44:31 PM</t>
        </r>
      </text>
    </comment>
    <comment ref="B111" authorId="0" shapeId="0" xr:uid="{00000000-0006-0000-0300-0000161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1" authorId="0" shapeId="0" xr:uid="{00000000-0006-0000-0300-00001718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1" authorId="0" shapeId="0" xr:uid="{00000000-0006-0000-0300-00001818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1" authorId="0" shapeId="0" xr:uid="{00000000-0006-0000-0300-00001918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1" authorId="0" shapeId="0" xr:uid="{00000000-0006-0000-0300-00001A18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1" authorId="0" shapeId="0" xr:uid="{00000000-0006-0000-0300-00001B1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1" authorId="0" shapeId="0" xr:uid="{00000000-0006-0000-0300-00001C18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1" authorId="0" shapeId="0" xr:uid="{00000000-0006-0000-0300-00001D18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1" authorId="0" shapeId="0" xr:uid="{00000000-0006-0000-0300-00001E1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1" authorId="0" shapeId="0" xr:uid="{00000000-0006-0000-0300-00001F18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1" authorId="0" shapeId="0" xr:uid="{00000000-0006-0000-0300-00002018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1" authorId="0" shapeId="0" xr:uid="{00000000-0006-0000-0300-00002118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1" authorId="0" shapeId="0" xr:uid="{00000000-0006-0000-0300-00002218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1" authorId="0" shapeId="0" xr:uid="{00000000-0006-0000-0300-00002318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1" authorId="0" shapeId="0" xr:uid="{00000000-0006-0000-0300-00002418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1" authorId="0" shapeId="0" xr:uid="{00000000-0006-0000-0300-00002518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1" authorId="0" shapeId="0" xr:uid="{00000000-0006-0000-0300-000026180000}">
      <text>
        <r>
          <rPr>
            <sz val="9"/>
            <color indexed="81"/>
            <rFont val="Tahoma"/>
            <charset val="1"/>
          </rPr>
          <t>Stability=,Expiration=5/4/2018</t>
        </r>
      </text>
    </comment>
    <comment ref="S111" authorId="0" shapeId="0" xr:uid="{00000000-0006-0000-0300-0000271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1" authorId="0" shapeId="0" xr:uid="{00000000-0006-0000-0300-00002818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1" authorId="0" shapeId="0" xr:uid="{00000000-0006-0000-0300-000029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1" authorId="0" shapeId="0" xr:uid="{00000000-0006-0000-0300-00002A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1" authorId="0" shapeId="0" xr:uid="{00000000-0006-0000-0300-00002B18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1" authorId="0" shapeId="0" xr:uid="{00000000-0006-0000-0300-00002C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1" authorId="0" shapeId="0" xr:uid="{00000000-0006-0000-0300-00002D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Z111" authorId="0" shapeId="0" xr:uid="{00000000-0006-0000-0300-00002E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1" authorId="0" shapeId="0" xr:uid="{00000000-0006-0000-0300-00002F180000}">
      <text>
        <r>
          <rPr>
            <sz val="9"/>
            <color indexed="81"/>
            <rFont val="Tahoma"/>
            <charset val="1"/>
          </rPr>
          <t>Stability=,Expiration=5/10/2018</t>
        </r>
      </text>
    </comment>
    <comment ref="AB111" authorId="0" shapeId="0" xr:uid="{00000000-0006-0000-0300-00003018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11" authorId="0" shapeId="0" xr:uid="{00000000-0006-0000-0300-00003118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1" authorId="0" shapeId="0" xr:uid="{00000000-0006-0000-0300-000032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1" authorId="0" shapeId="0" xr:uid="{00000000-0006-0000-0300-000033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1" authorId="0" shapeId="0" xr:uid="{00000000-0006-0000-0300-00003418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1" authorId="0" shapeId="0" xr:uid="{00000000-0006-0000-0300-000035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1" authorId="0" shapeId="0" xr:uid="{00000000-0006-0000-0300-00003618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1" authorId="0" shapeId="0" xr:uid="{00000000-0006-0000-0300-00003718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1" authorId="0" shapeId="0" xr:uid="{00000000-0006-0000-0300-00003818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1" authorId="0" shapeId="0" xr:uid="{00000000-0006-0000-0300-00003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1" authorId="0" shapeId="0" xr:uid="{00000000-0006-0000-0300-00003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1" authorId="0" shapeId="0" xr:uid="{00000000-0006-0000-0300-00003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1" authorId="0" shapeId="0" xr:uid="{00000000-0006-0000-0300-00003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1" authorId="0" shapeId="0" xr:uid="{00000000-0006-0000-0300-00003D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1" authorId="0" shapeId="0" xr:uid="{00000000-0006-0000-0300-00003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1" authorId="0" shapeId="0" xr:uid="{00000000-0006-0000-0300-00003F18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1" authorId="0" shapeId="0" xr:uid="{00000000-0006-0000-0300-00004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1" authorId="0" shapeId="0" xr:uid="{00000000-0006-0000-0300-00004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1" authorId="0" shapeId="0" xr:uid="{00000000-0006-0000-0300-000042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1" authorId="0" shapeId="0" xr:uid="{00000000-0006-0000-0300-00004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1" authorId="0" shapeId="0" xr:uid="{00000000-0006-0000-0300-00004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1" authorId="0" shapeId="0" xr:uid="{00000000-0006-0000-0300-00004518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1" authorId="0" shapeId="0" xr:uid="{00000000-0006-0000-0300-000046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1" authorId="0" shapeId="0" xr:uid="{00000000-0006-0000-0300-00004718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1" authorId="0" shapeId="0" xr:uid="{00000000-0006-0000-0300-0000481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1" authorId="0" shapeId="0" xr:uid="{00000000-0006-0000-0300-0000491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1" authorId="0" shapeId="0" xr:uid="{00000000-0006-0000-0300-00004A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1" authorId="0" shapeId="0" xr:uid="{00000000-0006-0000-0300-00004B18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1" authorId="0" shapeId="0" xr:uid="{00000000-0006-0000-0300-00004C1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1" authorId="0" shapeId="0" xr:uid="{00000000-0006-0000-0300-00004D18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1" authorId="0" shapeId="0" xr:uid="{00000000-0006-0000-0300-00004E18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1" authorId="0" shapeId="0" xr:uid="{00000000-0006-0000-0300-00004F18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1" authorId="0" shapeId="0" xr:uid="{00000000-0006-0000-0300-000050180000}">
      <text>
        <r>
          <rPr>
            <sz val="9"/>
            <color indexed="81"/>
            <rFont val="Tahoma"/>
            <charset val="1"/>
          </rPr>
          <t>Stability=,Expiration=4/24/2018</t>
        </r>
      </text>
    </comment>
    <comment ref="BK111" authorId="0" shapeId="0" xr:uid="{00000000-0006-0000-0300-000051180000}">
      <text>
        <r>
          <rPr>
            <sz val="9"/>
            <color indexed="81"/>
            <rFont val="Tahoma"/>
            <charset val="1"/>
          </rPr>
          <t>Stability=,Expiration=5/19/2018</t>
        </r>
      </text>
    </comment>
    <comment ref="BL111" authorId="0" shapeId="0" xr:uid="{00000000-0006-0000-0300-000052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1" authorId="0" shapeId="0" xr:uid="{00000000-0006-0000-0300-000053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1" authorId="0" shapeId="0" xr:uid="{00000000-0006-0000-0300-000054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1" authorId="0" shapeId="0" xr:uid="{00000000-0006-0000-0300-0000551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1" authorId="0" shapeId="0" xr:uid="{00000000-0006-0000-0300-0000561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1" authorId="0" shapeId="0" xr:uid="{00000000-0006-0000-0300-0000571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1" authorId="0" shapeId="0" xr:uid="{00000000-0006-0000-0300-000058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1" authorId="0" shapeId="0" xr:uid="{00000000-0006-0000-0300-000059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1" authorId="0" shapeId="0" xr:uid="{00000000-0006-0000-0300-00005A18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1" authorId="0" shapeId="0" xr:uid="{00000000-0006-0000-0300-00005B1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2" authorId="0" shapeId="0" xr:uid="{00000000-0006-0000-0300-00005C180000}">
      <text>
        <r>
          <rPr>
            <sz val="9"/>
            <color indexed="81"/>
            <rFont val="Tahoma"/>
            <charset val="1"/>
          </rPr>
          <t>Date macro run: 4/12/2018 8:33:56 PM</t>
        </r>
      </text>
    </comment>
    <comment ref="B112" authorId="0" shapeId="0" xr:uid="{00000000-0006-0000-0300-00005D1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2" authorId="0" shapeId="0" xr:uid="{00000000-0006-0000-0300-00005E18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2" authorId="0" shapeId="0" xr:uid="{00000000-0006-0000-0300-00005F18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2" authorId="0" shapeId="0" xr:uid="{00000000-0006-0000-0300-00006018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2" authorId="0" shapeId="0" xr:uid="{00000000-0006-0000-0300-00006118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2" authorId="0" shapeId="0" xr:uid="{00000000-0006-0000-0300-0000621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2" authorId="0" shapeId="0" xr:uid="{00000000-0006-0000-0300-00006318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2" authorId="0" shapeId="0" xr:uid="{00000000-0006-0000-0300-00006418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2" authorId="0" shapeId="0" xr:uid="{00000000-0006-0000-0300-0000651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2" authorId="0" shapeId="0" xr:uid="{00000000-0006-0000-0300-00006618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2" authorId="0" shapeId="0" xr:uid="{00000000-0006-0000-0300-00006718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2" authorId="0" shapeId="0" xr:uid="{00000000-0006-0000-0300-00006818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2" authorId="0" shapeId="0" xr:uid="{00000000-0006-0000-0300-00006918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2" authorId="0" shapeId="0" xr:uid="{00000000-0006-0000-0300-00006A18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2" authorId="0" shapeId="0" xr:uid="{00000000-0006-0000-0300-00006B18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2" authorId="0" shapeId="0" xr:uid="{00000000-0006-0000-0300-00006C18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2" authorId="0" shapeId="0" xr:uid="{00000000-0006-0000-0300-00006D18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2" authorId="0" shapeId="0" xr:uid="{00000000-0006-0000-0300-00006E1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2" authorId="0" shapeId="0" xr:uid="{00000000-0006-0000-0300-00006F18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2" authorId="0" shapeId="0" xr:uid="{00000000-0006-0000-0300-000070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2" authorId="0" shapeId="0" xr:uid="{00000000-0006-0000-0300-000071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2" authorId="0" shapeId="0" xr:uid="{00000000-0006-0000-0300-00007218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2" authorId="0" shapeId="0" xr:uid="{00000000-0006-0000-0300-000073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2" authorId="0" shapeId="0" xr:uid="{00000000-0006-0000-0300-0000741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2" authorId="0" shapeId="0" xr:uid="{00000000-0006-0000-0300-000075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2" authorId="0" shapeId="0" xr:uid="{00000000-0006-0000-0300-00007618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2" authorId="0" shapeId="0" xr:uid="{00000000-0006-0000-0300-00007718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12" authorId="0" shapeId="0" xr:uid="{00000000-0006-0000-0300-00007818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2" authorId="0" shapeId="0" xr:uid="{00000000-0006-0000-0300-000079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2" authorId="0" shapeId="0" xr:uid="{00000000-0006-0000-0300-00007A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2" authorId="0" shapeId="0" xr:uid="{00000000-0006-0000-0300-00007B18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2" authorId="0" shapeId="0" xr:uid="{00000000-0006-0000-0300-00007C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2" authorId="0" shapeId="0" xr:uid="{00000000-0006-0000-0300-00007D18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2" authorId="0" shapeId="0" xr:uid="{00000000-0006-0000-0300-00007E18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2" authorId="0" shapeId="0" xr:uid="{00000000-0006-0000-0300-00007F18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2" authorId="0" shapeId="0" xr:uid="{00000000-0006-0000-0300-000080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2" authorId="0" shapeId="0" xr:uid="{00000000-0006-0000-0300-00008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2" authorId="0" shapeId="0" xr:uid="{00000000-0006-0000-0300-00008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2" authorId="0" shapeId="0" xr:uid="{00000000-0006-0000-0300-000083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2" authorId="0" shapeId="0" xr:uid="{00000000-0006-0000-0300-000084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2" authorId="0" shapeId="0" xr:uid="{00000000-0006-0000-0300-000085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2" authorId="0" shapeId="0" xr:uid="{00000000-0006-0000-0300-00008618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2" authorId="0" shapeId="0" xr:uid="{00000000-0006-0000-0300-00008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2" authorId="0" shapeId="0" xr:uid="{00000000-0006-0000-0300-00008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2" authorId="0" shapeId="0" xr:uid="{00000000-0006-0000-0300-000089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2" authorId="0" shapeId="0" xr:uid="{00000000-0006-0000-0300-00008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2" authorId="0" shapeId="0" xr:uid="{00000000-0006-0000-0300-00008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2" authorId="0" shapeId="0" xr:uid="{00000000-0006-0000-0300-00008C18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2" authorId="0" shapeId="0" xr:uid="{00000000-0006-0000-0300-00008D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2" authorId="0" shapeId="0" xr:uid="{00000000-0006-0000-0300-00008E18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2" authorId="0" shapeId="0" xr:uid="{00000000-0006-0000-0300-00008F1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2" authorId="0" shapeId="0" xr:uid="{00000000-0006-0000-0300-0000901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2" authorId="0" shapeId="0" xr:uid="{00000000-0006-0000-0300-000091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2" authorId="0" shapeId="0" xr:uid="{00000000-0006-0000-0300-00009218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2" authorId="0" shapeId="0" xr:uid="{00000000-0006-0000-0300-0000931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2" authorId="0" shapeId="0" xr:uid="{00000000-0006-0000-0300-00009418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2" authorId="0" shapeId="0" xr:uid="{00000000-0006-0000-0300-00009518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2" authorId="0" shapeId="0" xr:uid="{00000000-0006-0000-0300-00009618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2" authorId="0" shapeId="0" xr:uid="{00000000-0006-0000-0300-00009718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2" authorId="0" shapeId="0" xr:uid="{00000000-0006-0000-0300-00009818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2" authorId="0" shapeId="0" xr:uid="{00000000-0006-0000-0300-000099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2" authorId="0" shapeId="0" xr:uid="{00000000-0006-0000-0300-00009A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2" authorId="0" shapeId="0" xr:uid="{00000000-0006-0000-0300-00009B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2" authorId="0" shapeId="0" xr:uid="{00000000-0006-0000-0300-00009C1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2" authorId="0" shapeId="0" xr:uid="{00000000-0006-0000-0300-00009D1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2" authorId="0" shapeId="0" xr:uid="{00000000-0006-0000-0300-00009E1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2" authorId="0" shapeId="0" xr:uid="{00000000-0006-0000-0300-00009F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2" authorId="0" shapeId="0" xr:uid="{00000000-0006-0000-0300-0000A0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2" authorId="0" shapeId="0" xr:uid="{00000000-0006-0000-0300-0000A118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2" authorId="0" shapeId="0" xr:uid="{00000000-0006-0000-0300-0000A21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3" authorId="0" shapeId="0" xr:uid="{00000000-0006-0000-0300-0000A3180000}">
      <text>
        <r>
          <rPr>
            <sz val="9"/>
            <color indexed="81"/>
            <rFont val="Tahoma"/>
            <charset val="1"/>
          </rPr>
          <t>Date macro run: 4/16/2018 9:06:34 PM</t>
        </r>
      </text>
    </comment>
    <comment ref="B113" authorId="0" shapeId="0" xr:uid="{00000000-0006-0000-0300-0000A41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3" authorId="0" shapeId="0" xr:uid="{00000000-0006-0000-0300-0000A518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3" authorId="0" shapeId="0" xr:uid="{00000000-0006-0000-0300-0000A618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3" authorId="0" shapeId="0" xr:uid="{00000000-0006-0000-0300-0000A718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3" authorId="0" shapeId="0" xr:uid="{00000000-0006-0000-0300-0000A818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3" authorId="0" shapeId="0" xr:uid="{00000000-0006-0000-0300-0000A91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3" authorId="0" shapeId="0" xr:uid="{00000000-0006-0000-0300-0000AA18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3" authorId="0" shapeId="0" xr:uid="{00000000-0006-0000-0300-0000AB18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3" authorId="0" shapeId="0" xr:uid="{00000000-0006-0000-0300-0000AC1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3" authorId="0" shapeId="0" xr:uid="{00000000-0006-0000-0300-0000AD18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3" authorId="0" shapeId="0" xr:uid="{00000000-0006-0000-0300-0000AE18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3" authorId="0" shapeId="0" xr:uid="{00000000-0006-0000-0300-0000AF18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3" authorId="0" shapeId="0" xr:uid="{00000000-0006-0000-0300-0000B018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3" authorId="0" shapeId="0" xr:uid="{00000000-0006-0000-0300-0000B118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3" authorId="0" shapeId="0" xr:uid="{00000000-0006-0000-0300-0000B218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3" authorId="0" shapeId="0" xr:uid="{00000000-0006-0000-0300-0000B318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3" authorId="0" shapeId="0" xr:uid="{00000000-0006-0000-0300-0000B418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3" authorId="0" shapeId="0" xr:uid="{00000000-0006-0000-0300-0000B51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3" authorId="0" shapeId="0" xr:uid="{00000000-0006-0000-0300-0000B618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3" authorId="0" shapeId="0" xr:uid="{00000000-0006-0000-0300-0000B7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3" authorId="0" shapeId="0" xr:uid="{00000000-0006-0000-0300-0000B8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3" authorId="0" shapeId="0" xr:uid="{00000000-0006-0000-0300-0000B918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3" authorId="0" shapeId="0" xr:uid="{00000000-0006-0000-0300-0000BA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3" authorId="0" shapeId="0" xr:uid="{00000000-0006-0000-0300-0000BB18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3" authorId="0" shapeId="0" xr:uid="{00000000-0006-0000-0300-0000BC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3" authorId="0" shapeId="0" xr:uid="{00000000-0006-0000-0300-0000BD18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3" authorId="0" shapeId="0" xr:uid="{00000000-0006-0000-0300-0000BE180000}">
      <text>
        <r>
          <rPr>
            <sz val="9"/>
            <color indexed="81"/>
            <rFont val="Tahoma"/>
            <charset val="1"/>
          </rPr>
          <t>Stability=,Expiration=4/20/2018</t>
        </r>
      </text>
    </comment>
    <comment ref="AC113" authorId="0" shapeId="0" xr:uid="{00000000-0006-0000-0300-0000BF18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3" authorId="0" shapeId="0" xr:uid="{00000000-0006-0000-0300-0000C0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3" authorId="0" shapeId="0" xr:uid="{00000000-0006-0000-0300-0000C1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3" authorId="0" shapeId="0" xr:uid="{00000000-0006-0000-0300-0000C218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3" authorId="0" shapeId="0" xr:uid="{00000000-0006-0000-0300-0000C3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3" authorId="0" shapeId="0" xr:uid="{00000000-0006-0000-0300-0000C418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3" authorId="0" shapeId="0" xr:uid="{00000000-0006-0000-0300-0000C518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3" authorId="0" shapeId="0" xr:uid="{00000000-0006-0000-0300-0000C618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3" authorId="0" shapeId="0" xr:uid="{00000000-0006-0000-0300-0000C7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3" authorId="0" shapeId="0" xr:uid="{00000000-0006-0000-0300-0000C8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3" authorId="0" shapeId="0" xr:uid="{00000000-0006-0000-0300-0000C9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3" authorId="0" shapeId="0" xr:uid="{00000000-0006-0000-0300-0000CA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3" authorId="0" shapeId="0" xr:uid="{00000000-0006-0000-0300-0000CB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3" authorId="0" shapeId="0" xr:uid="{00000000-0006-0000-0300-0000CC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3" authorId="0" shapeId="0" xr:uid="{00000000-0006-0000-0300-0000CD18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3" authorId="0" shapeId="0" xr:uid="{00000000-0006-0000-0300-0000CE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3" authorId="0" shapeId="0" xr:uid="{00000000-0006-0000-0300-0000CF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3" authorId="0" shapeId="0" xr:uid="{00000000-0006-0000-0300-0000D018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3" authorId="0" shapeId="0" xr:uid="{00000000-0006-0000-0300-0000D1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3" authorId="0" shapeId="0" xr:uid="{00000000-0006-0000-0300-0000D218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3" authorId="0" shapeId="0" xr:uid="{00000000-0006-0000-0300-0000D318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3" authorId="0" shapeId="0" xr:uid="{00000000-0006-0000-0300-0000D4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3" authorId="0" shapeId="0" xr:uid="{00000000-0006-0000-0300-0000D518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3" authorId="0" shapeId="0" xr:uid="{00000000-0006-0000-0300-0000D618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3" authorId="0" shapeId="0" xr:uid="{00000000-0006-0000-0300-0000D718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3" authorId="0" shapeId="0" xr:uid="{00000000-0006-0000-0300-0000D8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3" authorId="0" shapeId="0" xr:uid="{00000000-0006-0000-0300-0000D918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3" authorId="0" shapeId="0" xr:uid="{00000000-0006-0000-0300-0000DA18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3" authorId="0" shapeId="0" xr:uid="{00000000-0006-0000-0300-0000DB18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3" authorId="0" shapeId="0" xr:uid="{00000000-0006-0000-0300-0000DC18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3" authorId="0" shapeId="0" xr:uid="{00000000-0006-0000-0300-0000DD18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3" authorId="0" shapeId="0" xr:uid="{00000000-0006-0000-0300-0000DE18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3" authorId="0" shapeId="0" xr:uid="{00000000-0006-0000-0300-0000DF18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3" authorId="0" shapeId="0" xr:uid="{00000000-0006-0000-0300-0000E018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3" authorId="0" shapeId="0" xr:uid="{00000000-0006-0000-0300-0000E1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3" authorId="0" shapeId="0" xr:uid="{00000000-0006-0000-0300-0000E218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3" authorId="0" shapeId="0" xr:uid="{00000000-0006-0000-0300-0000E318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3" authorId="0" shapeId="0" xr:uid="{00000000-0006-0000-0300-0000E418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3" authorId="0" shapeId="0" xr:uid="{00000000-0006-0000-0300-0000E518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3" authorId="0" shapeId="0" xr:uid="{00000000-0006-0000-0300-0000E618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3" authorId="0" shapeId="0" xr:uid="{00000000-0006-0000-0300-0000E718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3" authorId="0" shapeId="0" xr:uid="{00000000-0006-0000-0300-0000E818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3" authorId="0" shapeId="0" xr:uid="{00000000-0006-0000-0300-0000E918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4" authorId="0" shapeId="0" xr:uid="{00000000-0006-0000-0300-0000EA180000}">
      <text>
        <r>
          <rPr>
            <sz val="9"/>
            <color indexed="81"/>
            <rFont val="Tahoma"/>
            <charset val="1"/>
          </rPr>
          <t>Date macro run: 4/18/2018 10:38:52 PM</t>
        </r>
      </text>
    </comment>
    <comment ref="B114" authorId="0" shapeId="0" xr:uid="{00000000-0006-0000-0300-0000EB18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4" authorId="0" shapeId="0" xr:uid="{00000000-0006-0000-0300-0000EC18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4" authorId="0" shapeId="0" xr:uid="{00000000-0006-0000-0300-0000ED18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4" authorId="0" shapeId="0" xr:uid="{00000000-0006-0000-0300-0000EE18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4" authorId="0" shapeId="0" xr:uid="{00000000-0006-0000-0300-0000EF18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4" authorId="0" shapeId="0" xr:uid="{00000000-0006-0000-0300-0000F018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4" authorId="0" shapeId="0" xr:uid="{00000000-0006-0000-0300-0000F118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4" authorId="0" shapeId="0" xr:uid="{00000000-0006-0000-0300-0000F218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4" authorId="0" shapeId="0" xr:uid="{00000000-0006-0000-0300-0000F3180000}">
      <text>
        <r>
          <rPr>
            <sz val="9"/>
            <color indexed="81"/>
            <rFont val="Tahoma"/>
            <charset val="1"/>
          </rPr>
          <t>Stability=,Expiration=12/17/2018</t>
        </r>
      </text>
    </comment>
    <comment ref="K114" authorId="0" shapeId="0" xr:uid="{00000000-0006-0000-0300-0000F418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4" authorId="0" shapeId="0" xr:uid="{00000000-0006-0000-0300-0000F518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4" authorId="0" shapeId="0" xr:uid="{00000000-0006-0000-0300-0000F618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4" authorId="0" shapeId="0" xr:uid="{00000000-0006-0000-0300-0000F718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4" authorId="0" shapeId="0" xr:uid="{00000000-0006-0000-0300-0000F818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4" authorId="0" shapeId="0" xr:uid="{00000000-0006-0000-0300-0000F918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4" authorId="0" shapeId="0" xr:uid="{00000000-0006-0000-0300-0000FA18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4" authorId="0" shapeId="0" xr:uid="{00000000-0006-0000-0300-0000FB18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4" authorId="0" shapeId="0" xr:uid="{00000000-0006-0000-0300-0000FC18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4" authorId="0" shapeId="0" xr:uid="{00000000-0006-0000-0300-0000FD18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4" authorId="0" shapeId="0" xr:uid="{00000000-0006-0000-0300-0000FE18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4" authorId="0" shapeId="0" xr:uid="{00000000-0006-0000-0300-0000FF18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4" authorId="0" shapeId="0" xr:uid="{00000000-0006-0000-0300-00000019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4" authorId="0" shapeId="0" xr:uid="{00000000-0006-0000-0300-000001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4" authorId="0" shapeId="0" xr:uid="{00000000-0006-0000-0300-0000021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4" authorId="0" shapeId="0" xr:uid="{00000000-0006-0000-0300-000003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4" authorId="0" shapeId="0" xr:uid="{00000000-0006-0000-0300-00000419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4" authorId="0" shapeId="0" xr:uid="{00000000-0006-0000-0300-00000519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4" authorId="0" shapeId="0" xr:uid="{00000000-0006-0000-0300-00000619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4" authorId="0" shapeId="0" xr:uid="{00000000-0006-0000-0300-000007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4" authorId="0" shapeId="0" xr:uid="{00000000-0006-0000-0300-000008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4" authorId="0" shapeId="0" xr:uid="{00000000-0006-0000-0300-00000919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4" authorId="0" shapeId="0" xr:uid="{00000000-0006-0000-0300-00000A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4" authorId="0" shapeId="0" xr:uid="{00000000-0006-0000-0300-00000B19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4" authorId="0" shapeId="0" xr:uid="{00000000-0006-0000-0300-00000C19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4" authorId="0" shapeId="0" xr:uid="{00000000-0006-0000-0300-00000D19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4" authorId="0" shapeId="0" xr:uid="{00000000-0006-0000-0300-00000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4" authorId="0" shapeId="0" xr:uid="{00000000-0006-0000-0300-00000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4" authorId="0" shapeId="0" xr:uid="{00000000-0006-0000-0300-00001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4" authorId="0" shapeId="0" xr:uid="{00000000-0006-0000-0300-00001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4" authorId="0" shapeId="0" xr:uid="{00000000-0006-0000-0300-000012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4" authorId="0" shapeId="0" xr:uid="{00000000-0006-0000-0300-00001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4" authorId="0" shapeId="0" xr:uid="{00000000-0006-0000-0300-00001419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4" authorId="0" shapeId="0" xr:uid="{00000000-0006-0000-0300-00001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4" authorId="0" shapeId="0" xr:uid="{00000000-0006-0000-0300-00001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4" authorId="0" shapeId="0" xr:uid="{00000000-0006-0000-0300-000017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4" authorId="0" shapeId="0" xr:uid="{00000000-0006-0000-0300-00001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4" authorId="0" shapeId="0" xr:uid="{00000000-0006-0000-0300-00001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4" authorId="0" shapeId="0" xr:uid="{00000000-0006-0000-0300-00001A19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4" authorId="0" shapeId="0" xr:uid="{00000000-0006-0000-0300-00001B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4" authorId="0" shapeId="0" xr:uid="{00000000-0006-0000-0300-00001C19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4" authorId="0" shapeId="0" xr:uid="{00000000-0006-0000-0300-00001D1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4" authorId="0" shapeId="0" xr:uid="{00000000-0006-0000-0300-00001E1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4" authorId="0" shapeId="0" xr:uid="{00000000-0006-0000-0300-00001F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4" authorId="0" shapeId="0" xr:uid="{00000000-0006-0000-0300-00002019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4" authorId="0" shapeId="0" xr:uid="{00000000-0006-0000-0300-0000211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4" authorId="0" shapeId="0" xr:uid="{00000000-0006-0000-0300-00002219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4" authorId="0" shapeId="0" xr:uid="{00000000-0006-0000-0300-00002319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4" authorId="0" shapeId="0" xr:uid="{00000000-0006-0000-0300-00002419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4" authorId="0" shapeId="0" xr:uid="{00000000-0006-0000-0300-00002519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4" authorId="0" shapeId="0" xr:uid="{00000000-0006-0000-0300-00002619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4" authorId="0" shapeId="0" xr:uid="{00000000-0006-0000-0300-0000271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4" authorId="0" shapeId="0" xr:uid="{00000000-0006-0000-0300-000028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4" authorId="0" shapeId="0" xr:uid="{00000000-0006-0000-0300-000029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4" authorId="0" shapeId="0" xr:uid="{00000000-0006-0000-0300-00002A1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4" authorId="0" shapeId="0" xr:uid="{00000000-0006-0000-0300-00002B1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4" authorId="0" shapeId="0" xr:uid="{00000000-0006-0000-0300-00002C1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4" authorId="0" shapeId="0" xr:uid="{00000000-0006-0000-0300-00002D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4" authorId="0" shapeId="0" xr:uid="{00000000-0006-0000-0300-00002E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4" authorId="0" shapeId="0" xr:uid="{00000000-0006-0000-0300-00002F19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4" authorId="0" shapeId="0" xr:uid="{00000000-0006-0000-0300-00003019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5" authorId="0" shapeId="0" xr:uid="{00000000-0006-0000-0300-000031190000}">
      <text>
        <r>
          <rPr>
            <sz val="9"/>
            <color indexed="81"/>
            <rFont val="Tahoma"/>
            <charset val="1"/>
          </rPr>
          <t>Date macro run: 4/19/2018 10:30:33 PM</t>
        </r>
      </text>
    </comment>
    <comment ref="B115" authorId="0" shapeId="0" xr:uid="{00000000-0006-0000-0300-0000321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5" authorId="0" shapeId="0" xr:uid="{00000000-0006-0000-0300-00003319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5" authorId="0" shapeId="0" xr:uid="{00000000-0006-0000-0300-00003419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5" authorId="0" shapeId="0" xr:uid="{00000000-0006-0000-0300-00003519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5" authorId="0" shapeId="0" xr:uid="{00000000-0006-0000-0300-00003619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5" authorId="0" shapeId="0" xr:uid="{00000000-0006-0000-0300-0000371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5" authorId="0" shapeId="0" xr:uid="{00000000-0006-0000-0300-00003819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5" authorId="0" shapeId="0" xr:uid="{00000000-0006-0000-0300-00003919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5" authorId="0" shapeId="0" xr:uid="{00000000-0006-0000-0300-00003A19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5" authorId="0" shapeId="0" xr:uid="{00000000-0006-0000-0300-00003B19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5" authorId="0" shapeId="0" xr:uid="{00000000-0006-0000-0300-00003C19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5" authorId="0" shapeId="0" xr:uid="{00000000-0006-0000-0300-00003D19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5" authorId="0" shapeId="0" xr:uid="{00000000-0006-0000-0300-00003E19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5" authorId="0" shapeId="0" xr:uid="{00000000-0006-0000-0300-00003F19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5" authorId="0" shapeId="0" xr:uid="{00000000-0006-0000-0300-00004019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5" authorId="0" shapeId="0" xr:uid="{00000000-0006-0000-0300-00004119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5" authorId="0" shapeId="0" xr:uid="{00000000-0006-0000-0300-00004219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5" authorId="0" shapeId="0" xr:uid="{00000000-0006-0000-0300-0000431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5" authorId="0" shapeId="0" xr:uid="{00000000-0006-0000-0300-00004419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5" authorId="0" shapeId="0" xr:uid="{00000000-0006-0000-0300-000045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5" authorId="0" shapeId="0" xr:uid="{00000000-0006-0000-0300-000046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5" authorId="0" shapeId="0" xr:uid="{00000000-0006-0000-0300-00004719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5" authorId="0" shapeId="0" xr:uid="{00000000-0006-0000-0300-000048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5" authorId="0" shapeId="0" xr:uid="{00000000-0006-0000-0300-0000491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5" authorId="0" shapeId="0" xr:uid="{00000000-0006-0000-0300-00004A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5" authorId="0" shapeId="0" xr:uid="{00000000-0006-0000-0300-00004B19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5" authorId="0" shapeId="0" xr:uid="{00000000-0006-0000-0300-00004C19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5" authorId="0" shapeId="0" xr:uid="{00000000-0006-0000-0300-00004D19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5" authorId="0" shapeId="0" xr:uid="{00000000-0006-0000-0300-00004E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5" authorId="0" shapeId="0" xr:uid="{00000000-0006-0000-0300-00004F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5" authorId="0" shapeId="0" xr:uid="{00000000-0006-0000-0300-00005019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5" authorId="0" shapeId="0" xr:uid="{00000000-0006-0000-0300-000051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5" authorId="0" shapeId="0" xr:uid="{00000000-0006-0000-0300-00005219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5" authorId="0" shapeId="0" xr:uid="{00000000-0006-0000-0300-00005319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5" authorId="0" shapeId="0" xr:uid="{00000000-0006-0000-0300-00005419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5" authorId="0" shapeId="0" xr:uid="{00000000-0006-0000-0300-00005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5" authorId="0" shapeId="0" xr:uid="{00000000-0006-0000-0300-00005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5" authorId="0" shapeId="0" xr:uid="{00000000-0006-0000-0300-00005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5" authorId="0" shapeId="0" xr:uid="{00000000-0006-0000-0300-00005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5" authorId="0" shapeId="0" xr:uid="{00000000-0006-0000-0300-000059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5" authorId="0" shapeId="0" xr:uid="{00000000-0006-0000-0300-00005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5" authorId="0" shapeId="0" xr:uid="{00000000-0006-0000-0300-00005B19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5" authorId="0" shapeId="0" xr:uid="{00000000-0006-0000-0300-00005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5" authorId="0" shapeId="0" xr:uid="{00000000-0006-0000-0300-00005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5" authorId="0" shapeId="0" xr:uid="{00000000-0006-0000-0300-00005E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5" authorId="0" shapeId="0" xr:uid="{00000000-0006-0000-0300-00005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5" authorId="0" shapeId="0" xr:uid="{00000000-0006-0000-0300-00006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5" authorId="0" shapeId="0" xr:uid="{00000000-0006-0000-0300-00006119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5" authorId="0" shapeId="0" xr:uid="{00000000-0006-0000-0300-000062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5" authorId="0" shapeId="0" xr:uid="{00000000-0006-0000-0300-00006319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5" authorId="0" shapeId="0" xr:uid="{00000000-0006-0000-0300-0000641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5" authorId="0" shapeId="0" xr:uid="{00000000-0006-0000-0300-0000651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5" authorId="0" shapeId="0" xr:uid="{00000000-0006-0000-0300-000066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5" authorId="0" shapeId="0" xr:uid="{00000000-0006-0000-0300-00006719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5" authorId="0" shapeId="0" xr:uid="{00000000-0006-0000-0300-0000681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5" authorId="0" shapeId="0" xr:uid="{00000000-0006-0000-0300-00006919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5" authorId="0" shapeId="0" xr:uid="{00000000-0006-0000-0300-00006A190000}">
      <text>
        <r>
          <rPr>
            <sz val="9"/>
            <color indexed="81"/>
            <rFont val="Tahoma"/>
            <charset val="1"/>
          </rPr>
          <t>Stability=,Expiration=4/19/2018</t>
        </r>
      </text>
    </comment>
    <comment ref="BI115" authorId="0" shapeId="0" xr:uid="{00000000-0006-0000-0300-00006B19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5" authorId="0" shapeId="0" xr:uid="{00000000-0006-0000-0300-00006C19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5" authorId="0" shapeId="0" xr:uid="{00000000-0006-0000-0300-00006D19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5" authorId="0" shapeId="0" xr:uid="{00000000-0006-0000-0300-00006E1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5" authorId="0" shapeId="0" xr:uid="{00000000-0006-0000-0300-00006F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5" authorId="0" shapeId="0" xr:uid="{00000000-0006-0000-0300-000070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5" authorId="0" shapeId="0" xr:uid="{00000000-0006-0000-0300-0000711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5" authorId="0" shapeId="0" xr:uid="{00000000-0006-0000-0300-0000721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5" authorId="0" shapeId="0" xr:uid="{00000000-0006-0000-0300-0000731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5" authorId="0" shapeId="0" xr:uid="{00000000-0006-0000-0300-000074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5" authorId="0" shapeId="0" xr:uid="{00000000-0006-0000-0300-000075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5" authorId="0" shapeId="0" xr:uid="{00000000-0006-0000-0300-00007619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5" authorId="0" shapeId="0" xr:uid="{00000000-0006-0000-0300-00007719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6" authorId="0" shapeId="0" xr:uid="{00000000-0006-0000-0300-000078190000}">
      <text>
        <r>
          <rPr>
            <sz val="9"/>
            <color indexed="81"/>
            <rFont val="Tahoma"/>
            <charset val="1"/>
          </rPr>
          <t>Date macro run: 4/23/2018 9:02:08 PM</t>
        </r>
      </text>
    </comment>
    <comment ref="B116" authorId="0" shapeId="0" xr:uid="{00000000-0006-0000-0300-0000791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6" authorId="0" shapeId="0" xr:uid="{00000000-0006-0000-0300-00007A19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6" authorId="0" shapeId="0" xr:uid="{00000000-0006-0000-0300-00007B19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6" authorId="0" shapeId="0" xr:uid="{00000000-0006-0000-0300-00007C19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6" authorId="0" shapeId="0" xr:uid="{00000000-0006-0000-0300-00007D19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6" authorId="0" shapeId="0" xr:uid="{00000000-0006-0000-0300-00007E1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6" authorId="0" shapeId="0" xr:uid="{00000000-0006-0000-0300-00007F19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6" authorId="0" shapeId="0" xr:uid="{00000000-0006-0000-0300-00008019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6" authorId="0" shapeId="0" xr:uid="{00000000-0006-0000-0300-00008119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6" authorId="0" shapeId="0" xr:uid="{00000000-0006-0000-0300-00008219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6" authorId="0" shapeId="0" xr:uid="{00000000-0006-0000-0300-00008319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6" authorId="0" shapeId="0" xr:uid="{00000000-0006-0000-0300-00008419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6" authorId="0" shapeId="0" xr:uid="{00000000-0006-0000-0300-00008519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6" authorId="0" shapeId="0" xr:uid="{00000000-0006-0000-0300-00008619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6" authorId="0" shapeId="0" xr:uid="{00000000-0006-0000-0300-00008719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6" authorId="0" shapeId="0" xr:uid="{00000000-0006-0000-0300-00008819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6" authorId="0" shapeId="0" xr:uid="{00000000-0006-0000-0300-00008919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6" authorId="0" shapeId="0" xr:uid="{00000000-0006-0000-0300-00008A1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6" authorId="0" shapeId="0" xr:uid="{00000000-0006-0000-0300-00008B19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6" authorId="0" shapeId="0" xr:uid="{00000000-0006-0000-0300-00008C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6" authorId="0" shapeId="0" xr:uid="{00000000-0006-0000-0300-00008D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6" authorId="0" shapeId="0" xr:uid="{00000000-0006-0000-0300-00008E19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6" authorId="0" shapeId="0" xr:uid="{00000000-0006-0000-0300-00008F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6" authorId="0" shapeId="0" xr:uid="{00000000-0006-0000-0300-0000901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6" authorId="0" shapeId="0" xr:uid="{00000000-0006-0000-0300-000091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6" authorId="0" shapeId="0" xr:uid="{00000000-0006-0000-0300-00009219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6" authorId="0" shapeId="0" xr:uid="{00000000-0006-0000-0300-00009319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6" authorId="0" shapeId="0" xr:uid="{00000000-0006-0000-0300-00009419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6" authorId="0" shapeId="0" xr:uid="{00000000-0006-0000-0300-000095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6" authorId="0" shapeId="0" xr:uid="{00000000-0006-0000-0300-000096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6" authorId="0" shapeId="0" xr:uid="{00000000-0006-0000-0300-00009719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6" authorId="0" shapeId="0" xr:uid="{00000000-0006-0000-0300-000098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6" authorId="0" shapeId="0" xr:uid="{00000000-0006-0000-0300-00009919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6" authorId="0" shapeId="0" xr:uid="{00000000-0006-0000-0300-00009A19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6" authorId="0" shapeId="0" xr:uid="{00000000-0006-0000-0300-00009B19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6" authorId="0" shapeId="0" xr:uid="{00000000-0006-0000-0300-00009C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6" authorId="0" shapeId="0" xr:uid="{00000000-0006-0000-0300-00009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6" authorId="0" shapeId="0" xr:uid="{00000000-0006-0000-0300-00009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6" authorId="0" shapeId="0" xr:uid="{00000000-0006-0000-0300-00009F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6" authorId="0" shapeId="0" xr:uid="{00000000-0006-0000-0300-0000A0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6" authorId="0" shapeId="0" xr:uid="{00000000-0006-0000-0300-0000A1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6" authorId="0" shapeId="0" xr:uid="{00000000-0006-0000-0300-0000A219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6" authorId="0" shapeId="0" xr:uid="{00000000-0006-0000-0300-0000A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6" authorId="0" shapeId="0" xr:uid="{00000000-0006-0000-0300-0000A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6" authorId="0" shapeId="0" xr:uid="{00000000-0006-0000-0300-0000A5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6" authorId="0" shapeId="0" xr:uid="{00000000-0006-0000-0300-0000A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6" authorId="0" shapeId="0" xr:uid="{00000000-0006-0000-0300-0000A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6" authorId="0" shapeId="0" xr:uid="{00000000-0006-0000-0300-0000A819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6" authorId="0" shapeId="0" xr:uid="{00000000-0006-0000-0300-0000A9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6" authorId="0" shapeId="0" xr:uid="{00000000-0006-0000-0300-0000AA19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6" authorId="0" shapeId="0" xr:uid="{00000000-0006-0000-0300-0000AB1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6" authorId="0" shapeId="0" xr:uid="{00000000-0006-0000-0300-0000AC1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6" authorId="0" shapeId="0" xr:uid="{00000000-0006-0000-0300-0000AD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6" authorId="0" shapeId="0" xr:uid="{00000000-0006-0000-0300-0000AE19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6" authorId="0" shapeId="0" xr:uid="{00000000-0006-0000-0300-0000AF1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6" authorId="0" shapeId="0" xr:uid="{00000000-0006-0000-0300-0000B019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6" authorId="0" shapeId="0" xr:uid="{00000000-0006-0000-0300-0000B119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16" authorId="0" shapeId="0" xr:uid="{00000000-0006-0000-0300-0000B219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6" authorId="0" shapeId="0" xr:uid="{00000000-0006-0000-0300-0000B319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6" authorId="0" shapeId="0" xr:uid="{00000000-0006-0000-0300-0000B419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6" authorId="0" shapeId="0" xr:uid="{00000000-0006-0000-0300-0000B51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6" authorId="0" shapeId="0" xr:uid="{00000000-0006-0000-0300-0000B6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6" authorId="0" shapeId="0" xr:uid="{00000000-0006-0000-0300-0000B7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6" authorId="0" shapeId="0" xr:uid="{00000000-0006-0000-0300-0000B81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6" authorId="0" shapeId="0" xr:uid="{00000000-0006-0000-0300-0000B919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6" authorId="0" shapeId="0" xr:uid="{00000000-0006-0000-0300-0000BA19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6" authorId="0" shapeId="0" xr:uid="{00000000-0006-0000-0300-0000BB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6" authorId="0" shapeId="0" xr:uid="{00000000-0006-0000-0300-0000BC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6" authorId="0" shapeId="0" xr:uid="{00000000-0006-0000-0300-0000BD19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6" authorId="0" shapeId="0" xr:uid="{00000000-0006-0000-0300-0000BE19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7" authorId="0" shapeId="0" xr:uid="{00000000-0006-0000-0300-0000BF190000}">
      <text>
        <r>
          <rPr>
            <sz val="9"/>
            <color indexed="81"/>
            <rFont val="Tahoma"/>
            <charset val="1"/>
          </rPr>
          <t>Date macro run: 4/25/2018 5:04:47 PM</t>
        </r>
      </text>
    </comment>
    <comment ref="B117" authorId="0" shapeId="0" xr:uid="{00000000-0006-0000-0300-0000C019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7" authorId="0" shapeId="0" xr:uid="{00000000-0006-0000-0300-0000C119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7" authorId="0" shapeId="0" xr:uid="{00000000-0006-0000-0300-0000C219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7" authorId="0" shapeId="0" xr:uid="{00000000-0006-0000-0300-0000C319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7" authorId="0" shapeId="0" xr:uid="{00000000-0006-0000-0300-0000C419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7" authorId="0" shapeId="0" xr:uid="{00000000-0006-0000-0300-0000C519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7" authorId="0" shapeId="0" xr:uid="{00000000-0006-0000-0300-0000C619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7" authorId="0" shapeId="0" xr:uid="{00000000-0006-0000-0300-0000C719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7" authorId="0" shapeId="0" xr:uid="{00000000-0006-0000-0300-0000C819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7" authorId="0" shapeId="0" xr:uid="{00000000-0006-0000-0300-0000C919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7" authorId="0" shapeId="0" xr:uid="{00000000-0006-0000-0300-0000CA19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7" authorId="0" shapeId="0" xr:uid="{00000000-0006-0000-0300-0000CB19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7" authorId="0" shapeId="0" xr:uid="{00000000-0006-0000-0300-0000CC19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7" authorId="0" shapeId="0" xr:uid="{00000000-0006-0000-0300-0000CD19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7" authorId="0" shapeId="0" xr:uid="{00000000-0006-0000-0300-0000CE19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7" authorId="0" shapeId="0" xr:uid="{00000000-0006-0000-0300-0000CF19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7" authorId="0" shapeId="0" xr:uid="{00000000-0006-0000-0300-0000D019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7" authorId="0" shapeId="0" xr:uid="{00000000-0006-0000-0300-0000D119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7" authorId="0" shapeId="0" xr:uid="{00000000-0006-0000-0300-0000D219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7" authorId="0" shapeId="0" xr:uid="{00000000-0006-0000-0300-0000D3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7" authorId="0" shapeId="0" xr:uid="{00000000-0006-0000-0300-0000D4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7" authorId="0" shapeId="0" xr:uid="{00000000-0006-0000-0300-0000D519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7" authorId="0" shapeId="0" xr:uid="{00000000-0006-0000-0300-0000D619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7" authorId="0" shapeId="0" xr:uid="{00000000-0006-0000-0300-0000D719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7" authorId="0" shapeId="0" xr:uid="{00000000-0006-0000-0300-0000D8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7" authorId="0" shapeId="0" xr:uid="{00000000-0006-0000-0300-0000D919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7" authorId="0" shapeId="0" xr:uid="{00000000-0006-0000-0300-0000DA19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7" authorId="0" shapeId="0" xr:uid="{00000000-0006-0000-0300-0000DB19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7" authorId="0" shapeId="0" xr:uid="{00000000-0006-0000-0300-0000DC19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7" authorId="0" shapeId="0" xr:uid="{00000000-0006-0000-0300-0000DD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7" authorId="0" shapeId="0" xr:uid="{00000000-0006-0000-0300-0000DE19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7" authorId="0" shapeId="0" xr:uid="{00000000-0006-0000-0300-0000DF19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7" authorId="0" shapeId="0" xr:uid="{00000000-0006-0000-0300-0000E019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7" authorId="0" shapeId="0" xr:uid="{00000000-0006-0000-0300-0000E119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7" authorId="0" shapeId="0" xr:uid="{00000000-0006-0000-0300-0000E219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7" authorId="0" shapeId="0" xr:uid="{00000000-0006-0000-0300-0000E3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7" authorId="0" shapeId="0" xr:uid="{00000000-0006-0000-0300-0000E4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7" authorId="0" shapeId="0" xr:uid="{00000000-0006-0000-0300-0000E5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7" authorId="0" shapeId="0" xr:uid="{00000000-0006-0000-0300-0000E6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7" authorId="0" shapeId="0" xr:uid="{00000000-0006-0000-0300-0000E7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7" authorId="0" shapeId="0" xr:uid="{00000000-0006-0000-0300-0000E8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7" authorId="0" shapeId="0" xr:uid="{00000000-0006-0000-0300-0000E919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7" authorId="0" shapeId="0" xr:uid="{00000000-0006-0000-0300-0000EA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7" authorId="0" shapeId="0" xr:uid="{00000000-0006-0000-0300-0000EB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7" authorId="0" shapeId="0" xr:uid="{00000000-0006-0000-0300-0000EC19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7" authorId="0" shapeId="0" xr:uid="{00000000-0006-0000-0300-0000ED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7" authorId="0" shapeId="0" xr:uid="{00000000-0006-0000-0300-0000EE19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7" authorId="0" shapeId="0" xr:uid="{00000000-0006-0000-0300-0000EF19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7" authorId="0" shapeId="0" xr:uid="{00000000-0006-0000-0300-0000F0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7" authorId="0" shapeId="0" xr:uid="{00000000-0006-0000-0300-0000F119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7" authorId="0" shapeId="0" xr:uid="{00000000-0006-0000-0300-0000F219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7" authorId="0" shapeId="0" xr:uid="{00000000-0006-0000-0300-0000F319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7" authorId="0" shapeId="0" xr:uid="{00000000-0006-0000-0300-0000F4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7" authorId="0" shapeId="0" xr:uid="{00000000-0006-0000-0300-0000F519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7" authorId="0" shapeId="0" xr:uid="{00000000-0006-0000-0300-0000F619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7" authorId="0" shapeId="0" xr:uid="{00000000-0006-0000-0300-0000F719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7" authorId="0" shapeId="0" xr:uid="{00000000-0006-0000-0300-0000F819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17" authorId="0" shapeId="0" xr:uid="{00000000-0006-0000-0300-0000F919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7" authorId="0" shapeId="0" xr:uid="{00000000-0006-0000-0300-0000FA19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7" authorId="0" shapeId="0" xr:uid="{00000000-0006-0000-0300-0000FB19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7" authorId="0" shapeId="0" xr:uid="{00000000-0006-0000-0300-0000FC19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7" authorId="0" shapeId="0" xr:uid="{00000000-0006-0000-0300-0000FD19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7" authorId="0" shapeId="0" xr:uid="{00000000-0006-0000-0300-0000FE19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7" authorId="0" shapeId="0" xr:uid="{00000000-0006-0000-0300-0000FF19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7" authorId="0" shapeId="0" xr:uid="{00000000-0006-0000-0300-0000001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7" authorId="0" shapeId="0" xr:uid="{00000000-0006-0000-0300-0000011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7" authorId="0" shapeId="0" xr:uid="{00000000-0006-0000-0300-000002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7" authorId="0" shapeId="0" xr:uid="{00000000-0006-0000-0300-000003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7" authorId="0" shapeId="0" xr:uid="{00000000-0006-0000-0300-0000041A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7" authorId="0" shapeId="0" xr:uid="{00000000-0006-0000-0300-0000051A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8" authorId="0" shapeId="0" xr:uid="{00000000-0006-0000-0300-0000061A0000}">
      <text>
        <r>
          <rPr>
            <sz val="9"/>
            <color indexed="81"/>
            <rFont val="Tahoma"/>
            <charset val="1"/>
          </rPr>
          <t>Date macro run: 4/27/2018 8:17:12 PM</t>
        </r>
      </text>
    </comment>
    <comment ref="B118" authorId="0" shapeId="0" xr:uid="{00000000-0006-0000-0300-0000071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8" authorId="0" shapeId="0" xr:uid="{00000000-0006-0000-0300-0000081A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8" authorId="0" shapeId="0" xr:uid="{00000000-0006-0000-0300-0000091A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8" authorId="0" shapeId="0" xr:uid="{00000000-0006-0000-0300-00000A1A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8" authorId="0" shapeId="0" xr:uid="{00000000-0006-0000-0300-00000B1A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8" authorId="0" shapeId="0" xr:uid="{00000000-0006-0000-0300-00000C1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8" authorId="0" shapeId="0" xr:uid="{00000000-0006-0000-0300-00000D1A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8" authorId="0" shapeId="0" xr:uid="{00000000-0006-0000-0300-00000E1A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8" authorId="0" shapeId="0" xr:uid="{00000000-0006-0000-0300-00000F1A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8" authorId="0" shapeId="0" xr:uid="{00000000-0006-0000-0300-0000101A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8" authorId="0" shapeId="0" xr:uid="{00000000-0006-0000-0300-0000111A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8" authorId="0" shapeId="0" xr:uid="{00000000-0006-0000-0300-0000121A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8" authorId="0" shapeId="0" xr:uid="{00000000-0006-0000-0300-0000131A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8" authorId="0" shapeId="0" xr:uid="{00000000-0006-0000-0300-0000141A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8" authorId="0" shapeId="0" xr:uid="{00000000-0006-0000-0300-0000151A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8" authorId="0" shapeId="0" xr:uid="{00000000-0006-0000-0300-000016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8" authorId="0" shapeId="0" xr:uid="{00000000-0006-0000-0300-0000171A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8" authorId="0" shapeId="0" xr:uid="{00000000-0006-0000-0300-0000181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8" authorId="0" shapeId="0" xr:uid="{00000000-0006-0000-0300-0000191A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8" authorId="0" shapeId="0" xr:uid="{00000000-0006-0000-0300-00001A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8" authorId="0" shapeId="0" xr:uid="{00000000-0006-0000-0300-00001B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8" authorId="0" shapeId="0" xr:uid="{00000000-0006-0000-0300-00001C1A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8" authorId="0" shapeId="0" xr:uid="{00000000-0006-0000-0300-00001D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8" authorId="0" shapeId="0" xr:uid="{00000000-0006-0000-0300-00001E1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8" authorId="0" shapeId="0" xr:uid="{00000000-0006-0000-0300-00001F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8" authorId="0" shapeId="0" xr:uid="{00000000-0006-0000-0300-0000201A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8" authorId="0" shapeId="0" xr:uid="{00000000-0006-0000-0300-0000211A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8" authorId="0" shapeId="0" xr:uid="{00000000-0006-0000-0300-0000221A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8" authorId="0" shapeId="0" xr:uid="{00000000-0006-0000-0300-000023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8" authorId="0" shapeId="0" xr:uid="{00000000-0006-0000-0300-000024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8" authorId="0" shapeId="0" xr:uid="{00000000-0006-0000-0300-0000251A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8" authorId="0" shapeId="0" xr:uid="{00000000-0006-0000-0300-000026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8" authorId="0" shapeId="0" xr:uid="{00000000-0006-0000-0300-0000271A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8" authorId="0" shapeId="0" xr:uid="{00000000-0006-0000-0300-0000281A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8" authorId="0" shapeId="0" xr:uid="{00000000-0006-0000-0300-0000291A0000}">
      <text>
        <r>
          <rPr>
            <sz val="9"/>
            <color indexed="81"/>
            <rFont val="Tahoma"/>
            <charset val="1"/>
          </rPr>
          <t>Stability=,Expiration=5/7/2018</t>
        </r>
      </text>
    </comment>
    <comment ref="AK118" authorId="0" shapeId="0" xr:uid="{00000000-0006-0000-0300-00002A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8" authorId="0" shapeId="0" xr:uid="{00000000-0006-0000-0300-00002B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8" authorId="0" shapeId="0" xr:uid="{00000000-0006-0000-0300-00002C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8" authorId="0" shapeId="0" xr:uid="{00000000-0006-0000-0300-00002D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8" authorId="0" shapeId="0" xr:uid="{00000000-0006-0000-0300-00002E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8" authorId="0" shapeId="0" xr:uid="{00000000-0006-0000-0300-00002F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8" authorId="0" shapeId="0" xr:uid="{00000000-0006-0000-0300-0000301A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8" authorId="0" shapeId="0" xr:uid="{00000000-0006-0000-0300-000031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8" authorId="0" shapeId="0" xr:uid="{00000000-0006-0000-0300-000032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8" authorId="0" shapeId="0" xr:uid="{00000000-0006-0000-0300-000033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8" authorId="0" shapeId="0" xr:uid="{00000000-0006-0000-0300-000034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8" authorId="0" shapeId="0" xr:uid="{00000000-0006-0000-0300-000035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8" authorId="0" shapeId="0" xr:uid="{00000000-0006-0000-0300-0000361A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8" authorId="0" shapeId="0" xr:uid="{00000000-0006-0000-0300-000037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8" authorId="0" shapeId="0" xr:uid="{00000000-0006-0000-0300-0000381A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8" authorId="0" shapeId="0" xr:uid="{00000000-0006-0000-0300-0000391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8" authorId="0" shapeId="0" xr:uid="{00000000-0006-0000-0300-00003A1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8" authorId="0" shapeId="0" xr:uid="{00000000-0006-0000-0300-00003B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8" authorId="0" shapeId="0" xr:uid="{00000000-0006-0000-0300-00003C1A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8" authorId="0" shapeId="0" xr:uid="{00000000-0006-0000-0300-00003D1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8" authorId="0" shapeId="0" xr:uid="{00000000-0006-0000-0300-00003E1A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8" authorId="0" shapeId="0" xr:uid="{00000000-0006-0000-0300-00003F1A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18" authorId="0" shapeId="0" xr:uid="{00000000-0006-0000-0300-0000401A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8" authorId="0" shapeId="0" xr:uid="{00000000-0006-0000-0300-0000411A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8" authorId="0" shapeId="0" xr:uid="{00000000-0006-0000-0300-0000421A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8" authorId="0" shapeId="0" xr:uid="{00000000-0006-0000-0300-0000431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8" authorId="0" shapeId="0" xr:uid="{00000000-0006-0000-0300-000044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8" authorId="0" shapeId="0" xr:uid="{00000000-0006-0000-0300-000045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8" authorId="0" shapeId="0" xr:uid="{00000000-0006-0000-0300-0000461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8" authorId="0" shapeId="0" xr:uid="{00000000-0006-0000-0300-0000471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8" authorId="0" shapeId="0" xr:uid="{00000000-0006-0000-0300-0000481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8" authorId="0" shapeId="0" xr:uid="{00000000-0006-0000-0300-000049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8" authorId="0" shapeId="0" xr:uid="{00000000-0006-0000-0300-00004A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8" authorId="0" shapeId="0" xr:uid="{00000000-0006-0000-0300-00004B1A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8" authorId="0" shapeId="0" xr:uid="{00000000-0006-0000-0300-00004C1A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19" authorId="0" shapeId="0" xr:uid="{00000000-0006-0000-0300-00004D1A0000}">
      <text>
        <r>
          <rPr>
            <sz val="9"/>
            <color indexed="81"/>
            <rFont val="Tahoma"/>
            <charset val="1"/>
          </rPr>
          <t>Date macro run: 4/30/2018 8:57:48 PM</t>
        </r>
      </text>
    </comment>
    <comment ref="B119" authorId="0" shapeId="0" xr:uid="{00000000-0006-0000-0300-00004E1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19" authorId="0" shapeId="0" xr:uid="{00000000-0006-0000-0300-00004F1A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19" authorId="0" shapeId="0" xr:uid="{00000000-0006-0000-0300-0000501A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19" authorId="0" shapeId="0" xr:uid="{00000000-0006-0000-0300-0000511A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19" authorId="0" shapeId="0" xr:uid="{00000000-0006-0000-0300-0000521A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19" authorId="0" shapeId="0" xr:uid="{00000000-0006-0000-0300-0000531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19" authorId="0" shapeId="0" xr:uid="{00000000-0006-0000-0300-0000541A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19" authorId="0" shapeId="0" xr:uid="{00000000-0006-0000-0300-0000551A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19" authorId="0" shapeId="0" xr:uid="{00000000-0006-0000-0300-0000561A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19" authorId="0" shapeId="0" xr:uid="{00000000-0006-0000-0300-0000571A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19" authorId="0" shapeId="0" xr:uid="{00000000-0006-0000-0300-0000581A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19" authorId="0" shapeId="0" xr:uid="{00000000-0006-0000-0300-0000591A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19" authorId="0" shapeId="0" xr:uid="{00000000-0006-0000-0300-00005A1A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19" authorId="0" shapeId="0" xr:uid="{00000000-0006-0000-0300-00005B1A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19" authorId="0" shapeId="0" xr:uid="{00000000-0006-0000-0300-00005C1A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19" authorId="0" shapeId="0" xr:uid="{00000000-0006-0000-0300-00005D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19" authorId="0" shapeId="0" xr:uid="{00000000-0006-0000-0300-00005E1A0000}">
      <text>
        <r>
          <rPr>
            <sz val="9"/>
            <color indexed="81"/>
            <rFont val="Tahoma"/>
            <charset val="1"/>
          </rPr>
          <t>Stability=,Expiration=12/9/2018</t>
        </r>
      </text>
    </comment>
    <comment ref="S119" authorId="0" shapeId="0" xr:uid="{00000000-0006-0000-0300-00005F1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19" authorId="0" shapeId="0" xr:uid="{00000000-0006-0000-0300-0000601A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19" authorId="0" shapeId="0" xr:uid="{00000000-0006-0000-0300-000061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19" authorId="0" shapeId="0" xr:uid="{00000000-0006-0000-0300-000062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19" authorId="0" shapeId="0" xr:uid="{00000000-0006-0000-0300-0000631A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19" authorId="0" shapeId="0" xr:uid="{00000000-0006-0000-0300-000064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19" authorId="0" shapeId="0" xr:uid="{00000000-0006-0000-0300-0000651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19" authorId="0" shapeId="0" xr:uid="{00000000-0006-0000-0300-000066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19" authorId="0" shapeId="0" xr:uid="{00000000-0006-0000-0300-0000671A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19" authorId="0" shapeId="0" xr:uid="{00000000-0006-0000-0300-0000681A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19" authorId="0" shapeId="0" xr:uid="{00000000-0006-0000-0300-0000691A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19" authorId="0" shapeId="0" xr:uid="{00000000-0006-0000-0300-00006A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19" authorId="0" shapeId="0" xr:uid="{00000000-0006-0000-0300-00006B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19" authorId="0" shapeId="0" xr:uid="{00000000-0006-0000-0300-00006C1A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19" authorId="0" shapeId="0" xr:uid="{00000000-0006-0000-0300-00006D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19" authorId="0" shapeId="0" xr:uid="{00000000-0006-0000-0300-00006E1A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19" authorId="0" shapeId="0" xr:uid="{00000000-0006-0000-0300-00006F1A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19" authorId="0" shapeId="0" xr:uid="{00000000-0006-0000-0300-0000701A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19" authorId="0" shapeId="0" xr:uid="{00000000-0006-0000-0300-000071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19" authorId="0" shapeId="0" xr:uid="{00000000-0006-0000-0300-000072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19" authorId="0" shapeId="0" xr:uid="{00000000-0006-0000-0300-000073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19" authorId="0" shapeId="0" xr:uid="{00000000-0006-0000-0300-000074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19" authorId="0" shapeId="0" xr:uid="{00000000-0006-0000-0300-000075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19" authorId="0" shapeId="0" xr:uid="{00000000-0006-0000-0300-000076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19" authorId="0" shapeId="0" xr:uid="{00000000-0006-0000-0300-0000771A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19" authorId="0" shapeId="0" xr:uid="{00000000-0006-0000-0300-000078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19" authorId="0" shapeId="0" xr:uid="{00000000-0006-0000-0300-000079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19" authorId="0" shapeId="0" xr:uid="{00000000-0006-0000-0300-00007A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19" authorId="0" shapeId="0" xr:uid="{00000000-0006-0000-0300-00007B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19" authorId="0" shapeId="0" xr:uid="{00000000-0006-0000-0300-00007C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19" authorId="0" shapeId="0" xr:uid="{00000000-0006-0000-0300-00007D1A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19" authorId="0" shapeId="0" xr:uid="{00000000-0006-0000-0300-00007E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19" authorId="0" shapeId="0" xr:uid="{00000000-0006-0000-0300-00007F1A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19" authorId="0" shapeId="0" xr:uid="{00000000-0006-0000-0300-0000801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19" authorId="0" shapeId="0" xr:uid="{00000000-0006-0000-0300-0000811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19" authorId="0" shapeId="0" xr:uid="{00000000-0006-0000-0300-000082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19" authorId="0" shapeId="0" xr:uid="{00000000-0006-0000-0300-0000831A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19" authorId="0" shapeId="0" xr:uid="{00000000-0006-0000-0300-0000841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19" authorId="0" shapeId="0" xr:uid="{00000000-0006-0000-0300-0000851A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19" authorId="0" shapeId="0" xr:uid="{00000000-0006-0000-0300-0000861A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19" authorId="0" shapeId="0" xr:uid="{00000000-0006-0000-0300-0000871A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19" authorId="0" shapeId="0" xr:uid="{00000000-0006-0000-0300-0000881A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19" authorId="0" shapeId="0" xr:uid="{00000000-0006-0000-0300-0000891A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19" authorId="0" shapeId="0" xr:uid="{00000000-0006-0000-0300-00008A1A0000}">
      <text>
        <r>
          <rPr>
            <sz val="9"/>
            <color indexed="81"/>
            <rFont val="Tahoma"/>
            <charset val="1"/>
          </rPr>
          <t>Stability=,Expiration=4/30/2018</t>
        </r>
      </text>
    </comment>
    <comment ref="BM119" authorId="0" shapeId="0" xr:uid="{00000000-0006-0000-0300-00008B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19" authorId="0" shapeId="0" xr:uid="{00000000-0006-0000-0300-00008C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19" authorId="0" shapeId="0" xr:uid="{00000000-0006-0000-0300-00008D1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19" authorId="0" shapeId="0" xr:uid="{00000000-0006-0000-0300-00008E1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19" authorId="0" shapeId="0" xr:uid="{00000000-0006-0000-0300-00008F1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19" authorId="0" shapeId="0" xr:uid="{00000000-0006-0000-0300-000090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19" authorId="0" shapeId="0" xr:uid="{00000000-0006-0000-0300-000091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19" authorId="0" shapeId="0" xr:uid="{00000000-0006-0000-0300-0000921A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19" authorId="0" shapeId="0" xr:uid="{00000000-0006-0000-0300-0000931A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0" authorId="0" shapeId="0" xr:uid="{00000000-0006-0000-0300-0000941A0000}">
      <text>
        <r>
          <rPr>
            <sz val="9"/>
            <color indexed="81"/>
            <rFont val="Tahoma"/>
            <charset val="1"/>
          </rPr>
          <t>Date macro run: 5/2/2018 8:54:48 PM</t>
        </r>
      </text>
    </comment>
    <comment ref="B120" authorId="0" shapeId="0" xr:uid="{00000000-0006-0000-0300-0000951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0" authorId="0" shapeId="0" xr:uid="{00000000-0006-0000-0300-0000961A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20" authorId="0" shapeId="0" xr:uid="{00000000-0006-0000-0300-0000971A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0" authorId="0" shapeId="0" xr:uid="{00000000-0006-0000-0300-0000981A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0" authorId="0" shapeId="0" xr:uid="{00000000-0006-0000-0300-0000991A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0" authorId="0" shapeId="0" xr:uid="{00000000-0006-0000-0300-00009A1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0" authorId="0" shapeId="0" xr:uid="{00000000-0006-0000-0300-00009B1A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0" authorId="0" shapeId="0" xr:uid="{00000000-0006-0000-0300-00009C1A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0" authorId="0" shapeId="0" xr:uid="{00000000-0006-0000-0300-00009D1A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0" authorId="0" shapeId="0" xr:uid="{00000000-0006-0000-0300-00009E1A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0" authorId="0" shapeId="0" xr:uid="{00000000-0006-0000-0300-00009F1A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0" authorId="0" shapeId="0" xr:uid="{00000000-0006-0000-0300-0000A01A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0" authorId="0" shapeId="0" xr:uid="{00000000-0006-0000-0300-0000A11A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20" authorId="0" shapeId="0" xr:uid="{00000000-0006-0000-0300-0000A21A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0" authorId="0" shapeId="0" xr:uid="{00000000-0006-0000-0300-0000A31A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0" authorId="0" shapeId="0" xr:uid="{00000000-0006-0000-0300-0000A4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20" authorId="0" shapeId="0" xr:uid="{00000000-0006-0000-0300-0000A51A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0" authorId="0" shapeId="0" xr:uid="{00000000-0006-0000-0300-0000A61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0" authorId="0" shapeId="0" xr:uid="{00000000-0006-0000-0300-0000A71A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0" authorId="0" shapeId="0" xr:uid="{00000000-0006-0000-0300-0000A8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0" authorId="0" shapeId="0" xr:uid="{00000000-0006-0000-0300-0000A9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0" authorId="0" shapeId="0" xr:uid="{00000000-0006-0000-0300-0000AA1A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0" authorId="0" shapeId="0" xr:uid="{00000000-0006-0000-0300-0000AB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0" authorId="0" shapeId="0" xr:uid="{00000000-0006-0000-0300-0000AC1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0" authorId="0" shapeId="0" xr:uid="{00000000-0006-0000-0300-0000AD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0" authorId="0" shapeId="0" xr:uid="{00000000-0006-0000-0300-0000AE1A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0" authorId="0" shapeId="0" xr:uid="{00000000-0006-0000-0300-0000AF1A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0" authorId="0" shapeId="0" xr:uid="{00000000-0006-0000-0300-0000B01A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0" authorId="0" shapeId="0" xr:uid="{00000000-0006-0000-0300-0000B1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0" authorId="0" shapeId="0" xr:uid="{00000000-0006-0000-0300-0000B2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0" authorId="0" shapeId="0" xr:uid="{00000000-0006-0000-0300-0000B31A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20" authorId="0" shapeId="0" xr:uid="{00000000-0006-0000-0300-0000B4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20" authorId="0" shapeId="0" xr:uid="{00000000-0006-0000-0300-0000B51A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0" authorId="0" shapeId="0" xr:uid="{00000000-0006-0000-0300-0000B61A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0" authorId="0" shapeId="0" xr:uid="{00000000-0006-0000-0300-0000B71A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0" authorId="0" shapeId="0" xr:uid="{00000000-0006-0000-0300-0000B8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0" authorId="0" shapeId="0" xr:uid="{00000000-0006-0000-0300-0000B9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0" authorId="0" shapeId="0" xr:uid="{00000000-0006-0000-0300-0000BA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0" authorId="0" shapeId="0" xr:uid="{00000000-0006-0000-0300-0000BB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0" authorId="0" shapeId="0" xr:uid="{00000000-0006-0000-0300-0000BC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0" authorId="0" shapeId="0" xr:uid="{00000000-0006-0000-0300-0000BD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0" authorId="0" shapeId="0" xr:uid="{00000000-0006-0000-0300-0000BE1A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0" authorId="0" shapeId="0" xr:uid="{00000000-0006-0000-0300-0000BF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0" authorId="0" shapeId="0" xr:uid="{00000000-0006-0000-0300-0000C0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0" authorId="0" shapeId="0" xr:uid="{00000000-0006-0000-0300-0000C1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0" authorId="0" shapeId="0" xr:uid="{00000000-0006-0000-0300-0000C2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0" authorId="0" shapeId="0" xr:uid="{00000000-0006-0000-0300-0000C3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0" authorId="0" shapeId="0" xr:uid="{00000000-0006-0000-0300-0000C41A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0" authorId="0" shapeId="0" xr:uid="{00000000-0006-0000-0300-0000C5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0" authorId="0" shapeId="0" xr:uid="{00000000-0006-0000-0300-0000C61A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0" authorId="0" shapeId="0" xr:uid="{00000000-0006-0000-0300-0000C71A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0" authorId="0" shapeId="0" xr:uid="{00000000-0006-0000-0300-0000C81A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0" authorId="0" shapeId="0" xr:uid="{00000000-0006-0000-0300-0000C9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0" authorId="0" shapeId="0" xr:uid="{00000000-0006-0000-0300-0000CA1A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0" authorId="0" shapeId="0" xr:uid="{00000000-0006-0000-0300-0000CB1A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0" authorId="0" shapeId="0" xr:uid="{00000000-0006-0000-0300-0000CC1A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0" authorId="0" shapeId="0" xr:uid="{00000000-0006-0000-0300-0000CD1A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0" authorId="0" shapeId="0" xr:uid="{00000000-0006-0000-0300-0000CE1A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0" authorId="0" shapeId="0" xr:uid="{00000000-0006-0000-0300-0000CF1A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0" authorId="0" shapeId="0" xr:uid="{00000000-0006-0000-0300-0000D01A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0" authorId="0" shapeId="0" xr:uid="{00000000-0006-0000-0300-0000D1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0" authorId="0" shapeId="0" xr:uid="{00000000-0006-0000-0300-0000D2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0" authorId="0" shapeId="0" xr:uid="{00000000-0006-0000-0300-0000D31A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0" authorId="0" shapeId="0" xr:uid="{00000000-0006-0000-0300-0000D41A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0" authorId="0" shapeId="0" xr:uid="{00000000-0006-0000-0300-0000D51A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0" authorId="0" shapeId="0" xr:uid="{00000000-0006-0000-0300-0000D61A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0" authorId="0" shapeId="0" xr:uid="{00000000-0006-0000-0300-0000D7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0" authorId="0" shapeId="0" xr:uid="{00000000-0006-0000-0300-0000D8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0" authorId="0" shapeId="0" xr:uid="{00000000-0006-0000-0300-0000D91A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0" authorId="0" shapeId="0" xr:uid="{00000000-0006-0000-0300-0000DA1A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1" authorId="0" shapeId="0" xr:uid="{00000000-0006-0000-0300-0000DB1A0000}">
      <text>
        <r>
          <rPr>
            <sz val="9"/>
            <color indexed="81"/>
            <rFont val="Tahoma"/>
            <charset val="1"/>
          </rPr>
          <t>Date macro run: 5/3/2018 9:32:46 PM</t>
        </r>
      </text>
    </comment>
    <comment ref="B121" authorId="0" shapeId="0" xr:uid="{00000000-0006-0000-0300-0000DC1A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1" authorId="0" shapeId="0" xr:uid="{00000000-0006-0000-0300-0000DD1A0000}">
      <text>
        <r>
          <rPr>
            <sz val="9"/>
            <color indexed="81"/>
            <rFont val="Tahoma"/>
            <charset val="1"/>
          </rPr>
          <t>Stability=,Expiration=4/10/2019</t>
        </r>
      </text>
    </comment>
    <comment ref="D121" authorId="0" shapeId="0" xr:uid="{00000000-0006-0000-0300-0000DE1A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1" authorId="0" shapeId="0" xr:uid="{00000000-0006-0000-0300-0000DF1A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1" authorId="0" shapeId="0" xr:uid="{00000000-0006-0000-0300-0000E01A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1" authorId="0" shapeId="0" xr:uid="{00000000-0006-0000-0300-0000E11A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1" authorId="0" shapeId="0" xr:uid="{00000000-0006-0000-0300-0000E21A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1" authorId="0" shapeId="0" xr:uid="{00000000-0006-0000-0300-0000E31A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1" authorId="0" shapeId="0" xr:uid="{00000000-0006-0000-0300-0000E41A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1" authorId="0" shapeId="0" xr:uid="{00000000-0006-0000-0300-0000E51A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1" authorId="0" shapeId="0" xr:uid="{00000000-0006-0000-0300-0000E61A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1" authorId="0" shapeId="0" xr:uid="{00000000-0006-0000-0300-0000E71A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1" authorId="0" shapeId="0" xr:uid="{00000000-0006-0000-0300-0000E81A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21" authorId="0" shapeId="0" xr:uid="{00000000-0006-0000-0300-0000E91A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1" authorId="0" shapeId="0" xr:uid="{00000000-0006-0000-0300-0000EA1A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1" authorId="0" shapeId="0" xr:uid="{00000000-0006-0000-0300-0000EB1A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R121" authorId="0" shapeId="0" xr:uid="{00000000-0006-0000-0300-0000EC1A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1" authorId="0" shapeId="0" xr:uid="{00000000-0006-0000-0300-0000ED1A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1" authorId="0" shapeId="0" xr:uid="{00000000-0006-0000-0300-0000EE1A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1" authorId="0" shapeId="0" xr:uid="{00000000-0006-0000-0300-0000EF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1" authorId="0" shapeId="0" xr:uid="{00000000-0006-0000-0300-0000F0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1" authorId="0" shapeId="0" xr:uid="{00000000-0006-0000-0300-0000F11A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1" authorId="0" shapeId="0" xr:uid="{00000000-0006-0000-0300-0000F21A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1" authorId="0" shapeId="0" xr:uid="{00000000-0006-0000-0300-0000F31A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1" authorId="0" shapeId="0" xr:uid="{00000000-0006-0000-0300-0000F41A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1" authorId="0" shapeId="0" xr:uid="{00000000-0006-0000-0300-0000F51A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1" authorId="0" shapeId="0" xr:uid="{00000000-0006-0000-0300-0000F61A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1" authorId="0" shapeId="0" xr:uid="{00000000-0006-0000-0300-0000F71A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1" authorId="0" shapeId="0" xr:uid="{00000000-0006-0000-0300-0000F81A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1" authorId="0" shapeId="0" xr:uid="{00000000-0006-0000-0300-0000F91A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1" authorId="0" shapeId="0" xr:uid="{00000000-0006-0000-0300-0000FA1A0000}">
      <text>
        <r>
          <rPr>
            <sz val="9"/>
            <color indexed="81"/>
            <rFont val="Tahoma"/>
            <charset val="1"/>
          </rPr>
          <t>Stability=,Expiration=8/19/2018</t>
        </r>
      </text>
    </comment>
    <comment ref="AG121" authorId="0" shapeId="0" xr:uid="{00000000-0006-0000-0300-0000FB1A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AH121" authorId="0" shapeId="0" xr:uid="{00000000-0006-0000-0300-0000FC1A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1" authorId="0" shapeId="0" xr:uid="{00000000-0006-0000-0300-0000FD1A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1" authorId="0" shapeId="0" xr:uid="{00000000-0006-0000-0300-0000FE1A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1" authorId="0" shapeId="0" xr:uid="{00000000-0006-0000-0300-0000FF1A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1" authorId="0" shapeId="0" xr:uid="{00000000-0006-0000-0300-000000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1" authorId="0" shapeId="0" xr:uid="{00000000-0006-0000-0300-000001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1" authorId="0" shapeId="0" xr:uid="{00000000-0006-0000-0300-000002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1" authorId="0" shapeId="0" xr:uid="{00000000-0006-0000-0300-000003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1" authorId="0" shapeId="0" xr:uid="{00000000-0006-0000-0300-000004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1" authorId="0" shapeId="0" xr:uid="{00000000-0006-0000-0300-0000051B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1" authorId="0" shapeId="0" xr:uid="{00000000-0006-0000-0300-000006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1" authorId="0" shapeId="0" xr:uid="{00000000-0006-0000-0300-000007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1" authorId="0" shapeId="0" xr:uid="{00000000-0006-0000-0300-000008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1" authorId="0" shapeId="0" xr:uid="{00000000-0006-0000-0300-000009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1" authorId="0" shapeId="0" xr:uid="{00000000-0006-0000-0300-00000A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1" authorId="0" shapeId="0" xr:uid="{00000000-0006-0000-0300-00000B1B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1" authorId="0" shapeId="0" xr:uid="{00000000-0006-0000-0300-00000C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1" authorId="0" shapeId="0" xr:uid="{00000000-0006-0000-0300-00000D1B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1" authorId="0" shapeId="0" xr:uid="{00000000-0006-0000-0300-00000E1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1" authorId="0" shapeId="0" xr:uid="{00000000-0006-0000-0300-00000F1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1" authorId="0" shapeId="0" xr:uid="{00000000-0006-0000-0300-000010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1" authorId="0" shapeId="0" xr:uid="{00000000-0006-0000-0300-0000111B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1" authorId="0" shapeId="0" xr:uid="{00000000-0006-0000-0300-0000121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1" authorId="0" shapeId="0" xr:uid="{00000000-0006-0000-0300-0000131B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1" authorId="0" shapeId="0" xr:uid="{00000000-0006-0000-0300-0000141B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1" authorId="0" shapeId="0" xr:uid="{00000000-0006-0000-0300-0000151B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1" authorId="0" shapeId="0" xr:uid="{00000000-0006-0000-0300-0000161B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1" authorId="0" shapeId="0" xr:uid="{00000000-0006-0000-0300-0000171B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1" authorId="0" shapeId="0" xr:uid="{00000000-0006-0000-0300-0000181B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1" authorId="0" shapeId="0" xr:uid="{00000000-0006-0000-0300-000019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1" authorId="0" shapeId="0" xr:uid="{00000000-0006-0000-0300-00001A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1" authorId="0" shapeId="0" xr:uid="{00000000-0006-0000-0300-00001B1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1" authorId="0" shapeId="0" xr:uid="{00000000-0006-0000-0300-00001C1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1" authorId="0" shapeId="0" xr:uid="{00000000-0006-0000-0300-00001D1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1" authorId="0" shapeId="0" xr:uid="{00000000-0006-0000-0300-00001E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1" authorId="0" shapeId="0" xr:uid="{00000000-0006-0000-0300-00001F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1" authorId="0" shapeId="0" xr:uid="{00000000-0006-0000-0300-0000201B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1" authorId="0" shapeId="0" xr:uid="{00000000-0006-0000-0300-0000211B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2" authorId="0" shapeId="0" xr:uid="{00000000-0006-0000-0300-0000221B0000}">
      <text>
        <r>
          <rPr>
            <sz val="9"/>
            <color indexed="81"/>
            <rFont val="Tahoma"/>
            <charset val="1"/>
          </rPr>
          <t>Date macro run: 5/7/2018 10:36:16 PM</t>
        </r>
      </text>
    </comment>
    <comment ref="B122" authorId="0" shapeId="0" xr:uid="{00000000-0006-0000-0300-0000231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2" authorId="0" shapeId="0" xr:uid="{00000000-0006-0000-0300-0000241B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2" authorId="0" shapeId="0" xr:uid="{00000000-0006-0000-0300-0000251B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2" authorId="0" shapeId="0" xr:uid="{00000000-0006-0000-0300-0000261B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2" authorId="0" shapeId="0" xr:uid="{00000000-0006-0000-0300-0000271B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2" authorId="0" shapeId="0" xr:uid="{00000000-0006-0000-0300-0000281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2" authorId="0" shapeId="0" xr:uid="{00000000-0006-0000-0300-0000291B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2" authorId="0" shapeId="0" xr:uid="{00000000-0006-0000-0300-00002A1B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2" authorId="0" shapeId="0" xr:uid="{00000000-0006-0000-0300-00002B1B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2" authorId="0" shapeId="0" xr:uid="{00000000-0006-0000-0300-00002C1B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2" authorId="0" shapeId="0" xr:uid="{00000000-0006-0000-0300-00002D1B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2" authorId="0" shapeId="0" xr:uid="{00000000-0006-0000-0300-00002E1B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2" authorId="0" shapeId="0" xr:uid="{00000000-0006-0000-0300-00002F1B0000}">
      <text>
        <r>
          <rPr>
            <sz val="9"/>
            <color indexed="81"/>
            <rFont val="Tahoma"/>
            <charset val="1"/>
          </rPr>
          <t>Stability=,Expiration=9/19/2018</t>
        </r>
      </text>
    </comment>
    <comment ref="O122" authorId="0" shapeId="0" xr:uid="{00000000-0006-0000-0300-0000301B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2" authorId="0" shapeId="0" xr:uid="{00000000-0006-0000-0300-0000311B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2" authorId="0" shapeId="0" xr:uid="{00000000-0006-0000-0300-000032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2" authorId="0" shapeId="0" xr:uid="{00000000-0006-0000-0300-0000331B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2" authorId="0" shapeId="0" xr:uid="{00000000-0006-0000-0300-0000341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2" authorId="0" shapeId="0" xr:uid="{00000000-0006-0000-0300-0000351B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2" authorId="0" shapeId="0" xr:uid="{00000000-0006-0000-0300-000036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2" authorId="0" shapeId="0" xr:uid="{00000000-0006-0000-0300-000037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2" authorId="0" shapeId="0" xr:uid="{00000000-0006-0000-0300-0000381B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2" authorId="0" shapeId="0" xr:uid="{00000000-0006-0000-0300-000039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2" authorId="0" shapeId="0" xr:uid="{00000000-0006-0000-0300-00003A1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2" authorId="0" shapeId="0" xr:uid="{00000000-0006-0000-0300-00003B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2" authorId="0" shapeId="0" xr:uid="{00000000-0006-0000-0300-00003C1B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2" authorId="0" shapeId="0" xr:uid="{00000000-0006-0000-0300-00003D1B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2" authorId="0" shapeId="0" xr:uid="{00000000-0006-0000-0300-00003E1B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2" authorId="0" shapeId="0" xr:uid="{00000000-0006-0000-0300-00003F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2" authorId="0" shapeId="0" xr:uid="{00000000-0006-0000-0300-000040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2" authorId="0" shapeId="0" xr:uid="{00000000-0006-0000-0300-0000411B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2" authorId="0" shapeId="0" xr:uid="{00000000-0006-0000-0300-0000421B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2" authorId="0" shapeId="0" xr:uid="{00000000-0006-0000-0300-0000431B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2" authorId="0" shapeId="0" xr:uid="{00000000-0006-0000-0300-0000441B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2" authorId="0" shapeId="0" xr:uid="{00000000-0006-0000-0300-0000451B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2" authorId="0" shapeId="0" xr:uid="{00000000-0006-0000-0300-000046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2" authorId="0" shapeId="0" xr:uid="{00000000-0006-0000-0300-000047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2" authorId="0" shapeId="0" xr:uid="{00000000-0006-0000-0300-000048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2" authorId="0" shapeId="0" xr:uid="{00000000-0006-0000-0300-000049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2" authorId="0" shapeId="0" xr:uid="{00000000-0006-0000-0300-00004A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2" authorId="0" shapeId="0" xr:uid="{00000000-0006-0000-0300-00004B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2" authorId="0" shapeId="0" xr:uid="{00000000-0006-0000-0300-00004C1B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2" authorId="0" shapeId="0" xr:uid="{00000000-0006-0000-0300-00004D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2" authorId="0" shapeId="0" xr:uid="{00000000-0006-0000-0300-00004E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2" authorId="0" shapeId="0" xr:uid="{00000000-0006-0000-0300-00004F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2" authorId="0" shapeId="0" xr:uid="{00000000-0006-0000-0300-000050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2" authorId="0" shapeId="0" xr:uid="{00000000-0006-0000-0300-000051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2" authorId="0" shapeId="0" xr:uid="{00000000-0006-0000-0300-0000521B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2" authorId="0" shapeId="0" xr:uid="{00000000-0006-0000-0300-000053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2" authorId="0" shapeId="0" xr:uid="{00000000-0006-0000-0300-0000541B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2" authorId="0" shapeId="0" xr:uid="{00000000-0006-0000-0300-0000551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2" authorId="0" shapeId="0" xr:uid="{00000000-0006-0000-0300-0000561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2" authorId="0" shapeId="0" xr:uid="{00000000-0006-0000-0300-000057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2" authorId="0" shapeId="0" xr:uid="{00000000-0006-0000-0300-0000581B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2" authorId="0" shapeId="0" xr:uid="{00000000-0006-0000-0300-0000591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2" authorId="0" shapeId="0" xr:uid="{00000000-0006-0000-0300-00005A1B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2" authorId="0" shapeId="0" xr:uid="{00000000-0006-0000-0300-00005B1B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2" authorId="0" shapeId="0" xr:uid="{00000000-0006-0000-0300-00005C1B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2" authorId="0" shapeId="0" xr:uid="{00000000-0006-0000-0300-00005D1B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2" authorId="0" shapeId="0" xr:uid="{00000000-0006-0000-0300-00005E1B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2" authorId="0" shapeId="0" xr:uid="{00000000-0006-0000-0300-00005F1B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2" authorId="0" shapeId="0" xr:uid="{00000000-0006-0000-0300-000060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2" authorId="0" shapeId="0" xr:uid="{00000000-0006-0000-0300-000061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2" authorId="0" shapeId="0" xr:uid="{00000000-0006-0000-0300-0000621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2" authorId="0" shapeId="0" xr:uid="{00000000-0006-0000-0300-0000631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2" authorId="0" shapeId="0" xr:uid="{00000000-0006-0000-0300-0000641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2" authorId="0" shapeId="0" xr:uid="{00000000-0006-0000-0300-000065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2" authorId="0" shapeId="0" xr:uid="{00000000-0006-0000-0300-000066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2" authorId="0" shapeId="0" xr:uid="{00000000-0006-0000-0300-0000671B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2" authorId="0" shapeId="0" xr:uid="{00000000-0006-0000-0300-0000681B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3" authorId="0" shapeId="0" xr:uid="{00000000-0006-0000-0300-0000691B0000}">
      <text>
        <r>
          <rPr>
            <sz val="9"/>
            <color indexed="81"/>
            <rFont val="Tahoma"/>
            <charset val="1"/>
          </rPr>
          <t>Date macro run: 5/9/2018 9:04:45 PM</t>
        </r>
      </text>
    </comment>
    <comment ref="B123" authorId="0" shapeId="0" xr:uid="{00000000-0006-0000-0300-00006A1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3" authorId="0" shapeId="0" xr:uid="{00000000-0006-0000-0300-00006B1B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3" authorId="0" shapeId="0" xr:uid="{00000000-0006-0000-0300-00006C1B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3" authorId="0" shapeId="0" xr:uid="{00000000-0006-0000-0300-00006D1B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3" authorId="0" shapeId="0" xr:uid="{00000000-0006-0000-0300-00006E1B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3" authorId="0" shapeId="0" xr:uid="{00000000-0006-0000-0300-00006F1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3" authorId="0" shapeId="0" xr:uid="{00000000-0006-0000-0300-0000701B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3" authorId="0" shapeId="0" xr:uid="{00000000-0006-0000-0300-0000711B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3" authorId="0" shapeId="0" xr:uid="{00000000-0006-0000-0300-0000721B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3" authorId="0" shapeId="0" xr:uid="{00000000-0006-0000-0300-0000731B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3" authorId="0" shapeId="0" xr:uid="{00000000-0006-0000-0300-0000741B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3" authorId="0" shapeId="0" xr:uid="{00000000-0006-0000-0300-0000751B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3" authorId="0" shapeId="0" xr:uid="{00000000-0006-0000-0300-0000761B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3" authorId="0" shapeId="0" xr:uid="{00000000-0006-0000-0300-0000771B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3" authorId="0" shapeId="0" xr:uid="{00000000-0006-0000-0300-0000781B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3" authorId="0" shapeId="0" xr:uid="{00000000-0006-0000-0300-000079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3" authorId="0" shapeId="0" xr:uid="{00000000-0006-0000-0300-00007A1B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3" authorId="0" shapeId="0" xr:uid="{00000000-0006-0000-0300-00007B1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3" authorId="0" shapeId="0" xr:uid="{00000000-0006-0000-0300-00007C1B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3" authorId="0" shapeId="0" xr:uid="{00000000-0006-0000-0300-00007D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3" authorId="0" shapeId="0" xr:uid="{00000000-0006-0000-0300-00007E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3" authorId="0" shapeId="0" xr:uid="{00000000-0006-0000-0300-00007F1B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3" authorId="0" shapeId="0" xr:uid="{00000000-0006-0000-0300-000080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3" authorId="0" shapeId="0" xr:uid="{00000000-0006-0000-0300-0000811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3" authorId="0" shapeId="0" xr:uid="{00000000-0006-0000-0300-000082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3" authorId="0" shapeId="0" xr:uid="{00000000-0006-0000-0300-0000831B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3" authorId="0" shapeId="0" xr:uid="{00000000-0006-0000-0300-0000841B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3" authorId="0" shapeId="0" xr:uid="{00000000-0006-0000-0300-0000851B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3" authorId="0" shapeId="0" xr:uid="{00000000-0006-0000-0300-000086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3" authorId="0" shapeId="0" xr:uid="{00000000-0006-0000-0300-000087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3" authorId="0" shapeId="0" xr:uid="{00000000-0006-0000-0300-0000881B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3" authorId="0" shapeId="0" xr:uid="{00000000-0006-0000-0300-0000891B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3" authorId="0" shapeId="0" xr:uid="{00000000-0006-0000-0300-00008A1B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3" authorId="0" shapeId="0" xr:uid="{00000000-0006-0000-0300-00008B1B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3" authorId="0" shapeId="0" xr:uid="{00000000-0006-0000-0300-00008C1B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3" authorId="0" shapeId="0" xr:uid="{00000000-0006-0000-0300-00008D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3" authorId="0" shapeId="0" xr:uid="{00000000-0006-0000-0300-00008E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3" authorId="0" shapeId="0" xr:uid="{00000000-0006-0000-0300-00008F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3" authorId="0" shapeId="0" xr:uid="{00000000-0006-0000-0300-000090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3" authorId="0" shapeId="0" xr:uid="{00000000-0006-0000-0300-000091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3" authorId="0" shapeId="0" xr:uid="{00000000-0006-0000-0300-000092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3" authorId="0" shapeId="0" xr:uid="{00000000-0006-0000-0300-0000931B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3" authorId="0" shapeId="0" xr:uid="{00000000-0006-0000-0300-000094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3" authorId="0" shapeId="0" xr:uid="{00000000-0006-0000-0300-000095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3" authorId="0" shapeId="0" xr:uid="{00000000-0006-0000-0300-000096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3" authorId="0" shapeId="0" xr:uid="{00000000-0006-0000-0300-000097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3" authorId="0" shapeId="0" xr:uid="{00000000-0006-0000-0300-000098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3" authorId="0" shapeId="0" xr:uid="{00000000-0006-0000-0300-0000991B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3" authorId="0" shapeId="0" xr:uid="{00000000-0006-0000-0300-00009A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3" authorId="0" shapeId="0" xr:uid="{00000000-0006-0000-0300-00009B1B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3" authorId="0" shapeId="0" xr:uid="{00000000-0006-0000-0300-00009C1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3" authorId="0" shapeId="0" xr:uid="{00000000-0006-0000-0300-00009D1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3" authorId="0" shapeId="0" xr:uid="{00000000-0006-0000-0300-00009E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3" authorId="0" shapeId="0" xr:uid="{00000000-0006-0000-0300-00009F1B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3" authorId="0" shapeId="0" xr:uid="{00000000-0006-0000-0300-0000A01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3" authorId="0" shapeId="0" xr:uid="{00000000-0006-0000-0300-0000A11B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3" authorId="0" shapeId="0" xr:uid="{00000000-0006-0000-0300-0000A21B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3" authorId="0" shapeId="0" xr:uid="{00000000-0006-0000-0300-0000A31B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3" authorId="0" shapeId="0" xr:uid="{00000000-0006-0000-0300-0000A41B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3" authorId="0" shapeId="0" xr:uid="{00000000-0006-0000-0300-0000A51B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3" authorId="0" shapeId="0" xr:uid="{00000000-0006-0000-0300-0000A61B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3" authorId="0" shapeId="0" xr:uid="{00000000-0006-0000-0300-0000A7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3" authorId="0" shapeId="0" xr:uid="{00000000-0006-0000-0300-0000A8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3" authorId="0" shapeId="0" xr:uid="{00000000-0006-0000-0300-0000A91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3" authorId="0" shapeId="0" xr:uid="{00000000-0006-0000-0300-0000AA1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3" authorId="0" shapeId="0" xr:uid="{00000000-0006-0000-0300-0000AB1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3" authorId="0" shapeId="0" xr:uid="{00000000-0006-0000-0300-0000AC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3" authorId="0" shapeId="0" xr:uid="{00000000-0006-0000-0300-0000AD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3" authorId="0" shapeId="0" xr:uid="{00000000-0006-0000-0300-0000AE1B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3" authorId="0" shapeId="0" xr:uid="{00000000-0006-0000-0300-0000AF1B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4" authorId="0" shapeId="0" xr:uid="{00000000-0006-0000-0300-0000B01B0000}">
      <text>
        <r>
          <rPr>
            <sz val="9"/>
            <color indexed="81"/>
            <rFont val="Tahoma"/>
            <charset val="1"/>
          </rPr>
          <t>Date macro run: 5/11/2018 8:12:09 PM</t>
        </r>
      </text>
    </comment>
    <comment ref="B124" authorId="0" shapeId="0" xr:uid="{00000000-0006-0000-0300-0000B11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4" authorId="0" shapeId="0" xr:uid="{00000000-0006-0000-0300-0000B21B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4" authorId="0" shapeId="0" xr:uid="{00000000-0006-0000-0300-0000B31B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4" authorId="0" shapeId="0" xr:uid="{00000000-0006-0000-0300-0000B41B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4" authorId="0" shapeId="0" xr:uid="{00000000-0006-0000-0300-0000B51B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4" authorId="0" shapeId="0" xr:uid="{00000000-0006-0000-0300-0000B61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4" authorId="0" shapeId="0" xr:uid="{00000000-0006-0000-0300-0000B71B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4" authorId="0" shapeId="0" xr:uid="{00000000-0006-0000-0300-0000B81B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4" authorId="0" shapeId="0" xr:uid="{00000000-0006-0000-0300-0000B91B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4" authorId="0" shapeId="0" xr:uid="{00000000-0006-0000-0300-0000BA1B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4" authorId="0" shapeId="0" xr:uid="{00000000-0006-0000-0300-0000BB1B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4" authorId="0" shapeId="0" xr:uid="{00000000-0006-0000-0300-0000BC1B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4" authorId="0" shapeId="0" xr:uid="{00000000-0006-0000-0300-0000BD1B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4" authorId="0" shapeId="0" xr:uid="{00000000-0006-0000-0300-0000BE1B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4" authorId="0" shapeId="0" xr:uid="{00000000-0006-0000-0300-0000BF1B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4" authorId="0" shapeId="0" xr:uid="{00000000-0006-0000-0300-0000C0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4" authorId="0" shapeId="0" xr:uid="{00000000-0006-0000-0300-0000C11B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4" authorId="0" shapeId="0" xr:uid="{00000000-0006-0000-0300-0000C21B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4" authorId="0" shapeId="0" xr:uid="{00000000-0006-0000-0300-0000C31B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4" authorId="0" shapeId="0" xr:uid="{00000000-0006-0000-0300-0000C4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4" authorId="0" shapeId="0" xr:uid="{00000000-0006-0000-0300-0000C5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4" authorId="0" shapeId="0" xr:uid="{00000000-0006-0000-0300-0000C61B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4" authorId="0" shapeId="0" xr:uid="{00000000-0006-0000-0300-0000C71B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4" authorId="0" shapeId="0" xr:uid="{00000000-0006-0000-0300-0000C81B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4" authorId="0" shapeId="0" xr:uid="{00000000-0006-0000-0300-0000C9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4" authorId="0" shapeId="0" xr:uid="{00000000-0006-0000-0300-0000CA1B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4" authorId="0" shapeId="0" xr:uid="{00000000-0006-0000-0300-0000CB1B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4" authorId="0" shapeId="0" xr:uid="{00000000-0006-0000-0300-0000CC1B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4" authorId="0" shapeId="0" xr:uid="{00000000-0006-0000-0300-0000CD1B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4" authorId="0" shapeId="0" xr:uid="{00000000-0006-0000-0300-0000CE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4" authorId="0" shapeId="0" xr:uid="{00000000-0006-0000-0300-0000CF1B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4" authorId="0" shapeId="0" xr:uid="{00000000-0006-0000-0300-0000D01B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4" authorId="0" shapeId="0" xr:uid="{00000000-0006-0000-0300-0000D11B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4" authorId="0" shapeId="0" xr:uid="{00000000-0006-0000-0300-0000D21B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4" authorId="0" shapeId="0" xr:uid="{00000000-0006-0000-0300-0000D31B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4" authorId="0" shapeId="0" xr:uid="{00000000-0006-0000-0300-0000D4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4" authorId="0" shapeId="0" xr:uid="{00000000-0006-0000-0300-0000D5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4" authorId="0" shapeId="0" xr:uid="{00000000-0006-0000-0300-0000D6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4" authorId="0" shapeId="0" xr:uid="{00000000-0006-0000-0300-0000D7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4" authorId="0" shapeId="0" xr:uid="{00000000-0006-0000-0300-0000D8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4" authorId="0" shapeId="0" xr:uid="{00000000-0006-0000-0300-0000D9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4" authorId="0" shapeId="0" xr:uid="{00000000-0006-0000-0300-0000DA1B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4" authorId="0" shapeId="0" xr:uid="{00000000-0006-0000-0300-0000DB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4" authorId="0" shapeId="0" xr:uid="{00000000-0006-0000-0300-0000DC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4" authorId="0" shapeId="0" xr:uid="{00000000-0006-0000-0300-0000DD1B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4" authorId="0" shapeId="0" xr:uid="{00000000-0006-0000-0300-0000DE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4" authorId="0" shapeId="0" xr:uid="{00000000-0006-0000-0300-0000DF1B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4" authorId="0" shapeId="0" xr:uid="{00000000-0006-0000-0300-0000E01B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4" authorId="0" shapeId="0" xr:uid="{00000000-0006-0000-0300-0000E1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4" authorId="0" shapeId="0" xr:uid="{00000000-0006-0000-0300-0000E21B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4" authorId="0" shapeId="0" xr:uid="{00000000-0006-0000-0300-0000E31B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4" authorId="0" shapeId="0" xr:uid="{00000000-0006-0000-0300-0000E41B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4" authorId="0" shapeId="0" xr:uid="{00000000-0006-0000-0300-0000E5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4" authorId="0" shapeId="0" xr:uid="{00000000-0006-0000-0300-0000E61B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4" authorId="0" shapeId="0" xr:uid="{00000000-0006-0000-0300-0000E71B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4" authorId="0" shapeId="0" xr:uid="{00000000-0006-0000-0300-0000E81B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4" authorId="0" shapeId="0" xr:uid="{00000000-0006-0000-0300-0000E91B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4" authorId="0" shapeId="0" xr:uid="{00000000-0006-0000-0300-0000EA1B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4" authorId="0" shapeId="0" xr:uid="{00000000-0006-0000-0300-0000EB1B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4" authorId="0" shapeId="0" xr:uid="{00000000-0006-0000-0300-0000EC1B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4" authorId="0" shapeId="0" xr:uid="{00000000-0006-0000-0300-0000ED1B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4" authorId="0" shapeId="0" xr:uid="{00000000-0006-0000-0300-0000EE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4" authorId="0" shapeId="0" xr:uid="{00000000-0006-0000-0300-0000EF1B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4" authorId="0" shapeId="0" xr:uid="{00000000-0006-0000-0300-0000F01B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4" authorId="0" shapeId="0" xr:uid="{00000000-0006-0000-0300-0000F11B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4" authorId="0" shapeId="0" xr:uid="{00000000-0006-0000-0300-0000F21B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4" authorId="0" shapeId="0" xr:uid="{00000000-0006-0000-0300-0000F31B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4" authorId="0" shapeId="0" xr:uid="{00000000-0006-0000-0300-0000F41B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4" authorId="0" shapeId="0" xr:uid="{00000000-0006-0000-0300-0000F51B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4" authorId="0" shapeId="0" xr:uid="{00000000-0006-0000-0300-0000F61B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5" authorId="0" shapeId="0" xr:uid="{00000000-0006-0000-0300-0000F71B0000}">
      <text>
        <r>
          <rPr>
            <sz val="9"/>
            <color indexed="81"/>
            <rFont val="Tahoma"/>
            <charset val="1"/>
          </rPr>
          <t>Date macro run: 5/14/2018 10:50:38 PM</t>
        </r>
      </text>
    </comment>
    <comment ref="B125" authorId="0" shapeId="0" xr:uid="{00000000-0006-0000-0300-0000F81B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5" authorId="0" shapeId="0" xr:uid="{00000000-0006-0000-0300-0000F91B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5" authorId="0" shapeId="0" xr:uid="{00000000-0006-0000-0300-0000FA1B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5" authorId="0" shapeId="0" xr:uid="{00000000-0006-0000-0300-0000FB1B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5" authorId="0" shapeId="0" xr:uid="{00000000-0006-0000-0300-0000FC1B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5" authorId="0" shapeId="0" xr:uid="{00000000-0006-0000-0300-0000FD1B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5" authorId="0" shapeId="0" xr:uid="{00000000-0006-0000-0300-0000FE1B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5" authorId="0" shapeId="0" xr:uid="{00000000-0006-0000-0300-0000FF1B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5" authorId="0" shapeId="0" xr:uid="{00000000-0006-0000-0300-0000001C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5" authorId="0" shapeId="0" xr:uid="{00000000-0006-0000-0300-0000011C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5" authorId="0" shapeId="0" xr:uid="{00000000-0006-0000-0300-0000021C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5" authorId="0" shapeId="0" xr:uid="{00000000-0006-0000-0300-0000031C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5" authorId="0" shapeId="0" xr:uid="{00000000-0006-0000-0300-0000041C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5" authorId="0" shapeId="0" xr:uid="{00000000-0006-0000-0300-0000051C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5" authorId="0" shapeId="0" xr:uid="{00000000-0006-0000-0300-0000061C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5" authorId="0" shapeId="0" xr:uid="{00000000-0006-0000-0300-000007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5" authorId="0" shapeId="0" xr:uid="{00000000-0006-0000-0300-0000081C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5" authorId="0" shapeId="0" xr:uid="{00000000-0006-0000-0300-0000091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5" authorId="0" shapeId="0" xr:uid="{00000000-0006-0000-0300-00000A1C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5" authorId="0" shapeId="0" xr:uid="{00000000-0006-0000-0300-00000B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5" authorId="0" shapeId="0" xr:uid="{00000000-0006-0000-0300-00000C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5" authorId="0" shapeId="0" xr:uid="{00000000-0006-0000-0300-00000D1C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5" authorId="0" shapeId="0" xr:uid="{00000000-0006-0000-0300-00000E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5" authorId="0" shapeId="0" xr:uid="{00000000-0006-0000-0300-00000F1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5" authorId="0" shapeId="0" xr:uid="{00000000-0006-0000-0300-000010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5" authorId="0" shapeId="0" xr:uid="{00000000-0006-0000-0300-0000111C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5" authorId="0" shapeId="0" xr:uid="{00000000-0006-0000-0300-0000121C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5" authorId="0" shapeId="0" xr:uid="{00000000-0006-0000-0300-0000131C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5" authorId="0" shapeId="0" xr:uid="{00000000-0006-0000-0300-000014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5" authorId="0" shapeId="0" xr:uid="{00000000-0006-0000-0300-000015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5" authorId="0" shapeId="0" xr:uid="{00000000-0006-0000-0300-0000161C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5" authorId="0" shapeId="0" xr:uid="{00000000-0006-0000-0300-0000171C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5" authorId="0" shapeId="0" xr:uid="{00000000-0006-0000-0300-0000181C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5" authorId="0" shapeId="0" xr:uid="{00000000-0006-0000-0300-0000191C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5" authorId="0" shapeId="0" xr:uid="{00000000-0006-0000-0300-00001A1C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5" authorId="0" shapeId="0" xr:uid="{00000000-0006-0000-0300-00001B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5" authorId="0" shapeId="0" xr:uid="{00000000-0006-0000-0300-00001C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5" authorId="0" shapeId="0" xr:uid="{00000000-0006-0000-0300-00001D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5" authorId="0" shapeId="0" xr:uid="{00000000-0006-0000-0300-00001E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5" authorId="0" shapeId="0" xr:uid="{00000000-0006-0000-0300-00001F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5" authorId="0" shapeId="0" xr:uid="{00000000-0006-0000-0300-000020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5" authorId="0" shapeId="0" xr:uid="{00000000-0006-0000-0300-0000211C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5" authorId="0" shapeId="0" xr:uid="{00000000-0006-0000-0300-000022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5" authorId="0" shapeId="0" xr:uid="{00000000-0006-0000-0300-000023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5" authorId="0" shapeId="0" xr:uid="{00000000-0006-0000-0300-000024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5" authorId="0" shapeId="0" xr:uid="{00000000-0006-0000-0300-000025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5" authorId="0" shapeId="0" xr:uid="{00000000-0006-0000-0300-000026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5" authorId="0" shapeId="0" xr:uid="{00000000-0006-0000-0300-0000271C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5" authorId="0" shapeId="0" xr:uid="{00000000-0006-0000-0300-000028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5" authorId="0" shapeId="0" xr:uid="{00000000-0006-0000-0300-0000291C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5" authorId="0" shapeId="0" xr:uid="{00000000-0006-0000-0300-00002A1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5" authorId="0" shapeId="0" xr:uid="{00000000-0006-0000-0300-00002B1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5" authorId="0" shapeId="0" xr:uid="{00000000-0006-0000-0300-00002C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5" authorId="0" shapeId="0" xr:uid="{00000000-0006-0000-0300-00002D1C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5" authorId="0" shapeId="0" xr:uid="{00000000-0006-0000-0300-00002E1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5" authorId="0" shapeId="0" xr:uid="{00000000-0006-0000-0300-00002F1C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5" authorId="0" shapeId="0" xr:uid="{00000000-0006-0000-0300-0000301C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5" authorId="0" shapeId="0" xr:uid="{00000000-0006-0000-0300-0000311C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5" authorId="0" shapeId="0" xr:uid="{00000000-0006-0000-0300-0000321C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5" authorId="0" shapeId="0" xr:uid="{00000000-0006-0000-0300-0000331C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5" authorId="0" shapeId="0" xr:uid="{00000000-0006-0000-0300-0000341C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5" authorId="0" shapeId="0" xr:uid="{00000000-0006-0000-0300-000035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5" authorId="0" shapeId="0" xr:uid="{00000000-0006-0000-0300-000036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5" authorId="0" shapeId="0" xr:uid="{00000000-0006-0000-0300-0000371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5" authorId="0" shapeId="0" xr:uid="{00000000-0006-0000-0300-0000381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5" authorId="0" shapeId="0" xr:uid="{00000000-0006-0000-0300-0000391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5" authorId="0" shapeId="0" xr:uid="{00000000-0006-0000-0300-00003A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5" authorId="0" shapeId="0" xr:uid="{00000000-0006-0000-0300-00003B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5" authorId="0" shapeId="0" xr:uid="{00000000-0006-0000-0300-00003C1C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5" authorId="0" shapeId="0" xr:uid="{00000000-0006-0000-0300-00003D1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6" authorId="0" shapeId="0" xr:uid="{00000000-0006-0000-0300-00003E1C0000}">
      <text>
        <r>
          <rPr>
            <sz val="9"/>
            <color indexed="81"/>
            <rFont val="Tahoma"/>
            <charset val="1"/>
          </rPr>
          <t>Date macro run: 5/16/2018 9:40:56 PM</t>
        </r>
      </text>
    </comment>
    <comment ref="B126" authorId="0" shapeId="0" xr:uid="{00000000-0006-0000-0300-00003F1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6" authorId="0" shapeId="0" xr:uid="{00000000-0006-0000-0300-0000401C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6" authorId="0" shapeId="0" xr:uid="{00000000-0006-0000-0300-0000411C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6" authorId="0" shapeId="0" xr:uid="{00000000-0006-0000-0300-0000421C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6" authorId="0" shapeId="0" xr:uid="{00000000-0006-0000-0300-0000431C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6" authorId="0" shapeId="0" xr:uid="{00000000-0006-0000-0300-0000441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6" authorId="0" shapeId="0" xr:uid="{00000000-0006-0000-0300-0000451C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6" authorId="0" shapeId="0" xr:uid="{00000000-0006-0000-0300-0000461C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6" authorId="0" shapeId="0" xr:uid="{00000000-0006-0000-0300-0000471C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6" authorId="0" shapeId="0" xr:uid="{00000000-0006-0000-0300-0000481C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6" authorId="0" shapeId="0" xr:uid="{00000000-0006-0000-0300-0000491C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6" authorId="0" shapeId="0" xr:uid="{00000000-0006-0000-0300-00004A1C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6" authorId="0" shapeId="0" xr:uid="{00000000-0006-0000-0300-00004B1C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6" authorId="0" shapeId="0" xr:uid="{00000000-0006-0000-0300-00004C1C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6" authorId="0" shapeId="0" xr:uid="{00000000-0006-0000-0300-00004D1C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6" authorId="0" shapeId="0" xr:uid="{00000000-0006-0000-0300-00004E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6" authorId="0" shapeId="0" xr:uid="{00000000-0006-0000-0300-00004F1C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6" authorId="0" shapeId="0" xr:uid="{00000000-0006-0000-0300-0000501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6" authorId="0" shapeId="0" xr:uid="{00000000-0006-0000-0300-0000511C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6" authorId="0" shapeId="0" xr:uid="{00000000-0006-0000-0300-000052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6" authorId="0" shapeId="0" xr:uid="{00000000-0006-0000-0300-000053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6" authorId="0" shapeId="0" xr:uid="{00000000-0006-0000-0300-0000541C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6" authorId="0" shapeId="0" xr:uid="{00000000-0006-0000-0300-000055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6" authorId="0" shapeId="0" xr:uid="{00000000-0006-0000-0300-0000561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6" authorId="0" shapeId="0" xr:uid="{00000000-0006-0000-0300-000057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6" authorId="0" shapeId="0" xr:uid="{00000000-0006-0000-0300-0000581C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6" authorId="0" shapeId="0" xr:uid="{00000000-0006-0000-0300-0000591C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6" authorId="0" shapeId="0" xr:uid="{00000000-0006-0000-0300-00005A1C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6" authorId="0" shapeId="0" xr:uid="{00000000-0006-0000-0300-00005B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6" authorId="0" shapeId="0" xr:uid="{00000000-0006-0000-0300-00005C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6" authorId="0" shapeId="0" xr:uid="{00000000-0006-0000-0300-00005D1C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6" authorId="0" shapeId="0" xr:uid="{00000000-0006-0000-0300-00005E1C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6" authorId="0" shapeId="0" xr:uid="{00000000-0006-0000-0300-00005F1C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6" authorId="0" shapeId="0" xr:uid="{00000000-0006-0000-0300-0000601C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6" authorId="0" shapeId="0" xr:uid="{00000000-0006-0000-0300-0000611C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6" authorId="0" shapeId="0" xr:uid="{00000000-0006-0000-0300-000062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6" authorId="0" shapeId="0" xr:uid="{00000000-0006-0000-0300-000063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6" authorId="0" shapeId="0" xr:uid="{00000000-0006-0000-0300-000064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6" authorId="0" shapeId="0" xr:uid="{00000000-0006-0000-0300-000065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6" authorId="0" shapeId="0" xr:uid="{00000000-0006-0000-0300-000066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6" authorId="0" shapeId="0" xr:uid="{00000000-0006-0000-0300-000067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6" authorId="0" shapeId="0" xr:uid="{00000000-0006-0000-0300-0000681C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6" authorId="0" shapeId="0" xr:uid="{00000000-0006-0000-0300-000069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6" authorId="0" shapeId="0" xr:uid="{00000000-0006-0000-0300-00006A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6" authorId="0" shapeId="0" xr:uid="{00000000-0006-0000-0300-00006B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6" authorId="0" shapeId="0" xr:uid="{00000000-0006-0000-0300-00006C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6" authorId="0" shapeId="0" xr:uid="{00000000-0006-0000-0300-00006D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6" authorId="0" shapeId="0" xr:uid="{00000000-0006-0000-0300-00006E1C0000}">
      <text>
        <r>
          <rPr>
            <sz val="9"/>
            <color indexed="81"/>
            <rFont val="Tahoma"/>
            <charset val="1"/>
          </rPr>
          <t>Stability=,Expiration=5/15/2018</t>
        </r>
      </text>
    </comment>
    <comment ref="AZ126" authorId="0" shapeId="0" xr:uid="{00000000-0006-0000-0300-00006F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6" authorId="0" shapeId="0" xr:uid="{00000000-0006-0000-0300-0000701C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6" authorId="0" shapeId="0" xr:uid="{00000000-0006-0000-0300-0000711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6" authorId="0" shapeId="0" xr:uid="{00000000-0006-0000-0300-0000721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6" authorId="0" shapeId="0" xr:uid="{00000000-0006-0000-0300-000073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6" authorId="0" shapeId="0" xr:uid="{00000000-0006-0000-0300-0000741C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6" authorId="0" shapeId="0" xr:uid="{00000000-0006-0000-0300-0000751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6" authorId="0" shapeId="0" xr:uid="{00000000-0006-0000-0300-0000761C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6" authorId="0" shapeId="0" xr:uid="{00000000-0006-0000-0300-0000771C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6" authorId="0" shapeId="0" xr:uid="{00000000-0006-0000-0300-0000781C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6" authorId="0" shapeId="0" xr:uid="{00000000-0006-0000-0300-0000791C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6" authorId="0" shapeId="0" xr:uid="{00000000-0006-0000-0300-00007A1C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6" authorId="0" shapeId="0" xr:uid="{00000000-0006-0000-0300-00007B1C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6" authorId="0" shapeId="0" xr:uid="{00000000-0006-0000-0300-00007C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6" authorId="0" shapeId="0" xr:uid="{00000000-0006-0000-0300-00007D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6" authorId="0" shapeId="0" xr:uid="{00000000-0006-0000-0300-00007E1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6" authorId="0" shapeId="0" xr:uid="{00000000-0006-0000-0300-00007F1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6" authorId="0" shapeId="0" xr:uid="{00000000-0006-0000-0300-0000801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6" authorId="0" shapeId="0" xr:uid="{00000000-0006-0000-0300-000081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6" authorId="0" shapeId="0" xr:uid="{00000000-0006-0000-0300-000082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6" authorId="0" shapeId="0" xr:uid="{00000000-0006-0000-0300-0000831C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6" authorId="0" shapeId="0" xr:uid="{00000000-0006-0000-0300-0000841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7" authorId="0" shapeId="0" xr:uid="{00000000-0006-0000-0300-0000851C0000}">
      <text>
        <r>
          <rPr>
            <sz val="9"/>
            <color indexed="81"/>
            <rFont val="Tahoma"/>
            <charset val="1"/>
          </rPr>
          <t>Date macro run: 5/17/2018 10:38:39 PM</t>
        </r>
      </text>
    </comment>
    <comment ref="B127" authorId="0" shapeId="0" xr:uid="{00000000-0006-0000-0300-0000861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7" authorId="0" shapeId="0" xr:uid="{00000000-0006-0000-0300-0000871C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7" authorId="0" shapeId="0" xr:uid="{00000000-0006-0000-0300-0000881C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7" authorId="0" shapeId="0" xr:uid="{00000000-0006-0000-0300-0000891C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7" authorId="0" shapeId="0" xr:uid="{00000000-0006-0000-0300-00008A1C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7" authorId="0" shapeId="0" xr:uid="{00000000-0006-0000-0300-00008B1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7" authorId="0" shapeId="0" xr:uid="{00000000-0006-0000-0300-00008C1C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7" authorId="0" shapeId="0" xr:uid="{00000000-0006-0000-0300-00008D1C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7" authorId="0" shapeId="0" xr:uid="{00000000-0006-0000-0300-00008E1C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7" authorId="0" shapeId="0" xr:uid="{00000000-0006-0000-0300-00008F1C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7" authorId="0" shapeId="0" xr:uid="{00000000-0006-0000-0300-0000901C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7" authorId="0" shapeId="0" xr:uid="{00000000-0006-0000-0300-0000911C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7" authorId="0" shapeId="0" xr:uid="{00000000-0006-0000-0300-0000921C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7" authorId="0" shapeId="0" xr:uid="{00000000-0006-0000-0300-0000931C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7" authorId="0" shapeId="0" xr:uid="{00000000-0006-0000-0300-0000941C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7" authorId="0" shapeId="0" xr:uid="{00000000-0006-0000-0300-000095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7" authorId="0" shapeId="0" xr:uid="{00000000-0006-0000-0300-0000961C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7" authorId="0" shapeId="0" xr:uid="{00000000-0006-0000-0300-0000971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7" authorId="0" shapeId="0" xr:uid="{00000000-0006-0000-0300-0000981C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7" authorId="0" shapeId="0" xr:uid="{00000000-0006-0000-0300-000099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7" authorId="0" shapeId="0" xr:uid="{00000000-0006-0000-0300-00009A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7" authorId="0" shapeId="0" xr:uid="{00000000-0006-0000-0300-00009B1C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7" authorId="0" shapeId="0" xr:uid="{00000000-0006-0000-0300-00009C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7" authorId="0" shapeId="0" xr:uid="{00000000-0006-0000-0300-00009D1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7" authorId="0" shapeId="0" xr:uid="{00000000-0006-0000-0300-00009E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7" authorId="0" shapeId="0" xr:uid="{00000000-0006-0000-0300-00009F1C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7" authorId="0" shapeId="0" xr:uid="{00000000-0006-0000-0300-0000A01C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7" authorId="0" shapeId="0" xr:uid="{00000000-0006-0000-0300-0000A11C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7" authorId="0" shapeId="0" xr:uid="{00000000-0006-0000-0300-0000A2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7" authorId="0" shapeId="0" xr:uid="{00000000-0006-0000-0300-0000A3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7" authorId="0" shapeId="0" xr:uid="{00000000-0006-0000-0300-0000A41C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7" authorId="0" shapeId="0" xr:uid="{00000000-0006-0000-0300-0000A51C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7" authorId="0" shapeId="0" xr:uid="{00000000-0006-0000-0300-0000A61C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7" authorId="0" shapeId="0" xr:uid="{00000000-0006-0000-0300-0000A71C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7" authorId="0" shapeId="0" xr:uid="{00000000-0006-0000-0300-0000A81C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7" authorId="0" shapeId="0" xr:uid="{00000000-0006-0000-0300-0000A9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7" authorId="0" shapeId="0" xr:uid="{00000000-0006-0000-0300-0000AA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7" authorId="0" shapeId="0" xr:uid="{00000000-0006-0000-0300-0000AB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7" authorId="0" shapeId="0" xr:uid="{00000000-0006-0000-0300-0000AC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7" authorId="0" shapeId="0" xr:uid="{00000000-0006-0000-0300-0000AD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7" authorId="0" shapeId="0" xr:uid="{00000000-0006-0000-0300-0000AE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7" authorId="0" shapeId="0" xr:uid="{00000000-0006-0000-0300-0000AF1C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7" authorId="0" shapeId="0" xr:uid="{00000000-0006-0000-0300-0000B0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7" authorId="0" shapeId="0" xr:uid="{00000000-0006-0000-0300-0000B1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7" authorId="0" shapeId="0" xr:uid="{00000000-0006-0000-0300-0000B2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7" authorId="0" shapeId="0" xr:uid="{00000000-0006-0000-0300-0000B3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7" authorId="0" shapeId="0" xr:uid="{00000000-0006-0000-0300-0000B4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7" authorId="0" shapeId="0" xr:uid="{00000000-0006-0000-0300-0000B51C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27" authorId="0" shapeId="0" xr:uid="{00000000-0006-0000-0300-0000B6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7" authorId="0" shapeId="0" xr:uid="{00000000-0006-0000-0300-0000B71C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7" authorId="0" shapeId="0" xr:uid="{00000000-0006-0000-0300-0000B81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7" authorId="0" shapeId="0" xr:uid="{00000000-0006-0000-0300-0000B91C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7" authorId="0" shapeId="0" xr:uid="{00000000-0006-0000-0300-0000BA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7" authorId="0" shapeId="0" xr:uid="{00000000-0006-0000-0300-0000BB1C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7" authorId="0" shapeId="0" xr:uid="{00000000-0006-0000-0300-0000BC1C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7" authorId="0" shapeId="0" xr:uid="{00000000-0006-0000-0300-0000BD1C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7" authorId="0" shapeId="0" xr:uid="{00000000-0006-0000-0300-0000BE1C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7" authorId="0" shapeId="0" xr:uid="{00000000-0006-0000-0300-0000BF1C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7" authorId="0" shapeId="0" xr:uid="{00000000-0006-0000-0300-0000C01C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7" authorId="0" shapeId="0" xr:uid="{00000000-0006-0000-0300-0000C11C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7" authorId="0" shapeId="0" xr:uid="{00000000-0006-0000-0300-0000C21C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7" authorId="0" shapeId="0" xr:uid="{00000000-0006-0000-0300-0000C3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7" authorId="0" shapeId="0" xr:uid="{00000000-0006-0000-0300-0000C4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7" authorId="0" shapeId="0" xr:uid="{00000000-0006-0000-0300-0000C51C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7" authorId="0" shapeId="0" xr:uid="{00000000-0006-0000-0300-0000C61C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7" authorId="0" shapeId="0" xr:uid="{00000000-0006-0000-0300-0000C71C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7" authorId="0" shapeId="0" xr:uid="{00000000-0006-0000-0300-0000C8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7" authorId="0" shapeId="0" xr:uid="{00000000-0006-0000-0300-0000C9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7" authorId="0" shapeId="0" xr:uid="{00000000-0006-0000-0300-0000CA1C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7" authorId="0" shapeId="0" xr:uid="{00000000-0006-0000-0300-0000CB1C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8" authorId="0" shapeId="0" xr:uid="{00000000-0006-0000-0300-0000CC1C0000}">
      <text>
        <r>
          <rPr>
            <sz val="9"/>
            <color indexed="81"/>
            <rFont val="Tahoma"/>
            <charset val="1"/>
          </rPr>
          <t>Date macro run: 5/21/2018 10:42:46 PM</t>
        </r>
      </text>
    </comment>
    <comment ref="B128" authorId="0" shapeId="0" xr:uid="{00000000-0006-0000-0300-0000CD1C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8" authorId="0" shapeId="0" xr:uid="{00000000-0006-0000-0300-0000CE1C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8" authorId="0" shapeId="0" xr:uid="{00000000-0006-0000-0300-0000CF1C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8" authorId="0" shapeId="0" xr:uid="{00000000-0006-0000-0300-0000D01C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8" authorId="0" shapeId="0" xr:uid="{00000000-0006-0000-0300-0000D11C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8" authorId="0" shapeId="0" xr:uid="{00000000-0006-0000-0300-0000D21C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8" authorId="0" shapeId="0" xr:uid="{00000000-0006-0000-0300-0000D31C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8" authorId="0" shapeId="0" xr:uid="{00000000-0006-0000-0300-0000D41C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8" authorId="0" shapeId="0" xr:uid="{00000000-0006-0000-0300-0000D51C0000}">
      <text>
        <r>
          <rPr>
            <sz val="9"/>
            <color indexed="81"/>
            <rFont val="Tahoma"/>
            <charset val="1"/>
          </rPr>
          <t>Stability=,Expiration=5/18/2019</t>
        </r>
      </text>
    </comment>
    <comment ref="K128" authorId="0" shapeId="0" xr:uid="{00000000-0006-0000-0300-0000D61C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L128" authorId="0" shapeId="0" xr:uid="{00000000-0006-0000-0300-0000D71C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8" authorId="0" shapeId="0" xr:uid="{00000000-0006-0000-0300-0000D81C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8" authorId="0" shapeId="0" xr:uid="{00000000-0006-0000-0300-0000D91C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8" authorId="0" shapeId="0" xr:uid="{00000000-0006-0000-0300-0000DA1C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8" authorId="0" shapeId="0" xr:uid="{00000000-0006-0000-0300-0000DB1C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8" authorId="0" shapeId="0" xr:uid="{00000000-0006-0000-0300-0000DC1C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8" authorId="0" shapeId="0" xr:uid="{00000000-0006-0000-0300-0000DD1C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8" authorId="0" shapeId="0" xr:uid="{00000000-0006-0000-0300-0000DE1C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8" authorId="0" shapeId="0" xr:uid="{00000000-0006-0000-0300-0000DF1C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8" authorId="0" shapeId="0" xr:uid="{00000000-0006-0000-0300-0000E0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8" authorId="0" shapeId="0" xr:uid="{00000000-0006-0000-0300-0000E1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8" authorId="0" shapeId="0" xr:uid="{00000000-0006-0000-0300-0000E21C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8" authorId="0" shapeId="0" xr:uid="{00000000-0006-0000-0300-0000E31C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8" authorId="0" shapeId="0" xr:uid="{00000000-0006-0000-0300-0000E41C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8" authorId="0" shapeId="0" xr:uid="{00000000-0006-0000-0300-0000E5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8" authorId="0" shapeId="0" xr:uid="{00000000-0006-0000-0300-0000E61C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8" authorId="0" shapeId="0" xr:uid="{00000000-0006-0000-0300-0000E71C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8" authorId="0" shapeId="0" xr:uid="{00000000-0006-0000-0300-0000E81C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8" authorId="0" shapeId="0" xr:uid="{00000000-0006-0000-0300-0000E91C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8" authorId="0" shapeId="0" xr:uid="{00000000-0006-0000-0300-0000EA1C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8" authorId="0" shapeId="0" xr:uid="{00000000-0006-0000-0300-0000EB1C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8" authorId="0" shapeId="0" xr:uid="{00000000-0006-0000-0300-0000EC1C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8" authorId="0" shapeId="0" xr:uid="{00000000-0006-0000-0300-0000ED1C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8" authorId="0" shapeId="0" xr:uid="{00000000-0006-0000-0300-0000EE1C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8" authorId="0" shapeId="0" xr:uid="{00000000-0006-0000-0300-0000EF1C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8" authorId="0" shapeId="0" xr:uid="{00000000-0006-0000-0300-0000F0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8" authorId="0" shapeId="0" xr:uid="{00000000-0006-0000-0300-0000F1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8" authorId="0" shapeId="0" xr:uid="{00000000-0006-0000-0300-0000F2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8" authorId="0" shapeId="0" xr:uid="{00000000-0006-0000-0300-0000F3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8" authorId="0" shapeId="0" xr:uid="{00000000-0006-0000-0300-0000F4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8" authorId="0" shapeId="0" xr:uid="{00000000-0006-0000-0300-0000F5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8" authorId="0" shapeId="0" xr:uid="{00000000-0006-0000-0300-0000F61C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8" authorId="0" shapeId="0" xr:uid="{00000000-0006-0000-0300-0000F7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8" authorId="0" shapeId="0" xr:uid="{00000000-0006-0000-0300-0000F8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8" authorId="0" shapeId="0" xr:uid="{00000000-0006-0000-0300-0000F91C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8" authorId="0" shapeId="0" xr:uid="{00000000-0006-0000-0300-0000FA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8" authorId="0" shapeId="0" xr:uid="{00000000-0006-0000-0300-0000FB1C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8" authorId="0" shapeId="0" xr:uid="{00000000-0006-0000-0300-0000FC1C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28" authorId="0" shapeId="0" xr:uid="{00000000-0006-0000-0300-0000FD1C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8" authorId="0" shapeId="0" xr:uid="{00000000-0006-0000-0300-0000FE1C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8" authorId="0" shapeId="0" xr:uid="{00000000-0006-0000-0300-0000FF1C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8" authorId="0" shapeId="0" xr:uid="{00000000-0006-0000-0300-0000001D0000}">
      <text>
        <r>
          <rPr>
            <sz val="9"/>
            <color indexed="81"/>
            <rFont val="Tahoma"/>
            <charset val="1"/>
          </rPr>
          <t>Stability=,Expiration=7/24/2018</t>
        </r>
      </text>
    </comment>
    <comment ref="BD128" authorId="0" shapeId="0" xr:uid="{00000000-0006-0000-0300-000001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8" authorId="0" shapeId="0" xr:uid="{00000000-0006-0000-0300-0000021D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8" authorId="0" shapeId="0" xr:uid="{00000000-0006-0000-0300-0000031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8" authorId="0" shapeId="0" xr:uid="{00000000-0006-0000-0300-0000041D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8" authorId="0" shapeId="0" xr:uid="{00000000-0006-0000-0300-0000051D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8" authorId="0" shapeId="0" xr:uid="{00000000-0006-0000-0300-0000061D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8" authorId="0" shapeId="0" xr:uid="{00000000-0006-0000-0300-0000071D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8" authorId="0" shapeId="0" xr:uid="{00000000-0006-0000-0300-0000081D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8" authorId="0" shapeId="0" xr:uid="{00000000-0006-0000-0300-0000091D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8" authorId="0" shapeId="0" xr:uid="{00000000-0006-0000-0300-00000A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8" authorId="0" shapeId="0" xr:uid="{00000000-0006-0000-0300-00000B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8" authorId="0" shapeId="0" xr:uid="{00000000-0006-0000-0300-00000C1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8" authorId="0" shapeId="0" xr:uid="{00000000-0006-0000-0300-00000D1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8" authorId="0" shapeId="0" xr:uid="{00000000-0006-0000-0300-00000E1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8" authorId="0" shapeId="0" xr:uid="{00000000-0006-0000-0300-00000F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8" authorId="0" shapeId="0" xr:uid="{00000000-0006-0000-0300-000010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8" authorId="0" shapeId="0" xr:uid="{00000000-0006-0000-0300-0000111D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8" authorId="0" shapeId="0" xr:uid="{00000000-0006-0000-0300-0000121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29" authorId="0" shapeId="0" xr:uid="{00000000-0006-0000-0300-0000131D0000}">
      <text>
        <r>
          <rPr>
            <sz val="9"/>
            <color indexed="81"/>
            <rFont val="Tahoma"/>
            <charset val="1"/>
          </rPr>
          <t>Date macro run: 5/23/2018 9:20:06 PM</t>
        </r>
      </text>
    </comment>
    <comment ref="B129" authorId="0" shapeId="0" xr:uid="{00000000-0006-0000-0300-0000141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29" authorId="0" shapeId="0" xr:uid="{00000000-0006-0000-0300-0000151D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29" authorId="0" shapeId="0" xr:uid="{00000000-0006-0000-0300-0000161D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29" authorId="0" shapeId="0" xr:uid="{00000000-0006-0000-0300-0000171D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29" authorId="0" shapeId="0" xr:uid="{00000000-0006-0000-0300-0000181D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29" authorId="0" shapeId="0" xr:uid="{00000000-0006-0000-0300-0000191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29" authorId="0" shapeId="0" xr:uid="{00000000-0006-0000-0300-00001A1D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29" authorId="0" shapeId="0" xr:uid="{00000000-0006-0000-0300-00001B1D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29" authorId="0" shapeId="0" xr:uid="{00000000-0006-0000-0300-00001C1D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29" authorId="0" shapeId="0" xr:uid="{00000000-0006-0000-0300-00001D1D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29" authorId="0" shapeId="0" xr:uid="{00000000-0006-0000-0300-00001E1D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29" authorId="0" shapeId="0" xr:uid="{00000000-0006-0000-0300-00001F1D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29" authorId="0" shapeId="0" xr:uid="{00000000-0006-0000-0300-0000201D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29" authorId="0" shapeId="0" xr:uid="{00000000-0006-0000-0300-0000211D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29" authorId="0" shapeId="0" xr:uid="{00000000-0006-0000-0300-0000221D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29" authorId="0" shapeId="0" xr:uid="{00000000-0006-0000-0300-000023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29" authorId="0" shapeId="0" xr:uid="{00000000-0006-0000-0300-0000241D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29" authorId="0" shapeId="0" xr:uid="{00000000-0006-0000-0300-0000251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29" authorId="0" shapeId="0" xr:uid="{00000000-0006-0000-0300-0000261D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29" authorId="0" shapeId="0" xr:uid="{00000000-0006-0000-0300-000027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29" authorId="0" shapeId="0" xr:uid="{00000000-0006-0000-0300-000028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29" authorId="0" shapeId="0" xr:uid="{00000000-0006-0000-0300-0000291D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29" authorId="0" shapeId="0" xr:uid="{00000000-0006-0000-0300-00002A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29" authorId="0" shapeId="0" xr:uid="{00000000-0006-0000-0300-00002B1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29" authorId="0" shapeId="0" xr:uid="{00000000-0006-0000-0300-00002C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29" authorId="0" shapeId="0" xr:uid="{00000000-0006-0000-0300-00002D1D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29" authorId="0" shapeId="0" xr:uid="{00000000-0006-0000-0300-00002E1D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29" authorId="0" shapeId="0" xr:uid="{00000000-0006-0000-0300-00002F1D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29" authorId="0" shapeId="0" xr:uid="{00000000-0006-0000-0300-000030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29" authorId="0" shapeId="0" xr:uid="{00000000-0006-0000-0300-000031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29" authorId="0" shapeId="0" xr:uid="{00000000-0006-0000-0300-0000321D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29" authorId="0" shapeId="0" xr:uid="{00000000-0006-0000-0300-0000331D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29" authorId="0" shapeId="0" xr:uid="{00000000-0006-0000-0300-0000341D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29" authorId="0" shapeId="0" xr:uid="{00000000-0006-0000-0300-0000351D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29" authorId="0" shapeId="0" xr:uid="{00000000-0006-0000-0300-0000361D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29" authorId="0" shapeId="0" xr:uid="{00000000-0006-0000-0300-000037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29" authorId="0" shapeId="0" xr:uid="{00000000-0006-0000-0300-000038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29" authorId="0" shapeId="0" xr:uid="{00000000-0006-0000-0300-000039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29" authorId="0" shapeId="0" xr:uid="{00000000-0006-0000-0300-00003A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29" authorId="0" shapeId="0" xr:uid="{00000000-0006-0000-0300-00003B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29" authorId="0" shapeId="0" xr:uid="{00000000-0006-0000-0300-00003C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29" authorId="0" shapeId="0" xr:uid="{00000000-0006-0000-0300-00003D1D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29" authorId="0" shapeId="0" xr:uid="{00000000-0006-0000-0300-00003E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29" authorId="0" shapeId="0" xr:uid="{00000000-0006-0000-0300-00003F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29" authorId="0" shapeId="0" xr:uid="{00000000-0006-0000-0300-000040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29" authorId="0" shapeId="0" xr:uid="{00000000-0006-0000-0300-000041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29" authorId="0" shapeId="0" xr:uid="{00000000-0006-0000-0300-000042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29" authorId="0" shapeId="0" xr:uid="{00000000-0006-0000-0300-0000431D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29" authorId="0" shapeId="0" xr:uid="{00000000-0006-0000-0300-000044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29" authorId="0" shapeId="0" xr:uid="{00000000-0006-0000-0300-0000451D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29" authorId="0" shapeId="0" xr:uid="{00000000-0006-0000-0300-0000461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29" authorId="0" shapeId="0" xr:uid="{00000000-0006-0000-0300-0000471D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29" authorId="0" shapeId="0" xr:uid="{00000000-0006-0000-0300-000048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29" authorId="0" shapeId="0" xr:uid="{00000000-0006-0000-0300-0000491D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29" authorId="0" shapeId="0" xr:uid="{00000000-0006-0000-0300-00004A1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29" authorId="0" shapeId="0" xr:uid="{00000000-0006-0000-0300-00004B1D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29" authorId="0" shapeId="0" xr:uid="{00000000-0006-0000-0300-00004C1D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29" authorId="0" shapeId="0" xr:uid="{00000000-0006-0000-0300-00004D1D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29" authorId="0" shapeId="0" xr:uid="{00000000-0006-0000-0300-00004E1D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29" authorId="0" shapeId="0" xr:uid="{00000000-0006-0000-0300-00004F1D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29" authorId="0" shapeId="0" xr:uid="{00000000-0006-0000-0300-0000501D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29" authorId="0" shapeId="0" xr:uid="{00000000-0006-0000-0300-000051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29" authorId="0" shapeId="0" xr:uid="{00000000-0006-0000-0300-000052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29" authorId="0" shapeId="0" xr:uid="{00000000-0006-0000-0300-0000531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29" authorId="0" shapeId="0" xr:uid="{00000000-0006-0000-0300-0000541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29" authorId="0" shapeId="0" xr:uid="{00000000-0006-0000-0300-0000551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29" authorId="0" shapeId="0" xr:uid="{00000000-0006-0000-0300-000056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29" authorId="0" shapeId="0" xr:uid="{00000000-0006-0000-0300-000057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29" authorId="0" shapeId="0" xr:uid="{00000000-0006-0000-0300-0000581D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29" authorId="0" shapeId="0" xr:uid="{00000000-0006-0000-0300-0000591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0" authorId="0" shapeId="0" xr:uid="{00000000-0006-0000-0300-00005A1D0000}">
      <text>
        <r>
          <rPr>
            <sz val="9"/>
            <color indexed="81"/>
            <rFont val="Tahoma"/>
            <charset val="1"/>
          </rPr>
          <t>Date macro run: 5/25/2018 6:51:56 PM</t>
        </r>
      </text>
    </comment>
    <comment ref="B130" authorId="0" shapeId="0" xr:uid="{00000000-0006-0000-0300-00005B1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0" authorId="0" shapeId="0" xr:uid="{00000000-0006-0000-0300-00005C1D0000}">
      <text>
        <r>
          <rPr>
            <sz val="9"/>
            <color indexed="81"/>
            <rFont val="Tahoma"/>
            <charset val="1"/>
          </rPr>
          <t xml:space="preserve">Stability=,Expiration=5/13/2019,was 10 but had to deduct down due to loan to hsw due to they missed order day somehow
</t>
        </r>
      </text>
    </comment>
    <comment ref="D130" authorId="0" shapeId="0" xr:uid="{00000000-0006-0000-0300-00005D1D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0" authorId="0" shapeId="0" xr:uid="{00000000-0006-0000-0300-00005E1D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0" authorId="0" shapeId="0" xr:uid="{00000000-0006-0000-0300-00005F1D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0" authorId="0" shapeId="0" xr:uid="{00000000-0006-0000-0300-0000601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0" authorId="0" shapeId="0" xr:uid="{00000000-0006-0000-0300-0000611D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0" authorId="0" shapeId="0" xr:uid="{00000000-0006-0000-0300-0000621D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0" authorId="0" shapeId="0" xr:uid="{00000000-0006-0000-0300-0000631D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0" authorId="0" shapeId="0" xr:uid="{00000000-0006-0000-0300-0000641D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0" authorId="0" shapeId="0" xr:uid="{00000000-0006-0000-0300-0000651D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0" authorId="0" shapeId="0" xr:uid="{00000000-0006-0000-0300-0000661D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0" authorId="0" shapeId="0" xr:uid="{00000000-0006-0000-0300-0000671D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0" authorId="0" shapeId="0" xr:uid="{00000000-0006-0000-0300-0000681D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0" authorId="0" shapeId="0" xr:uid="{00000000-0006-0000-0300-0000691D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0" authorId="0" shapeId="0" xr:uid="{00000000-0006-0000-0300-00006A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0" authorId="0" shapeId="0" xr:uid="{00000000-0006-0000-0300-00006B1D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0" authorId="0" shapeId="0" xr:uid="{00000000-0006-0000-0300-00006C1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0" authorId="0" shapeId="0" xr:uid="{00000000-0006-0000-0300-00006D1D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0" authorId="0" shapeId="0" xr:uid="{00000000-0006-0000-0300-00006E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0" authorId="0" shapeId="0" xr:uid="{00000000-0006-0000-0300-00006F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0" authorId="0" shapeId="0" xr:uid="{00000000-0006-0000-0300-0000701D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0" authorId="0" shapeId="0" xr:uid="{00000000-0006-0000-0300-000071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0" authorId="0" shapeId="0" xr:uid="{00000000-0006-0000-0300-0000721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0" authorId="0" shapeId="0" xr:uid="{00000000-0006-0000-0300-000073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0" authorId="0" shapeId="0" xr:uid="{00000000-0006-0000-0300-0000741D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0" authorId="0" shapeId="0" xr:uid="{00000000-0006-0000-0300-0000751D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0" authorId="0" shapeId="0" xr:uid="{00000000-0006-0000-0300-0000761D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0" authorId="0" shapeId="0" xr:uid="{00000000-0006-0000-0300-000077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0" authorId="0" shapeId="0" xr:uid="{00000000-0006-0000-0300-000078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0" authorId="0" shapeId="0" xr:uid="{00000000-0006-0000-0300-0000791D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0" authorId="0" shapeId="0" xr:uid="{00000000-0006-0000-0300-00007A1D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0" authorId="0" shapeId="0" xr:uid="{00000000-0006-0000-0300-00007B1D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0" authorId="0" shapeId="0" xr:uid="{00000000-0006-0000-0300-00007C1D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0" authorId="0" shapeId="0" xr:uid="{00000000-0006-0000-0300-00007D1D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0" authorId="0" shapeId="0" xr:uid="{00000000-0006-0000-0300-00007E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0" authorId="0" shapeId="0" xr:uid="{00000000-0006-0000-0300-00007F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0" authorId="0" shapeId="0" xr:uid="{00000000-0006-0000-0300-000080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0" authorId="0" shapeId="0" xr:uid="{00000000-0006-0000-0300-000081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0" authorId="0" shapeId="0" xr:uid="{00000000-0006-0000-0300-000082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0" authorId="0" shapeId="0" xr:uid="{00000000-0006-0000-0300-000083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0" authorId="0" shapeId="0" xr:uid="{00000000-0006-0000-0300-0000841D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0" authorId="0" shapeId="0" xr:uid="{00000000-0006-0000-0300-000085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0" authorId="0" shapeId="0" xr:uid="{00000000-0006-0000-0300-000086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0" authorId="0" shapeId="0" xr:uid="{00000000-0006-0000-0300-000087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0" authorId="0" shapeId="0" xr:uid="{00000000-0006-0000-0300-000088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0" authorId="0" shapeId="0" xr:uid="{00000000-0006-0000-0300-000089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0" authorId="0" shapeId="0" xr:uid="{00000000-0006-0000-0300-00008A1D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0" authorId="0" shapeId="0" xr:uid="{00000000-0006-0000-0300-00008B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0" authorId="0" shapeId="0" xr:uid="{00000000-0006-0000-0300-00008C1D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0" authorId="0" shapeId="0" xr:uid="{00000000-0006-0000-0300-00008D1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30" authorId="0" shapeId="0" xr:uid="{00000000-0006-0000-0300-00008E1D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0" authorId="0" shapeId="0" xr:uid="{00000000-0006-0000-0300-00008F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0" authorId="0" shapeId="0" xr:uid="{00000000-0006-0000-0300-0000901D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0" authorId="0" shapeId="0" xr:uid="{00000000-0006-0000-0300-0000911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0" authorId="0" shapeId="0" xr:uid="{00000000-0006-0000-0300-0000921D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0" authorId="0" shapeId="0" xr:uid="{00000000-0006-0000-0300-0000931D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0" authorId="0" shapeId="0" xr:uid="{00000000-0006-0000-0300-0000941D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30" authorId="0" shapeId="0" xr:uid="{00000000-0006-0000-0300-0000951D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0" authorId="0" shapeId="0" xr:uid="{00000000-0006-0000-0300-0000961D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0" authorId="0" shapeId="0" xr:uid="{00000000-0006-0000-0300-0000971D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0" authorId="0" shapeId="0" xr:uid="{00000000-0006-0000-0300-000098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0" authorId="0" shapeId="0" xr:uid="{00000000-0006-0000-0300-000099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0" authorId="0" shapeId="0" xr:uid="{00000000-0006-0000-0300-00009A1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0" authorId="0" shapeId="0" xr:uid="{00000000-0006-0000-0300-00009B1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0" authorId="0" shapeId="0" xr:uid="{00000000-0006-0000-0300-00009C1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0" authorId="0" shapeId="0" xr:uid="{00000000-0006-0000-0300-00009D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0" authorId="0" shapeId="0" xr:uid="{00000000-0006-0000-0300-00009E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0" authorId="0" shapeId="0" xr:uid="{00000000-0006-0000-0300-00009F1D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30" authorId="0" shapeId="0" xr:uid="{00000000-0006-0000-0300-0000A01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1" authorId="0" shapeId="0" xr:uid="{00000000-0006-0000-0300-0000A11D0000}">
      <text>
        <r>
          <rPr>
            <sz val="9"/>
            <color indexed="81"/>
            <rFont val="Tahoma"/>
            <charset val="1"/>
          </rPr>
          <t>Date macro run: 5/29/2018 10:42:30 PM</t>
        </r>
      </text>
    </comment>
    <comment ref="B131" authorId="0" shapeId="0" xr:uid="{00000000-0006-0000-0300-0000A21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1" authorId="0" shapeId="0" xr:uid="{00000000-0006-0000-0300-0000A31D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31" authorId="0" shapeId="0" xr:uid="{00000000-0006-0000-0300-0000A41D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1" authorId="0" shapeId="0" xr:uid="{00000000-0006-0000-0300-0000A51D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1" authorId="0" shapeId="0" xr:uid="{00000000-0006-0000-0300-0000A61D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1" authorId="0" shapeId="0" xr:uid="{00000000-0006-0000-0300-0000A71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1" authorId="0" shapeId="0" xr:uid="{00000000-0006-0000-0300-0000A81D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1" authorId="0" shapeId="0" xr:uid="{00000000-0006-0000-0300-0000A91D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1" authorId="0" shapeId="0" xr:uid="{00000000-0006-0000-0300-0000AA1D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1" authorId="0" shapeId="0" xr:uid="{00000000-0006-0000-0300-0000AB1D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1" authorId="0" shapeId="0" xr:uid="{00000000-0006-0000-0300-0000AC1D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1" authorId="0" shapeId="0" xr:uid="{00000000-0006-0000-0300-0000AD1D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1" authorId="0" shapeId="0" xr:uid="{00000000-0006-0000-0300-0000AE1D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1" authorId="0" shapeId="0" xr:uid="{00000000-0006-0000-0300-0000AF1D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1" authorId="0" shapeId="0" xr:uid="{00000000-0006-0000-0300-0000B01D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1" authorId="0" shapeId="0" xr:uid="{00000000-0006-0000-0300-0000B1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1" authorId="0" shapeId="0" xr:uid="{00000000-0006-0000-0300-0000B21D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1" authorId="0" shapeId="0" xr:uid="{00000000-0006-0000-0300-0000B31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1" authorId="0" shapeId="0" xr:uid="{00000000-0006-0000-0300-0000B41D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1" authorId="0" shapeId="0" xr:uid="{00000000-0006-0000-0300-0000B5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1" authorId="0" shapeId="0" xr:uid="{00000000-0006-0000-0300-0000B6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1" authorId="0" shapeId="0" xr:uid="{00000000-0006-0000-0300-0000B71D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1" authorId="0" shapeId="0" xr:uid="{00000000-0006-0000-0300-0000B8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1" authorId="0" shapeId="0" xr:uid="{00000000-0006-0000-0300-0000B91D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1" authorId="0" shapeId="0" xr:uid="{00000000-0006-0000-0300-0000BA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1" authorId="0" shapeId="0" xr:uid="{00000000-0006-0000-0300-0000BB1D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1" authorId="0" shapeId="0" xr:uid="{00000000-0006-0000-0300-0000BC1D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1" authorId="0" shapeId="0" xr:uid="{00000000-0006-0000-0300-0000BD1D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1" authorId="0" shapeId="0" xr:uid="{00000000-0006-0000-0300-0000BE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1" authorId="0" shapeId="0" xr:uid="{00000000-0006-0000-0300-0000BF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1" authorId="0" shapeId="0" xr:uid="{00000000-0006-0000-0300-0000C01D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1" authorId="0" shapeId="0" xr:uid="{00000000-0006-0000-0300-0000C11D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1" authorId="0" shapeId="0" xr:uid="{00000000-0006-0000-0300-0000C21D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1" authorId="0" shapeId="0" xr:uid="{00000000-0006-0000-0300-0000C31D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1" authorId="0" shapeId="0" xr:uid="{00000000-0006-0000-0300-0000C41D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1" authorId="0" shapeId="0" xr:uid="{00000000-0006-0000-0300-0000C5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1" authorId="0" shapeId="0" xr:uid="{00000000-0006-0000-0300-0000C6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1" authorId="0" shapeId="0" xr:uid="{00000000-0006-0000-0300-0000C7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1" authorId="0" shapeId="0" xr:uid="{00000000-0006-0000-0300-0000C8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1" authorId="0" shapeId="0" xr:uid="{00000000-0006-0000-0300-0000C9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1" authorId="0" shapeId="0" xr:uid="{00000000-0006-0000-0300-0000CA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1" authorId="0" shapeId="0" xr:uid="{00000000-0006-0000-0300-0000CB1D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1" authorId="0" shapeId="0" xr:uid="{00000000-0006-0000-0300-0000CC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1" authorId="0" shapeId="0" xr:uid="{00000000-0006-0000-0300-0000CD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1" authorId="0" shapeId="0" xr:uid="{00000000-0006-0000-0300-0000CE1D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1" authorId="0" shapeId="0" xr:uid="{00000000-0006-0000-0300-0000CF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1" authorId="0" shapeId="0" xr:uid="{00000000-0006-0000-0300-0000D01D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1" authorId="0" shapeId="0" xr:uid="{00000000-0006-0000-0300-0000D11D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1" authorId="0" shapeId="0" xr:uid="{00000000-0006-0000-0300-0000D2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1" authorId="0" shapeId="0" xr:uid="{00000000-0006-0000-0300-0000D31D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1" authorId="0" shapeId="0" xr:uid="{00000000-0006-0000-0300-0000D41D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31" authorId="0" shapeId="0" xr:uid="{00000000-0006-0000-0300-0000D51D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1" authorId="0" shapeId="0" xr:uid="{00000000-0006-0000-0300-0000D6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1" authorId="0" shapeId="0" xr:uid="{00000000-0006-0000-0300-0000D71D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1" authorId="0" shapeId="0" xr:uid="{00000000-0006-0000-0300-0000D81D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1" authorId="0" shapeId="0" xr:uid="{00000000-0006-0000-0300-0000D91D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1" authorId="0" shapeId="0" xr:uid="{00000000-0006-0000-0300-0000DA1D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1" authorId="0" shapeId="0" xr:uid="{00000000-0006-0000-0300-0000DB1D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31" authorId="0" shapeId="0" xr:uid="{00000000-0006-0000-0300-0000DC1D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1" authorId="0" shapeId="0" xr:uid="{00000000-0006-0000-0300-0000DD1D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1" authorId="0" shapeId="0" xr:uid="{00000000-0006-0000-0300-0000DE1D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1" authorId="0" shapeId="0" xr:uid="{00000000-0006-0000-0300-0000DF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1" authorId="0" shapeId="0" xr:uid="{00000000-0006-0000-0300-0000E01D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1" authorId="0" shapeId="0" xr:uid="{00000000-0006-0000-0300-0000E11D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1" authorId="0" shapeId="0" xr:uid="{00000000-0006-0000-0300-0000E21D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1" authorId="0" shapeId="0" xr:uid="{00000000-0006-0000-0300-0000E31D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1" authorId="0" shapeId="0" xr:uid="{00000000-0006-0000-0300-0000E4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1" authorId="0" shapeId="0" xr:uid="{00000000-0006-0000-0300-0000E51D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1" authorId="0" shapeId="0" xr:uid="{00000000-0006-0000-0300-0000E61D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31" authorId="0" shapeId="0" xr:uid="{00000000-0006-0000-0300-0000E71D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2" authorId="0" shapeId="0" xr:uid="{00000000-0006-0000-0300-0000E81D0000}">
      <text>
        <r>
          <rPr>
            <sz val="9"/>
            <color indexed="81"/>
            <rFont val="Tahoma"/>
            <charset val="1"/>
          </rPr>
          <t>Date macro run: 5/30/2018 9:48:18 PM</t>
        </r>
      </text>
    </comment>
    <comment ref="B132" authorId="0" shapeId="0" xr:uid="{00000000-0006-0000-0300-0000E91D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2" authorId="0" shapeId="0" xr:uid="{00000000-0006-0000-0300-0000EA1D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32" authorId="0" shapeId="0" xr:uid="{00000000-0006-0000-0300-0000EB1D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2" authorId="0" shapeId="0" xr:uid="{00000000-0006-0000-0300-0000EC1D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2" authorId="0" shapeId="0" xr:uid="{00000000-0006-0000-0300-0000ED1D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2" authorId="0" shapeId="0" xr:uid="{00000000-0006-0000-0300-0000EE1D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2" authorId="0" shapeId="0" xr:uid="{00000000-0006-0000-0300-0000EF1D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2" authorId="0" shapeId="0" xr:uid="{00000000-0006-0000-0300-0000F01D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2" authorId="0" shapeId="0" xr:uid="{00000000-0006-0000-0300-0000F11D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2" authorId="0" shapeId="0" xr:uid="{00000000-0006-0000-0300-0000F21D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2" authorId="0" shapeId="0" xr:uid="{00000000-0006-0000-0300-0000F31D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2" authorId="0" shapeId="0" xr:uid="{00000000-0006-0000-0300-0000F41D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2" authorId="0" shapeId="0" xr:uid="{00000000-0006-0000-0300-0000F51D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2" authorId="0" shapeId="0" xr:uid="{00000000-0006-0000-0300-0000F61D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2" authorId="0" shapeId="0" xr:uid="{00000000-0006-0000-0300-0000F71D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2" authorId="0" shapeId="0" xr:uid="{00000000-0006-0000-0300-0000F81D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2" authorId="0" shapeId="0" xr:uid="{00000000-0006-0000-0300-0000F91D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2" authorId="0" shapeId="0" xr:uid="{00000000-0006-0000-0300-0000FA1D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2" authorId="0" shapeId="0" xr:uid="{00000000-0006-0000-0300-0000FB1D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2" authorId="0" shapeId="0" xr:uid="{00000000-0006-0000-0300-0000FC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2" authorId="0" shapeId="0" xr:uid="{00000000-0006-0000-0300-0000FD1D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2" authorId="0" shapeId="0" xr:uid="{00000000-0006-0000-0300-0000FE1D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2" authorId="0" shapeId="0" xr:uid="{00000000-0006-0000-0300-0000FF1D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2" authorId="0" shapeId="0" xr:uid="{00000000-0006-0000-0300-0000001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2" authorId="0" shapeId="0" xr:uid="{00000000-0006-0000-0300-000001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2" authorId="0" shapeId="0" xr:uid="{00000000-0006-0000-0300-0000021E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2" authorId="0" shapeId="0" xr:uid="{00000000-0006-0000-0300-0000031E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2" authorId="0" shapeId="0" xr:uid="{00000000-0006-0000-0300-0000041E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2" authorId="0" shapeId="0" xr:uid="{00000000-0006-0000-0300-000005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2" authorId="0" shapeId="0" xr:uid="{00000000-0006-0000-0300-000006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2" authorId="0" shapeId="0" xr:uid="{00000000-0006-0000-0300-0000071E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2" authorId="0" shapeId="0" xr:uid="{00000000-0006-0000-0300-0000081E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2" authorId="0" shapeId="0" xr:uid="{00000000-0006-0000-0300-0000091E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2" authorId="0" shapeId="0" xr:uid="{00000000-0006-0000-0300-00000A1E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2" authorId="0" shapeId="0" xr:uid="{00000000-0006-0000-0300-00000B1E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2" authorId="0" shapeId="0" xr:uid="{00000000-0006-0000-0300-00000C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2" authorId="0" shapeId="0" xr:uid="{00000000-0006-0000-0300-00000D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2" authorId="0" shapeId="0" xr:uid="{00000000-0006-0000-0300-00000E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2" authorId="0" shapeId="0" xr:uid="{00000000-0006-0000-0300-00000F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2" authorId="0" shapeId="0" xr:uid="{00000000-0006-0000-0300-000010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2" authorId="0" shapeId="0" xr:uid="{00000000-0006-0000-0300-000011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2" authorId="0" shapeId="0" xr:uid="{00000000-0006-0000-0300-0000121E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2" authorId="0" shapeId="0" xr:uid="{00000000-0006-0000-0300-000013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2" authorId="0" shapeId="0" xr:uid="{00000000-0006-0000-0300-000014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2" authorId="0" shapeId="0" xr:uid="{00000000-0006-0000-0300-000015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2" authorId="0" shapeId="0" xr:uid="{00000000-0006-0000-0300-000016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2" authorId="0" shapeId="0" xr:uid="{00000000-0006-0000-0300-000017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2" authorId="0" shapeId="0" xr:uid="{00000000-0006-0000-0300-0000181E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2" authorId="0" shapeId="0" xr:uid="{00000000-0006-0000-0300-000019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2" authorId="0" shapeId="0" xr:uid="{00000000-0006-0000-0300-00001A1E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2" authorId="0" shapeId="0" xr:uid="{00000000-0006-0000-0300-00001B1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32" authorId="0" shapeId="0" xr:uid="{00000000-0006-0000-0300-00001C1E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2" authorId="0" shapeId="0" xr:uid="{00000000-0006-0000-0300-00001D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2" authorId="0" shapeId="0" xr:uid="{00000000-0006-0000-0300-00001E1E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2" authorId="0" shapeId="0" xr:uid="{00000000-0006-0000-0300-00001F1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2" authorId="0" shapeId="0" xr:uid="{00000000-0006-0000-0300-0000201E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2" authorId="0" shapeId="0" xr:uid="{00000000-0006-0000-0300-0000211E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2" authorId="0" shapeId="0" xr:uid="{00000000-0006-0000-0300-0000221E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32" authorId="0" shapeId="0" xr:uid="{00000000-0006-0000-0300-0000231E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2" authorId="0" shapeId="0" xr:uid="{00000000-0006-0000-0300-0000241E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2" authorId="0" shapeId="0" xr:uid="{00000000-0006-0000-0300-0000251E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2" authorId="0" shapeId="0" xr:uid="{00000000-0006-0000-0300-000026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2" authorId="0" shapeId="0" xr:uid="{00000000-0006-0000-0300-000027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2" authorId="0" shapeId="0" xr:uid="{00000000-0006-0000-0300-0000281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2" authorId="0" shapeId="0" xr:uid="{00000000-0006-0000-0300-0000291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2" authorId="0" shapeId="0" xr:uid="{00000000-0006-0000-0300-00002A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2" authorId="0" shapeId="0" xr:uid="{00000000-0006-0000-0300-00002B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2" authorId="0" shapeId="0" xr:uid="{00000000-0006-0000-0300-00002C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2" authorId="0" shapeId="0" xr:uid="{00000000-0006-0000-0300-00002D1E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32" authorId="0" shapeId="0" xr:uid="{00000000-0006-0000-0300-00002E1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3" authorId="0" shapeId="0" xr:uid="{00000000-0006-0000-0300-00002F1E0000}">
      <text>
        <r>
          <rPr>
            <sz val="9"/>
            <color indexed="81"/>
            <rFont val="Tahoma"/>
            <charset val="1"/>
          </rPr>
          <t>Date macro run: 5/31/2018 9:24:18 PM</t>
        </r>
      </text>
    </comment>
    <comment ref="B133" authorId="0" shapeId="0" xr:uid="{00000000-0006-0000-0300-0000301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3" authorId="0" shapeId="0" xr:uid="{00000000-0006-0000-0300-0000311E0000}">
      <text>
        <r>
          <rPr>
            <sz val="9"/>
            <color indexed="81"/>
            <rFont val="Tahoma"/>
            <charset val="1"/>
          </rPr>
          <t>Stability=,Expiration=5/13/2019</t>
        </r>
      </text>
    </comment>
    <comment ref="D133" authorId="0" shapeId="0" xr:uid="{00000000-0006-0000-0300-0000321E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3" authorId="0" shapeId="0" xr:uid="{00000000-0006-0000-0300-0000331E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3" authorId="0" shapeId="0" xr:uid="{00000000-0006-0000-0300-0000341E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3" authorId="0" shapeId="0" xr:uid="{00000000-0006-0000-0300-0000351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3" authorId="0" shapeId="0" xr:uid="{00000000-0006-0000-0300-0000361E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3" authorId="0" shapeId="0" xr:uid="{00000000-0006-0000-0300-0000371E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3" authorId="0" shapeId="0" xr:uid="{00000000-0006-0000-0300-0000381E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3" authorId="0" shapeId="0" xr:uid="{00000000-0006-0000-0300-0000391E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3" authorId="0" shapeId="0" xr:uid="{00000000-0006-0000-0300-00003A1E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3" authorId="0" shapeId="0" xr:uid="{00000000-0006-0000-0300-00003B1E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3" authorId="0" shapeId="0" xr:uid="{00000000-0006-0000-0300-00003C1E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3" authorId="0" shapeId="0" xr:uid="{00000000-0006-0000-0300-00003D1E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3" authorId="0" shapeId="0" xr:uid="{00000000-0006-0000-0300-00003E1E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3" authorId="0" shapeId="0" xr:uid="{00000000-0006-0000-0300-00003F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3" authorId="0" shapeId="0" xr:uid="{00000000-0006-0000-0300-0000401E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3" authorId="0" shapeId="0" xr:uid="{00000000-0006-0000-0300-0000411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3" authorId="0" shapeId="0" xr:uid="{00000000-0006-0000-0300-0000421E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3" authorId="0" shapeId="0" xr:uid="{00000000-0006-0000-0300-000043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3" authorId="0" shapeId="0" xr:uid="{00000000-0006-0000-0300-000044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3" authorId="0" shapeId="0" xr:uid="{00000000-0006-0000-0300-0000451E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3" authorId="0" shapeId="0" xr:uid="{00000000-0006-0000-0300-000046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3" authorId="0" shapeId="0" xr:uid="{00000000-0006-0000-0300-0000471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3" authorId="0" shapeId="0" xr:uid="{00000000-0006-0000-0300-000048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3" authorId="0" shapeId="0" xr:uid="{00000000-0006-0000-0300-0000491E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3" authorId="0" shapeId="0" xr:uid="{00000000-0006-0000-0300-00004A1E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3" authorId="0" shapeId="0" xr:uid="{00000000-0006-0000-0300-00004B1E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3" authorId="0" shapeId="0" xr:uid="{00000000-0006-0000-0300-00004C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3" authorId="0" shapeId="0" xr:uid="{00000000-0006-0000-0300-00004D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3" authorId="0" shapeId="0" xr:uid="{00000000-0006-0000-0300-00004E1E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3" authorId="0" shapeId="0" xr:uid="{00000000-0006-0000-0300-00004F1E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3" authorId="0" shapeId="0" xr:uid="{00000000-0006-0000-0300-0000501E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3" authorId="0" shapeId="0" xr:uid="{00000000-0006-0000-0300-0000511E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3" authorId="0" shapeId="0" xr:uid="{00000000-0006-0000-0300-0000521E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3" authorId="0" shapeId="0" xr:uid="{00000000-0006-0000-0300-000053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3" authorId="0" shapeId="0" xr:uid="{00000000-0006-0000-0300-000054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3" authorId="0" shapeId="0" xr:uid="{00000000-0006-0000-0300-000055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3" authorId="0" shapeId="0" xr:uid="{00000000-0006-0000-0300-000056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3" authorId="0" shapeId="0" xr:uid="{00000000-0006-0000-0300-000057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3" authorId="0" shapeId="0" xr:uid="{00000000-0006-0000-0300-000058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3" authorId="0" shapeId="0" xr:uid="{00000000-0006-0000-0300-0000591E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3" authorId="0" shapeId="0" xr:uid="{00000000-0006-0000-0300-00005A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3" authorId="0" shapeId="0" xr:uid="{00000000-0006-0000-0300-00005B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3" authorId="0" shapeId="0" xr:uid="{00000000-0006-0000-0300-00005C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3" authorId="0" shapeId="0" xr:uid="{00000000-0006-0000-0300-00005D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3" authorId="0" shapeId="0" xr:uid="{00000000-0006-0000-0300-00005E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3" authorId="0" shapeId="0" xr:uid="{00000000-0006-0000-0300-00005F1E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3" authorId="0" shapeId="0" xr:uid="{00000000-0006-0000-0300-000060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3" authorId="0" shapeId="0" xr:uid="{00000000-0006-0000-0300-0000611E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3" authorId="0" shapeId="0" xr:uid="{00000000-0006-0000-0300-0000621E0000}">
      <text>
        <r>
          <rPr>
            <sz val="9"/>
            <color indexed="81"/>
            <rFont val="Tahoma"/>
            <charset val="1"/>
          </rPr>
          <t>Stability=,Expiration=8/30/2018</t>
        </r>
      </text>
    </comment>
    <comment ref="BC133" authorId="0" shapeId="0" xr:uid="{00000000-0006-0000-0300-0000631E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3" authorId="0" shapeId="0" xr:uid="{00000000-0006-0000-0300-000064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3" authorId="0" shapeId="0" xr:uid="{00000000-0006-0000-0300-0000651E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3" authorId="0" shapeId="0" xr:uid="{00000000-0006-0000-0300-0000661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3" authorId="0" shapeId="0" xr:uid="{00000000-0006-0000-0300-0000671E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3" authorId="0" shapeId="0" xr:uid="{00000000-0006-0000-0300-0000681E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3" authorId="0" shapeId="0" xr:uid="{00000000-0006-0000-0300-0000691E0000}">
      <text>
        <r>
          <rPr>
            <sz val="9"/>
            <color indexed="81"/>
            <rFont val="Tahoma"/>
            <charset val="1"/>
          </rPr>
          <t>Stability=,Expiration=5/31/2018</t>
        </r>
      </text>
    </comment>
    <comment ref="BJ133" authorId="0" shapeId="0" xr:uid="{00000000-0006-0000-0300-00006A1E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3" authorId="0" shapeId="0" xr:uid="{00000000-0006-0000-0300-00006B1E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3" authorId="0" shapeId="0" xr:uid="{00000000-0006-0000-0300-00006C1E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3" authorId="0" shapeId="0" xr:uid="{00000000-0006-0000-0300-00006D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3" authorId="0" shapeId="0" xr:uid="{00000000-0006-0000-0300-00006E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3" authorId="0" shapeId="0" xr:uid="{00000000-0006-0000-0300-00006F1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3" authorId="0" shapeId="0" xr:uid="{00000000-0006-0000-0300-0000701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3" authorId="0" shapeId="0" xr:uid="{00000000-0006-0000-0300-000071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3" authorId="0" shapeId="0" xr:uid="{00000000-0006-0000-0300-000072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3" authorId="0" shapeId="0" xr:uid="{00000000-0006-0000-0300-000073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3" authorId="0" shapeId="0" xr:uid="{00000000-0006-0000-0300-0000741E0000}">
      <text>
        <r>
          <rPr>
            <sz val="9"/>
            <color indexed="81"/>
            <rFont val="Tahoma"/>
            <charset val="1"/>
          </rPr>
          <t>Stability=,Expiration=9/25/2018</t>
        </r>
      </text>
    </comment>
    <comment ref="BU133" authorId="0" shapeId="0" xr:uid="{00000000-0006-0000-0300-0000751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4" authorId="0" shapeId="0" xr:uid="{00000000-0006-0000-0300-0000761E0000}">
      <text>
        <r>
          <rPr>
            <sz val="9"/>
            <color indexed="81"/>
            <rFont val="Tahoma"/>
            <charset val="1"/>
          </rPr>
          <t>Date macro run: 6/4/2018 10:28:11 PM</t>
        </r>
      </text>
    </comment>
    <comment ref="B134" authorId="0" shapeId="0" xr:uid="{00000000-0006-0000-0300-0000771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4" authorId="0" shapeId="0" xr:uid="{00000000-0006-0000-0300-0000781E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4" authorId="0" shapeId="0" xr:uid="{00000000-0006-0000-0300-0000791E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4" authorId="0" shapeId="0" xr:uid="{00000000-0006-0000-0300-00007A1E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4" authorId="0" shapeId="0" xr:uid="{00000000-0006-0000-0300-00007B1E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4" authorId="0" shapeId="0" xr:uid="{00000000-0006-0000-0300-00007C1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4" authorId="0" shapeId="0" xr:uid="{00000000-0006-0000-0300-00007D1E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4" authorId="0" shapeId="0" xr:uid="{00000000-0006-0000-0300-00007E1E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4" authorId="0" shapeId="0" xr:uid="{00000000-0006-0000-0300-00007F1E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4" authorId="0" shapeId="0" xr:uid="{00000000-0006-0000-0300-0000801E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4" authorId="0" shapeId="0" xr:uid="{00000000-0006-0000-0300-0000811E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4" authorId="0" shapeId="0" xr:uid="{00000000-0006-0000-0300-0000821E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4" authorId="0" shapeId="0" xr:uid="{00000000-0006-0000-0300-0000831E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4" authorId="0" shapeId="0" xr:uid="{00000000-0006-0000-0300-0000841E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4" authorId="0" shapeId="0" xr:uid="{00000000-0006-0000-0300-0000851E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4" authorId="0" shapeId="0" xr:uid="{00000000-0006-0000-0300-000086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4" authorId="0" shapeId="0" xr:uid="{00000000-0006-0000-0300-0000871E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4" authorId="0" shapeId="0" xr:uid="{00000000-0006-0000-0300-0000881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4" authorId="0" shapeId="0" xr:uid="{00000000-0006-0000-0300-0000891E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4" authorId="0" shapeId="0" xr:uid="{00000000-0006-0000-0300-00008A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4" authorId="0" shapeId="0" xr:uid="{00000000-0006-0000-0300-00008B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4" authorId="0" shapeId="0" xr:uid="{00000000-0006-0000-0300-00008C1E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4" authorId="0" shapeId="0" xr:uid="{00000000-0006-0000-0300-00008D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4" authorId="0" shapeId="0" xr:uid="{00000000-0006-0000-0300-00008E1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4" authorId="0" shapeId="0" xr:uid="{00000000-0006-0000-0300-00008F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4" authorId="0" shapeId="0" xr:uid="{00000000-0006-0000-0300-0000901E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4" authorId="0" shapeId="0" xr:uid="{00000000-0006-0000-0300-0000911E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4" authorId="0" shapeId="0" xr:uid="{00000000-0006-0000-0300-0000921E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4" authorId="0" shapeId="0" xr:uid="{00000000-0006-0000-0300-000093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4" authorId="0" shapeId="0" xr:uid="{00000000-0006-0000-0300-000094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4" authorId="0" shapeId="0" xr:uid="{00000000-0006-0000-0300-0000951E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4" authorId="0" shapeId="0" xr:uid="{00000000-0006-0000-0300-0000961E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4" authorId="0" shapeId="0" xr:uid="{00000000-0006-0000-0300-0000971E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4" authorId="0" shapeId="0" xr:uid="{00000000-0006-0000-0300-0000981E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4" authorId="0" shapeId="0" xr:uid="{00000000-0006-0000-0300-0000991E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4" authorId="0" shapeId="0" xr:uid="{00000000-0006-0000-0300-00009A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4" authorId="0" shapeId="0" xr:uid="{00000000-0006-0000-0300-00009B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4" authorId="0" shapeId="0" xr:uid="{00000000-0006-0000-0300-00009C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4" authorId="0" shapeId="0" xr:uid="{00000000-0006-0000-0300-00009D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4" authorId="0" shapeId="0" xr:uid="{00000000-0006-0000-0300-00009E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4" authorId="0" shapeId="0" xr:uid="{00000000-0006-0000-0300-00009F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4" authorId="0" shapeId="0" xr:uid="{00000000-0006-0000-0300-0000A01E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4" authorId="0" shapeId="0" xr:uid="{00000000-0006-0000-0300-0000A1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4" authorId="0" shapeId="0" xr:uid="{00000000-0006-0000-0300-0000A2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4" authorId="0" shapeId="0" xr:uid="{00000000-0006-0000-0300-0000A3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4" authorId="0" shapeId="0" xr:uid="{00000000-0006-0000-0300-0000A4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4" authorId="0" shapeId="0" xr:uid="{00000000-0006-0000-0300-0000A5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4" authorId="0" shapeId="0" xr:uid="{00000000-0006-0000-0300-0000A61E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4" authorId="0" shapeId="0" xr:uid="{00000000-0006-0000-0300-0000A7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4" authorId="0" shapeId="0" xr:uid="{00000000-0006-0000-0300-0000A81E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4" authorId="0" shapeId="0" xr:uid="{00000000-0006-0000-0300-0000A9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4" authorId="0" shapeId="0" xr:uid="{00000000-0006-0000-0300-0000AA1E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4" authorId="0" shapeId="0" xr:uid="{00000000-0006-0000-0300-0000AB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4" authorId="0" shapeId="0" xr:uid="{00000000-0006-0000-0300-0000AC1E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4" authorId="0" shapeId="0" xr:uid="{00000000-0006-0000-0300-0000AD1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4" authorId="0" shapeId="0" xr:uid="{00000000-0006-0000-0300-0000AE1E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4" authorId="0" shapeId="0" xr:uid="{00000000-0006-0000-0300-0000AF1E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4" authorId="0" shapeId="0" xr:uid="{00000000-0006-0000-0300-0000B01E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4" authorId="0" shapeId="0" xr:uid="{00000000-0006-0000-0300-0000B11E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4" authorId="0" shapeId="0" xr:uid="{00000000-0006-0000-0300-0000B21E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4" authorId="0" shapeId="0" xr:uid="{00000000-0006-0000-0300-0000B31E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4" authorId="0" shapeId="0" xr:uid="{00000000-0006-0000-0300-0000B4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4" authorId="0" shapeId="0" xr:uid="{00000000-0006-0000-0300-0000B5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4" authorId="0" shapeId="0" xr:uid="{00000000-0006-0000-0300-0000B61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4" authorId="0" shapeId="0" xr:uid="{00000000-0006-0000-0300-0000B71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4" authorId="0" shapeId="0" xr:uid="{00000000-0006-0000-0300-0000B8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4" authorId="0" shapeId="0" xr:uid="{00000000-0006-0000-0300-0000B9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4" authorId="0" shapeId="0" xr:uid="{00000000-0006-0000-0300-0000BA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4" authorId="0" shapeId="0" xr:uid="{00000000-0006-0000-0300-0000BB1E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4" authorId="0" shapeId="0" xr:uid="{00000000-0006-0000-0300-0000BC1E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5" authorId="0" shapeId="0" xr:uid="{00000000-0006-0000-0300-0000BD1E0000}">
      <text>
        <r>
          <rPr>
            <sz val="9"/>
            <color indexed="81"/>
            <rFont val="Tahoma"/>
            <charset val="1"/>
          </rPr>
          <t>Date macro run: 6/6/2018 10:23:27 PM</t>
        </r>
      </text>
    </comment>
    <comment ref="B135" authorId="0" shapeId="0" xr:uid="{00000000-0006-0000-0300-0000BE1E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5" authorId="0" shapeId="0" xr:uid="{00000000-0006-0000-0300-0000BF1E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5" authorId="0" shapeId="0" xr:uid="{00000000-0006-0000-0300-0000C01E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5" authorId="0" shapeId="0" xr:uid="{00000000-0006-0000-0300-0000C11E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5" authorId="0" shapeId="0" xr:uid="{00000000-0006-0000-0300-0000C21E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5" authorId="0" shapeId="0" xr:uid="{00000000-0006-0000-0300-0000C31E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5" authorId="0" shapeId="0" xr:uid="{00000000-0006-0000-0300-0000C41E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5" authorId="0" shapeId="0" xr:uid="{00000000-0006-0000-0300-0000C51E0000}">
      <text>
        <r>
          <rPr>
            <sz val="9"/>
            <color indexed="81"/>
            <rFont val="Tahoma"/>
            <charset val="1"/>
          </rPr>
          <t>Stability=,Expiration=7/9/2018</t>
        </r>
      </text>
    </comment>
    <comment ref="J135" authorId="0" shapeId="0" xr:uid="{00000000-0006-0000-0300-0000C61E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5" authorId="0" shapeId="0" xr:uid="{00000000-0006-0000-0300-0000C71E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5" authorId="0" shapeId="0" xr:uid="{00000000-0006-0000-0300-0000C81E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5" authorId="0" shapeId="0" xr:uid="{00000000-0006-0000-0300-0000C91E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5" authorId="0" shapeId="0" xr:uid="{00000000-0006-0000-0300-0000CA1E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5" authorId="0" shapeId="0" xr:uid="{00000000-0006-0000-0300-0000CB1E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5" authorId="0" shapeId="0" xr:uid="{00000000-0006-0000-0300-0000CC1E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5" authorId="0" shapeId="0" xr:uid="{00000000-0006-0000-0300-0000CD1E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5" authorId="0" shapeId="0" xr:uid="{00000000-0006-0000-0300-0000CE1E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5" authorId="0" shapeId="0" xr:uid="{00000000-0006-0000-0300-0000CF1E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5" authorId="0" shapeId="0" xr:uid="{00000000-0006-0000-0300-0000D01E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5" authorId="0" shapeId="0" xr:uid="{00000000-0006-0000-0300-0000D1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5" authorId="0" shapeId="0" xr:uid="{00000000-0006-0000-0300-0000D2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5" authorId="0" shapeId="0" xr:uid="{00000000-0006-0000-0300-0000D31E0000}">
      <text>
        <r>
          <rPr>
            <sz val="9"/>
            <color indexed="81"/>
            <rFont val="Tahoma"/>
            <charset val="1"/>
          </rPr>
          <t xml:space="preserve">Stability=,Expiration=7/3/2018, had to deduct down 5 due to box expiring.. Had to deduct down 3 again because abbot bad reagent 7.23.18
</t>
        </r>
      </text>
    </comment>
    <comment ref="X135" authorId="0" shapeId="0" xr:uid="{00000000-0006-0000-0300-0000D41E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5" authorId="0" shapeId="0" xr:uid="{00000000-0006-0000-0300-0000D51E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5" authorId="0" shapeId="0" xr:uid="{00000000-0006-0000-0300-0000D6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5" authorId="0" shapeId="0" xr:uid="{00000000-0006-0000-0300-0000D71E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5" authorId="0" shapeId="0" xr:uid="{00000000-0006-0000-0300-0000D81E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5" authorId="0" shapeId="0" xr:uid="{00000000-0006-0000-0300-0000D91E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5" authorId="0" shapeId="0" xr:uid="{00000000-0006-0000-0300-0000DA1E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5" authorId="0" shapeId="0" xr:uid="{00000000-0006-0000-0300-0000DB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5" authorId="0" shapeId="0" xr:uid="{00000000-0006-0000-0300-0000DC1E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5" authorId="0" shapeId="0" xr:uid="{00000000-0006-0000-0300-0000DD1E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5" authorId="0" shapeId="0" xr:uid="{00000000-0006-0000-0300-0000DE1E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5" authorId="0" shapeId="0" xr:uid="{00000000-0006-0000-0300-0000DF1E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5" authorId="0" shapeId="0" xr:uid="{00000000-0006-0000-0300-0000E01E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5" authorId="0" shapeId="0" xr:uid="{00000000-0006-0000-0300-0000E1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5" authorId="0" shapeId="0" xr:uid="{00000000-0006-0000-0300-0000E2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5" authorId="0" shapeId="0" xr:uid="{00000000-0006-0000-0300-0000E3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5" authorId="0" shapeId="0" xr:uid="{00000000-0006-0000-0300-0000E4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5" authorId="0" shapeId="0" xr:uid="{00000000-0006-0000-0300-0000E5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5" authorId="0" shapeId="0" xr:uid="{00000000-0006-0000-0300-0000E6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5" authorId="0" shapeId="0" xr:uid="{00000000-0006-0000-0300-0000E71E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5" authorId="0" shapeId="0" xr:uid="{00000000-0006-0000-0300-0000E8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5" authorId="0" shapeId="0" xr:uid="{00000000-0006-0000-0300-0000E9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5" authorId="0" shapeId="0" xr:uid="{00000000-0006-0000-0300-0000EA1E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5" authorId="0" shapeId="0" xr:uid="{00000000-0006-0000-0300-0000EB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5" authorId="0" shapeId="0" xr:uid="{00000000-0006-0000-0300-0000EC1E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5" authorId="0" shapeId="0" xr:uid="{00000000-0006-0000-0300-0000ED1E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5" authorId="0" shapeId="0" xr:uid="{00000000-0006-0000-0300-0000EE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5" authorId="0" shapeId="0" xr:uid="{00000000-0006-0000-0300-0000EF1E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5" authorId="0" shapeId="0" xr:uid="{00000000-0006-0000-0300-0000F0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5" authorId="0" shapeId="0" xr:uid="{00000000-0006-0000-0300-0000F11E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5" authorId="0" shapeId="0" xr:uid="{00000000-0006-0000-0300-0000F2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5" authorId="0" shapeId="0" xr:uid="{00000000-0006-0000-0300-0000F31E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5" authorId="0" shapeId="0" xr:uid="{00000000-0006-0000-0300-0000F41E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5" authorId="0" shapeId="0" xr:uid="{00000000-0006-0000-0300-0000F51E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5" authorId="0" shapeId="0" xr:uid="{00000000-0006-0000-0300-0000F61E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5" authorId="0" shapeId="0" xr:uid="{00000000-0006-0000-0300-0000F71E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5" authorId="0" shapeId="0" xr:uid="{00000000-0006-0000-0300-0000F81E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5" authorId="0" shapeId="0" xr:uid="{00000000-0006-0000-0300-0000F91E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5" authorId="0" shapeId="0" xr:uid="{00000000-0006-0000-0300-0000FA1E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5" authorId="0" shapeId="0" xr:uid="{00000000-0006-0000-0300-0000FB1E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5" authorId="0" shapeId="0" xr:uid="{00000000-0006-0000-0300-0000FC1E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5" authorId="0" shapeId="0" xr:uid="{00000000-0006-0000-0300-0000FD1E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5" authorId="0" shapeId="0" xr:uid="{00000000-0006-0000-0300-0000FE1E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5" authorId="0" shapeId="0" xr:uid="{00000000-0006-0000-0300-0000FF1E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5" authorId="0" shapeId="0" xr:uid="{00000000-0006-0000-0300-000000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5" authorId="0" shapeId="0" xr:uid="{00000000-0006-0000-0300-000001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5" authorId="0" shapeId="0" xr:uid="{00000000-0006-0000-0300-0000021F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5" authorId="0" shapeId="0" xr:uid="{00000000-0006-0000-0300-0000031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6" authorId="0" shapeId="0" xr:uid="{00000000-0006-0000-0300-0000041F0000}">
      <text>
        <r>
          <rPr>
            <sz val="9"/>
            <color indexed="81"/>
            <rFont val="Tahoma"/>
            <charset val="1"/>
          </rPr>
          <t>Date macro run: 6/7/2018 10:36:10 PM</t>
        </r>
      </text>
    </comment>
    <comment ref="B136" authorId="0" shapeId="0" xr:uid="{00000000-0006-0000-0300-0000051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6" authorId="0" shapeId="0" xr:uid="{00000000-0006-0000-0300-0000061F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6" authorId="0" shapeId="0" xr:uid="{00000000-0006-0000-0300-0000071F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6" authorId="0" shapeId="0" xr:uid="{00000000-0006-0000-0300-0000081F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6" authorId="0" shapeId="0" xr:uid="{00000000-0006-0000-0300-0000091F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6" authorId="0" shapeId="0" xr:uid="{00000000-0006-0000-0300-00000A1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6" authorId="0" shapeId="0" xr:uid="{00000000-0006-0000-0300-00000B1F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6" authorId="0" shapeId="0" xr:uid="{00000000-0006-0000-0300-00000C1F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36" authorId="0" shapeId="0" xr:uid="{00000000-0006-0000-0300-00000D1F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6" authorId="0" shapeId="0" xr:uid="{00000000-0006-0000-0300-00000E1F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6" authorId="0" shapeId="0" xr:uid="{00000000-0006-0000-0300-00000F1F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6" authorId="0" shapeId="0" xr:uid="{00000000-0006-0000-0300-0000101F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6" authorId="0" shapeId="0" xr:uid="{00000000-0006-0000-0300-0000111F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6" authorId="0" shapeId="0" xr:uid="{00000000-0006-0000-0300-0000121F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6" authorId="0" shapeId="0" xr:uid="{00000000-0006-0000-0300-0000131F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6" authorId="0" shapeId="0" xr:uid="{00000000-0006-0000-0300-000014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6" authorId="0" shapeId="0" xr:uid="{00000000-0006-0000-0300-0000151F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6" authorId="0" shapeId="0" xr:uid="{00000000-0006-0000-0300-0000161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6" authorId="0" shapeId="0" xr:uid="{00000000-0006-0000-0300-0000171F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6" authorId="0" shapeId="0" xr:uid="{00000000-0006-0000-0300-0000181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6" authorId="0" shapeId="0" xr:uid="{00000000-0006-0000-0300-000019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6" authorId="0" shapeId="0" xr:uid="{00000000-0006-0000-0300-00001A1F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6" authorId="0" shapeId="0" xr:uid="{00000000-0006-0000-0300-00001B1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6" authorId="0" shapeId="0" xr:uid="{00000000-0006-0000-0300-00001C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6" authorId="0" shapeId="0" xr:uid="{00000000-0006-0000-0300-00001D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6" authorId="0" shapeId="0" xr:uid="{00000000-0006-0000-0300-00001E1F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6" authorId="0" shapeId="0" xr:uid="{00000000-0006-0000-0300-00001F1F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6" authorId="0" shapeId="0" xr:uid="{00000000-0006-0000-0300-0000201F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6" authorId="0" shapeId="0" xr:uid="{00000000-0006-0000-0300-000021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6" authorId="0" shapeId="0" xr:uid="{00000000-0006-0000-0300-0000221F0000}">
      <text>
        <r>
          <rPr>
            <sz val="9"/>
            <color indexed="81"/>
            <rFont val="Tahoma"/>
            <charset val="1"/>
          </rPr>
          <t>Stability=,Expiration=1/31/2019, had to deduct 1 because loaned to Denton</t>
        </r>
      </text>
    </comment>
    <comment ref="AF136" authorId="0" shapeId="0" xr:uid="{00000000-0006-0000-0300-0000231F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6" authorId="0" shapeId="0" xr:uid="{00000000-0006-0000-0300-0000241F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6" authorId="0" shapeId="0" xr:uid="{00000000-0006-0000-0300-0000251F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6" authorId="0" shapeId="0" xr:uid="{00000000-0006-0000-0300-0000261F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6" authorId="0" shapeId="0" xr:uid="{00000000-0006-0000-0300-0000271F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6" authorId="0" shapeId="0" xr:uid="{00000000-0006-0000-0300-000028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6" authorId="0" shapeId="0" xr:uid="{00000000-0006-0000-0300-000029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6" authorId="0" shapeId="0" xr:uid="{00000000-0006-0000-0300-00002A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6" authorId="0" shapeId="0" xr:uid="{00000000-0006-0000-0300-00002B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6" authorId="0" shapeId="0" xr:uid="{00000000-0006-0000-0300-00002C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6" authorId="0" shapeId="0" xr:uid="{00000000-0006-0000-0300-00002D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6" authorId="0" shapeId="0" xr:uid="{00000000-0006-0000-0300-00002E1F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6" authorId="0" shapeId="0" xr:uid="{00000000-0006-0000-0300-00002F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6" authorId="0" shapeId="0" xr:uid="{00000000-0006-0000-0300-000030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6" authorId="0" shapeId="0" xr:uid="{00000000-0006-0000-0300-000031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6" authorId="0" shapeId="0" xr:uid="{00000000-0006-0000-0300-000032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6" authorId="0" shapeId="0" xr:uid="{00000000-0006-0000-0300-0000331F0000}">
      <text>
        <r>
          <rPr>
            <sz val="9"/>
            <color indexed="81"/>
            <rFont val="Tahoma"/>
            <charset val="1"/>
          </rPr>
          <t xml:space="preserve">Stability=,Expiration=, had to deduct down 500 elena borrow
</t>
        </r>
      </text>
    </comment>
    <comment ref="AY136" authorId="0" shapeId="0" xr:uid="{00000000-0006-0000-0300-0000341F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6" authorId="0" shapeId="0" xr:uid="{00000000-0006-0000-0300-000035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6" authorId="0" shapeId="0" xr:uid="{00000000-0006-0000-0300-0000361F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6" authorId="0" shapeId="0" xr:uid="{00000000-0006-0000-0300-000037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6" authorId="0" shapeId="0" xr:uid="{00000000-0006-0000-0300-0000381F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6" authorId="0" shapeId="0" xr:uid="{00000000-0006-0000-0300-000039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6" authorId="0" shapeId="0" xr:uid="{00000000-0006-0000-0300-00003A1F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6" authorId="0" shapeId="0" xr:uid="{00000000-0006-0000-0300-00003B1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6" authorId="0" shapeId="0" xr:uid="{00000000-0006-0000-0300-00003C1F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6" authorId="0" shapeId="0" xr:uid="{00000000-0006-0000-0300-00003D1F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6" authorId="0" shapeId="0" xr:uid="{00000000-0006-0000-0300-00003E1F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6" authorId="0" shapeId="0" xr:uid="{00000000-0006-0000-0300-00003F1F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6" authorId="0" shapeId="0" xr:uid="{00000000-0006-0000-0300-0000401F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6" authorId="0" shapeId="0" xr:uid="{00000000-0006-0000-0300-0000411F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6" authorId="0" shapeId="0" xr:uid="{00000000-0006-0000-0300-000042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6" authorId="0" shapeId="0" xr:uid="{00000000-0006-0000-0300-000043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6" authorId="0" shapeId="0" xr:uid="{00000000-0006-0000-0300-0000441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6" authorId="0" shapeId="0" xr:uid="{00000000-0006-0000-0300-0000451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6" authorId="0" shapeId="0" xr:uid="{00000000-0006-0000-0300-000046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6" authorId="0" shapeId="0" xr:uid="{00000000-0006-0000-0300-000047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6" authorId="0" shapeId="0" xr:uid="{00000000-0006-0000-0300-000048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6" authorId="0" shapeId="0" xr:uid="{00000000-0006-0000-0300-0000491F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6" authorId="0" shapeId="0" xr:uid="{00000000-0006-0000-0300-00004A1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7" authorId="0" shapeId="0" xr:uid="{00000000-0006-0000-0300-00004B1F0000}">
      <text>
        <r>
          <rPr>
            <sz val="9"/>
            <color indexed="81"/>
            <rFont val="Tahoma"/>
            <charset val="1"/>
          </rPr>
          <t>Date macro run: 6/11/2018 10:21:25 PM</t>
        </r>
      </text>
    </comment>
    <comment ref="B137" authorId="0" shapeId="0" xr:uid="{00000000-0006-0000-0300-00004C1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7" authorId="0" shapeId="0" xr:uid="{00000000-0006-0000-0300-00004D1F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7" authorId="0" shapeId="0" xr:uid="{00000000-0006-0000-0300-00004E1F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7" authorId="0" shapeId="0" xr:uid="{00000000-0006-0000-0300-00004F1F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7" authorId="0" shapeId="0" xr:uid="{00000000-0006-0000-0300-0000501F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7" authorId="0" shapeId="0" xr:uid="{00000000-0006-0000-0300-0000511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7" authorId="0" shapeId="0" xr:uid="{00000000-0006-0000-0300-0000521F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7" authorId="0" shapeId="0" xr:uid="{00000000-0006-0000-0300-0000531F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37" authorId="0" shapeId="0" xr:uid="{00000000-0006-0000-0300-0000541F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7" authorId="0" shapeId="0" xr:uid="{00000000-0006-0000-0300-0000551F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7" authorId="0" shapeId="0" xr:uid="{00000000-0006-0000-0300-0000561F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7" authorId="0" shapeId="0" xr:uid="{00000000-0006-0000-0300-0000571F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7" authorId="0" shapeId="0" xr:uid="{00000000-0006-0000-0300-0000581F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7" authorId="0" shapeId="0" xr:uid="{00000000-0006-0000-0300-0000591F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7" authorId="0" shapeId="0" xr:uid="{00000000-0006-0000-0300-00005A1F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7" authorId="0" shapeId="0" xr:uid="{00000000-0006-0000-0300-00005B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7" authorId="0" shapeId="0" xr:uid="{00000000-0006-0000-0300-00005C1F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7" authorId="0" shapeId="0" xr:uid="{00000000-0006-0000-0300-00005D1F0000}">
      <text>
        <r>
          <rPr>
            <sz val="9"/>
            <color indexed="81"/>
            <rFont val="Tahoma"/>
            <charset val="1"/>
          </rPr>
          <t>Stability=,Expiration=7/4/2018</t>
        </r>
      </text>
    </comment>
    <comment ref="T137" authorId="0" shapeId="0" xr:uid="{00000000-0006-0000-0300-00005E1F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7" authorId="0" shapeId="0" xr:uid="{00000000-0006-0000-0300-00005F1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V137" authorId="0" shapeId="0" xr:uid="{00000000-0006-0000-0300-000060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7" authorId="0" shapeId="0" xr:uid="{00000000-0006-0000-0300-0000611F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7" authorId="0" shapeId="0" xr:uid="{00000000-0006-0000-0300-0000621F0000}">
      <text>
        <r>
          <rPr>
            <sz val="9"/>
            <color indexed="81"/>
            <rFont val="Tahoma"/>
            <charset val="1"/>
          </rPr>
          <t>Stability=,Expiration=6/30/2018</t>
        </r>
      </text>
    </comment>
    <comment ref="Y137" authorId="0" shapeId="0" xr:uid="{00000000-0006-0000-0300-000063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7" authorId="0" shapeId="0" xr:uid="{00000000-0006-0000-0300-000064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7" authorId="0" shapeId="0" xr:uid="{00000000-0006-0000-0300-0000651F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7" authorId="0" shapeId="0" xr:uid="{00000000-0006-0000-0300-0000661F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7" authorId="0" shapeId="0" xr:uid="{00000000-0006-0000-0300-0000671F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7" authorId="0" shapeId="0" xr:uid="{00000000-0006-0000-0300-000068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7" authorId="0" shapeId="0" xr:uid="{00000000-0006-0000-0300-000069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7" authorId="0" shapeId="0" xr:uid="{00000000-0006-0000-0300-00006A1F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7" authorId="0" shapeId="0" xr:uid="{00000000-0006-0000-0300-00006B1F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7" authorId="0" shapeId="0" xr:uid="{00000000-0006-0000-0300-00006C1F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7" authorId="0" shapeId="0" xr:uid="{00000000-0006-0000-0300-00006D1F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7" authorId="0" shapeId="0" xr:uid="{00000000-0006-0000-0300-00006E1F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7" authorId="0" shapeId="0" xr:uid="{00000000-0006-0000-0300-00006F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7" authorId="0" shapeId="0" xr:uid="{00000000-0006-0000-0300-000070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7" authorId="0" shapeId="0" xr:uid="{00000000-0006-0000-0300-000071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7" authorId="0" shapeId="0" xr:uid="{00000000-0006-0000-0300-000072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7" authorId="0" shapeId="0" xr:uid="{00000000-0006-0000-0300-000073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7" authorId="0" shapeId="0" xr:uid="{00000000-0006-0000-0300-000074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7" authorId="0" shapeId="0" xr:uid="{00000000-0006-0000-0300-0000751F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7" authorId="0" shapeId="0" xr:uid="{00000000-0006-0000-0300-000076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7" authorId="0" shapeId="0" xr:uid="{00000000-0006-0000-0300-000077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7" authorId="0" shapeId="0" xr:uid="{00000000-0006-0000-0300-000078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W137" authorId="0" shapeId="0" xr:uid="{00000000-0006-0000-0300-000079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7" authorId="0" shapeId="0" xr:uid="{00000000-0006-0000-0300-00007A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7" authorId="0" shapeId="0" xr:uid="{00000000-0006-0000-0300-00007B1F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7" authorId="0" shapeId="0" xr:uid="{00000000-0006-0000-0300-00007C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7" authorId="0" shapeId="0" xr:uid="{00000000-0006-0000-0300-00007D1F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7" authorId="0" shapeId="0" xr:uid="{00000000-0006-0000-0300-00007E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7" authorId="0" shapeId="0" xr:uid="{00000000-0006-0000-0300-00007F1F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7" authorId="0" shapeId="0" xr:uid="{00000000-0006-0000-0300-000080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7" authorId="0" shapeId="0" xr:uid="{00000000-0006-0000-0300-0000811F0000}">
      <text>
        <r>
          <rPr>
            <sz val="9"/>
            <color indexed="81"/>
            <rFont val="Tahoma"/>
            <charset val="1"/>
          </rPr>
          <t>Stability=,Expiration=6/12/2018</t>
        </r>
      </text>
    </comment>
    <comment ref="BF137" authorId="0" shapeId="0" xr:uid="{00000000-0006-0000-0300-0000821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7" authorId="0" shapeId="0" xr:uid="{00000000-0006-0000-0300-0000831F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7" authorId="0" shapeId="0" xr:uid="{00000000-0006-0000-0300-0000841F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7" authorId="0" shapeId="0" xr:uid="{00000000-0006-0000-0300-0000851F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7" authorId="0" shapeId="0" xr:uid="{00000000-0006-0000-0300-0000861F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7" authorId="0" shapeId="0" xr:uid="{00000000-0006-0000-0300-0000871F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7" authorId="0" shapeId="0" xr:uid="{00000000-0006-0000-0300-0000881F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7" authorId="0" shapeId="0" xr:uid="{00000000-0006-0000-0300-000089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7" authorId="0" shapeId="0" xr:uid="{00000000-0006-0000-0300-00008A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7" authorId="0" shapeId="0" xr:uid="{00000000-0006-0000-0300-00008B1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7" authorId="0" shapeId="0" xr:uid="{00000000-0006-0000-0300-00008C1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7" authorId="0" shapeId="0" xr:uid="{00000000-0006-0000-0300-00008D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7" authorId="0" shapeId="0" xr:uid="{00000000-0006-0000-0300-00008E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7" authorId="0" shapeId="0" xr:uid="{00000000-0006-0000-0300-00008F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7" authorId="0" shapeId="0" xr:uid="{00000000-0006-0000-0300-0000901F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7" authorId="0" shapeId="0" xr:uid="{00000000-0006-0000-0300-0000911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8" authorId="0" shapeId="0" xr:uid="{00000000-0006-0000-0300-0000921F0000}">
      <text>
        <r>
          <rPr>
            <sz val="9"/>
            <color indexed="81"/>
            <rFont val="Tahoma"/>
            <charset val="1"/>
          </rPr>
          <t>Date macro run: 6/13/2018 9:45:09 PM</t>
        </r>
      </text>
    </comment>
    <comment ref="B138" authorId="0" shapeId="0" xr:uid="{00000000-0006-0000-0300-0000931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8" authorId="0" shapeId="0" xr:uid="{00000000-0006-0000-0300-0000941F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8" authorId="0" shapeId="0" xr:uid="{00000000-0006-0000-0300-0000951F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8" authorId="0" shapeId="0" xr:uid="{00000000-0006-0000-0300-0000961F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8" authorId="0" shapeId="0" xr:uid="{00000000-0006-0000-0300-0000971F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8" authorId="0" shapeId="0" xr:uid="{00000000-0006-0000-0300-0000981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8" authorId="0" shapeId="0" xr:uid="{00000000-0006-0000-0300-0000991F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8" authorId="0" shapeId="0" xr:uid="{00000000-0006-0000-0300-00009A1F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38" authorId="0" shapeId="0" xr:uid="{00000000-0006-0000-0300-00009B1F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8" authorId="0" shapeId="0" xr:uid="{00000000-0006-0000-0300-00009C1F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8" authorId="0" shapeId="0" xr:uid="{00000000-0006-0000-0300-00009D1F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8" authorId="0" shapeId="0" xr:uid="{00000000-0006-0000-0300-00009E1F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8" authorId="0" shapeId="0" xr:uid="{00000000-0006-0000-0300-00009F1F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8" authorId="0" shapeId="0" xr:uid="{00000000-0006-0000-0300-0000A01F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8" authorId="0" shapeId="0" xr:uid="{00000000-0006-0000-0300-0000A11F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8" authorId="0" shapeId="0" xr:uid="{00000000-0006-0000-0300-0000A2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8" authorId="0" shapeId="0" xr:uid="{00000000-0006-0000-0300-0000A31F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8" authorId="0" shapeId="0" xr:uid="{00000000-0006-0000-0300-0000A41F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38" authorId="0" shapeId="0" xr:uid="{00000000-0006-0000-0300-0000A51F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8" authorId="0" shapeId="0" xr:uid="{00000000-0006-0000-0300-0000A6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38" authorId="0" shapeId="0" xr:uid="{00000000-0006-0000-0300-0000A7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8" authorId="0" shapeId="0" xr:uid="{00000000-0006-0000-0300-0000A81F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8" authorId="0" shapeId="0" xr:uid="{00000000-0006-0000-0300-0000A91F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38" authorId="0" shapeId="0" xr:uid="{00000000-0006-0000-0300-0000AA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8" authorId="0" shapeId="0" xr:uid="{00000000-0006-0000-0300-0000AB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8" authorId="0" shapeId="0" xr:uid="{00000000-0006-0000-0300-0000AC1F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8" authorId="0" shapeId="0" xr:uid="{00000000-0006-0000-0300-0000AD1F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8" authorId="0" shapeId="0" xr:uid="{00000000-0006-0000-0300-0000AE1F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8" authorId="0" shapeId="0" xr:uid="{00000000-0006-0000-0300-0000AF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8" authorId="0" shapeId="0" xr:uid="{00000000-0006-0000-0300-0000B0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8" authorId="0" shapeId="0" xr:uid="{00000000-0006-0000-0300-0000B11F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8" authorId="0" shapeId="0" xr:uid="{00000000-0006-0000-0300-0000B21F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8" authorId="0" shapeId="0" xr:uid="{00000000-0006-0000-0300-0000B31F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8" authorId="0" shapeId="0" xr:uid="{00000000-0006-0000-0300-0000B41F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8" authorId="0" shapeId="0" xr:uid="{00000000-0006-0000-0300-0000B51F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8" authorId="0" shapeId="0" xr:uid="{00000000-0006-0000-0300-0000B6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8" authorId="0" shapeId="0" xr:uid="{00000000-0006-0000-0300-0000B7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8" authorId="0" shapeId="0" xr:uid="{00000000-0006-0000-0300-0000B8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8" authorId="0" shapeId="0" xr:uid="{00000000-0006-0000-0300-0000B9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8" authorId="0" shapeId="0" xr:uid="{00000000-0006-0000-0300-0000BA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8" authorId="0" shapeId="0" xr:uid="{00000000-0006-0000-0300-0000BB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8" authorId="0" shapeId="0" xr:uid="{00000000-0006-0000-0300-0000BC1F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8" authorId="0" shapeId="0" xr:uid="{00000000-0006-0000-0300-0000BD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8" authorId="0" shapeId="0" xr:uid="{00000000-0006-0000-0300-0000BE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8" authorId="0" shapeId="0" xr:uid="{00000000-0006-0000-0300-0000BF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38" authorId="0" shapeId="0" xr:uid="{00000000-0006-0000-0300-0000C0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8" authorId="0" shapeId="0" xr:uid="{00000000-0006-0000-0300-0000C1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8" authorId="0" shapeId="0" xr:uid="{00000000-0006-0000-0300-0000C21F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8" authorId="0" shapeId="0" xr:uid="{00000000-0006-0000-0300-0000C3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8" authorId="0" shapeId="0" xr:uid="{00000000-0006-0000-0300-0000C41F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8" authorId="0" shapeId="0" xr:uid="{00000000-0006-0000-0300-0000C5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8" authorId="0" shapeId="0" xr:uid="{00000000-0006-0000-0300-0000C61F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8" authorId="0" shapeId="0" xr:uid="{00000000-0006-0000-0300-0000C7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8" authorId="0" shapeId="0" xr:uid="{00000000-0006-0000-0300-0000C81F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F138" authorId="0" shapeId="0" xr:uid="{00000000-0006-0000-0300-0000C91F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8" authorId="0" shapeId="0" xr:uid="{00000000-0006-0000-0300-0000CA1F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8" authorId="0" shapeId="0" xr:uid="{00000000-0006-0000-0300-0000CB1F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8" authorId="0" shapeId="0" xr:uid="{00000000-0006-0000-0300-0000CC1F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8" authorId="0" shapeId="0" xr:uid="{00000000-0006-0000-0300-0000CD1F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8" authorId="0" shapeId="0" xr:uid="{00000000-0006-0000-0300-0000CE1F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8" authorId="0" shapeId="0" xr:uid="{00000000-0006-0000-0300-0000CF1F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8" authorId="0" shapeId="0" xr:uid="{00000000-0006-0000-0300-0000D0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8" authorId="0" shapeId="0" xr:uid="{00000000-0006-0000-0300-0000D11F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8" authorId="0" shapeId="0" xr:uid="{00000000-0006-0000-0300-0000D21F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8" authorId="0" shapeId="0" xr:uid="{00000000-0006-0000-0300-0000D31F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8" authorId="0" shapeId="0" xr:uid="{00000000-0006-0000-0300-0000D41F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8" authorId="0" shapeId="0" xr:uid="{00000000-0006-0000-0300-0000D5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8" authorId="0" shapeId="0" xr:uid="{00000000-0006-0000-0300-0000D6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8" authorId="0" shapeId="0" xr:uid="{00000000-0006-0000-0300-0000D71F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8" authorId="0" shapeId="0" xr:uid="{00000000-0006-0000-0300-0000D81F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39" authorId="0" shapeId="0" xr:uid="{00000000-0006-0000-0300-0000D91F0000}">
      <text>
        <r>
          <rPr>
            <sz val="9"/>
            <color indexed="81"/>
            <rFont val="Tahoma"/>
            <charset val="1"/>
          </rPr>
          <t>Date macro run: 6/14/2018 6:48:45 PM</t>
        </r>
      </text>
    </comment>
    <comment ref="B139" authorId="0" shapeId="0" xr:uid="{00000000-0006-0000-0300-0000DA1F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39" authorId="0" shapeId="0" xr:uid="{00000000-0006-0000-0300-0000DB1F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39" authorId="0" shapeId="0" xr:uid="{00000000-0006-0000-0300-0000DC1F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39" authorId="0" shapeId="0" xr:uid="{00000000-0006-0000-0300-0000DD1F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39" authorId="0" shapeId="0" xr:uid="{00000000-0006-0000-0300-0000DE1F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39" authorId="0" shapeId="0" xr:uid="{00000000-0006-0000-0300-0000DF1F0000}">
      <text>
        <r>
          <rPr>
            <sz val="9"/>
            <color indexed="81"/>
            <rFont val="Tahoma"/>
            <charset val="1"/>
          </rPr>
          <t>Stability=,Expiration=8/14/2018</t>
        </r>
      </text>
    </comment>
    <comment ref="H139" authorId="0" shapeId="0" xr:uid="{00000000-0006-0000-0300-0000E01F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39" authorId="0" shapeId="0" xr:uid="{00000000-0006-0000-0300-0000E11F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39" authorId="0" shapeId="0" xr:uid="{00000000-0006-0000-0300-0000E21F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39" authorId="0" shapeId="0" xr:uid="{00000000-0006-0000-0300-0000E31F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39" authorId="0" shapeId="0" xr:uid="{00000000-0006-0000-0300-0000E41F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39" authorId="0" shapeId="0" xr:uid="{00000000-0006-0000-0300-0000E51F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39" authorId="0" shapeId="0" xr:uid="{00000000-0006-0000-0300-0000E61F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39" authorId="0" shapeId="0" xr:uid="{00000000-0006-0000-0300-0000E71F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39" authorId="0" shapeId="0" xr:uid="{00000000-0006-0000-0300-0000E81F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39" authorId="0" shapeId="0" xr:uid="{00000000-0006-0000-0300-0000E91F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39" authorId="0" shapeId="0" xr:uid="{00000000-0006-0000-0300-0000EA1F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39" authorId="0" shapeId="0" xr:uid="{00000000-0006-0000-0300-0000EB1F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39" authorId="0" shapeId="0" xr:uid="{00000000-0006-0000-0300-0000EC1F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39" authorId="0" shapeId="0" xr:uid="{00000000-0006-0000-0300-0000ED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39" authorId="0" shapeId="0" xr:uid="{00000000-0006-0000-0300-0000EE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39" authorId="0" shapeId="0" xr:uid="{00000000-0006-0000-0300-0000EF1F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39" authorId="0" shapeId="0" xr:uid="{00000000-0006-0000-0300-0000F01F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39" authorId="0" shapeId="0" xr:uid="{00000000-0006-0000-0300-0000F11F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39" authorId="0" shapeId="0" xr:uid="{00000000-0006-0000-0300-0000F21F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39" authorId="0" shapeId="0" xr:uid="{00000000-0006-0000-0300-0000F31F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39" authorId="0" shapeId="0" xr:uid="{00000000-0006-0000-0300-0000F41F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39" authorId="0" shapeId="0" xr:uid="{00000000-0006-0000-0300-0000F51F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39" authorId="0" shapeId="0" xr:uid="{00000000-0006-0000-0300-0000F61F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39" authorId="0" shapeId="0" xr:uid="{00000000-0006-0000-0300-0000F71F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39" authorId="0" shapeId="0" xr:uid="{00000000-0006-0000-0300-0000F81F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39" authorId="0" shapeId="0" xr:uid="{00000000-0006-0000-0300-0000F91F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39" authorId="0" shapeId="0" xr:uid="{00000000-0006-0000-0300-0000FA1F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39" authorId="0" shapeId="0" xr:uid="{00000000-0006-0000-0300-0000FB1F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39" authorId="0" shapeId="0" xr:uid="{00000000-0006-0000-0300-0000FC1F0000}">
      <text>
        <r>
          <rPr>
            <sz val="9"/>
            <color indexed="81"/>
            <rFont val="Tahoma"/>
            <charset val="1"/>
          </rPr>
          <t>Stability=,Expiration=11/25/2018</t>
        </r>
      </text>
    </comment>
    <comment ref="AK139" authorId="0" shapeId="0" xr:uid="{00000000-0006-0000-0300-0000FD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39" authorId="0" shapeId="0" xr:uid="{00000000-0006-0000-0300-0000FE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39" authorId="0" shapeId="0" xr:uid="{00000000-0006-0000-0300-0000FF1F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39" authorId="0" shapeId="0" xr:uid="{00000000-0006-0000-0300-000000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39" authorId="0" shapeId="0" xr:uid="{00000000-0006-0000-0300-000001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39" authorId="0" shapeId="0" xr:uid="{00000000-0006-0000-0300-000002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39" authorId="0" shapeId="0" xr:uid="{00000000-0006-0000-0300-00000320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39" authorId="0" shapeId="0" xr:uid="{00000000-0006-0000-0300-000004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39" authorId="0" shapeId="0" xr:uid="{00000000-0006-0000-0300-000005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39" authorId="0" shapeId="0" xr:uid="{00000000-0006-0000-0300-000006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39" authorId="0" shapeId="0" xr:uid="{00000000-0006-0000-0300-000007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39" authorId="0" shapeId="0" xr:uid="{00000000-0006-0000-0300-000008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39" authorId="0" shapeId="0" xr:uid="{00000000-0006-0000-0300-00000920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39" authorId="0" shapeId="0" xr:uid="{00000000-0006-0000-0300-00000A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39" authorId="0" shapeId="0" xr:uid="{00000000-0006-0000-0300-00000B20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39" authorId="0" shapeId="0" xr:uid="{00000000-0006-0000-0300-00000C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39" authorId="0" shapeId="0" xr:uid="{00000000-0006-0000-0300-00000D20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39" authorId="0" shapeId="0" xr:uid="{00000000-0006-0000-0300-00000E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39" authorId="0" shapeId="0" xr:uid="{00000000-0006-0000-0300-00000F20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F139" authorId="0" shapeId="0" xr:uid="{00000000-0006-0000-0300-0000102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39" authorId="0" shapeId="0" xr:uid="{00000000-0006-0000-0300-00001120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39" authorId="0" shapeId="0" xr:uid="{00000000-0006-0000-0300-00001220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39" authorId="0" shapeId="0" xr:uid="{00000000-0006-0000-0300-00001320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39" authorId="0" shapeId="0" xr:uid="{00000000-0006-0000-0300-00001420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39" authorId="0" shapeId="0" xr:uid="{00000000-0006-0000-0300-000015200000}">
      <text>
        <r>
          <rPr>
            <sz val="9"/>
            <color indexed="81"/>
            <rFont val="Tahoma"/>
            <charset val="1"/>
          </rPr>
          <t>Stability=,Expiration=9/2/2018</t>
        </r>
      </text>
    </comment>
    <comment ref="BL139" authorId="0" shapeId="0" xr:uid="{00000000-0006-0000-0300-00001620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39" authorId="0" shapeId="0" xr:uid="{00000000-0006-0000-0300-000017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39" authorId="0" shapeId="0" xr:uid="{00000000-0006-0000-0300-000018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39" authorId="0" shapeId="0" xr:uid="{00000000-0006-0000-0300-0000192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39" authorId="0" shapeId="0" xr:uid="{00000000-0006-0000-0300-00001A2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39" authorId="0" shapeId="0" xr:uid="{00000000-0006-0000-0300-00001B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39" authorId="0" shapeId="0" xr:uid="{00000000-0006-0000-0300-00001C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39" authorId="0" shapeId="0" xr:uid="{00000000-0006-0000-0300-00001D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39" authorId="0" shapeId="0" xr:uid="{00000000-0006-0000-0300-00001E20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39" authorId="0" shapeId="0" xr:uid="{00000000-0006-0000-0300-00001F2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0" authorId="0" shapeId="0" xr:uid="{00000000-0006-0000-0300-000020200000}">
      <text>
        <r>
          <rPr>
            <sz val="9"/>
            <color indexed="81"/>
            <rFont val="Tahoma"/>
            <charset val="1"/>
          </rPr>
          <t>Date macro run: 6/18/2018 10:12:45 PM</t>
        </r>
      </text>
    </comment>
    <comment ref="B140" authorId="0" shapeId="0" xr:uid="{00000000-0006-0000-0300-0000212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0" authorId="0" shapeId="0" xr:uid="{00000000-0006-0000-0300-00002220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0" authorId="0" shapeId="0" xr:uid="{00000000-0006-0000-0300-00002320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0" authorId="0" shapeId="0" xr:uid="{00000000-0006-0000-0300-00002420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0" authorId="0" shapeId="0" xr:uid="{00000000-0006-0000-0300-00002520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0" authorId="0" shapeId="0" xr:uid="{00000000-0006-0000-0300-00002620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0" authorId="0" shapeId="0" xr:uid="{00000000-0006-0000-0300-00002720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0" authorId="0" shapeId="0" xr:uid="{00000000-0006-0000-0300-000028200000}">
      <text>
        <r>
          <rPr>
            <sz val="9"/>
            <color indexed="81"/>
            <rFont val="Tahoma"/>
            <charset val="1"/>
          </rPr>
          <t>Stability=,Expiration=1/1/2019</t>
        </r>
      </text>
    </comment>
    <comment ref="J140" authorId="0" shapeId="0" xr:uid="{00000000-0006-0000-0300-00002920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0" authorId="0" shapeId="0" xr:uid="{00000000-0006-0000-0300-00002A20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0" authorId="0" shapeId="0" xr:uid="{00000000-0006-0000-0300-00002B20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0" authorId="0" shapeId="0" xr:uid="{00000000-0006-0000-0300-00002C20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0" authorId="0" shapeId="0" xr:uid="{00000000-0006-0000-0300-00002D20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0" authorId="0" shapeId="0" xr:uid="{00000000-0006-0000-0300-00002E200000}">
      <text>
        <r>
          <rPr>
            <sz val="9"/>
            <color indexed="81"/>
            <rFont val="Tahoma"/>
            <charset val="1"/>
          </rPr>
          <t>Stability=,Expiration=3/28/2019</t>
        </r>
      </text>
    </comment>
    <comment ref="P140" authorId="0" shapeId="0" xr:uid="{00000000-0006-0000-0300-00002F20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0" authorId="0" shapeId="0" xr:uid="{00000000-0006-0000-0300-000030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0" authorId="0" shapeId="0" xr:uid="{00000000-0006-0000-0300-00003120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0" authorId="0" shapeId="0" xr:uid="{00000000-0006-0000-0300-00003220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0" authorId="0" shapeId="0" xr:uid="{00000000-0006-0000-0300-00003320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0" authorId="0" shapeId="0" xr:uid="{00000000-0006-0000-0300-000034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0" authorId="0" shapeId="0" xr:uid="{00000000-0006-0000-0300-000035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0" authorId="0" shapeId="0" xr:uid="{00000000-0006-0000-0300-00003620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0" authorId="0" shapeId="0" xr:uid="{00000000-0006-0000-0300-00003720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0" authorId="0" shapeId="0" xr:uid="{00000000-0006-0000-0300-000038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0" authorId="0" shapeId="0" xr:uid="{00000000-0006-0000-0300-0000392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0" authorId="0" shapeId="0" xr:uid="{00000000-0006-0000-0300-00003A20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0" authorId="0" shapeId="0" xr:uid="{00000000-0006-0000-0300-00003B20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0" authorId="0" shapeId="0" xr:uid="{00000000-0006-0000-0300-00003C20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40" authorId="0" shapeId="0" xr:uid="{00000000-0006-0000-0300-00003D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40" authorId="0" shapeId="0" xr:uid="{00000000-0006-0000-0300-00003E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0" authorId="0" shapeId="0" xr:uid="{00000000-0006-0000-0300-00003F20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0" authorId="0" shapeId="0" xr:uid="{00000000-0006-0000-0300-00004020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0" authorId="0" shapeId="0" xr:uid="{00000000-0006-0000-0300-00004120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40" authorId="0" shapeId="0" xr:uid="{00000000-0006-0000-0300-00004220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0" authorId="0" shapeId="0" xr:uid="{00000000-0006-0000-0300-00004320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0" authorId="0" shapeId="0" xr:uid="{00000000-0006-0000-0300-000044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0" authorId="0" shapeId="0" xr:uid="{00000000-0006-0000-0300-000045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0" authorId="0" shapeId="0" xr:uid="{00000000-0006-0000-0300-000046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0" authorId="0" shapeId="0" xr:uid="{00000000-0006-0000-0300-000047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0" authorId="0" shapeId="0" xr:uid="{00000000-0006-0000-0300-000048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0" authorId="0" shapeId="0" xr:uid="{00000000-0006-0000-0300-000049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0" authorId="0" shapeId="0" xr:uid="{00000000-0006-0000-0300-00004A20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0" authorId="0" shapeId="0" xr:uid="{00000000-0006-0000-0300-00004B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0" authorId="0" shapeId="0" xr:uid="{00000000-0006-0000-0300-00004C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0" authorId="0" shapeId="0" xr:uid="{00000000-0006-0000-0300-00004D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0" authorId="0" shapeId="0" xr:uid="{00000000-0006-0000-0300-00004E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0" authorId="0" shapeId="0" xr:uid="{00000000-0006-0000-0300-00004F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0" authorId="0" shapeId="0" xr:uid="{00000000-0006-0000-0300-00005020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0" authorId="0" shapeId="0" xr:uid="{00000000-0006-0000-0300-000051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0" authorId="0" shapeId="0" xr:uid="{00000000-0006-0000-0300-00005220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0" authorId="0" shapeId="0" xr:uid="{00000000-0006-0000-0300-000053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0" authorId="0" shapeId="0" xr:uid="{00000000-0006-0000-0300-00005420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0" authorId="0" shapeId="0" xr:uid="{00000000-0006-0000-0300-000055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0" authorId="0" shapeId="0" xr:uid="{00000000-0006-0000-0300-00005620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F140" authorId="0" shapeId="0" xr:uid="{00000000-0006-0000-0300-000057200000}">
      <text>
        <r>
          <rPr>
            <sz val="9"/>
            <color indexed="81"/>
            <rFont val="Tahoma"/>
            <charset val="1"/>
          </rPr>
          <t>Stability=,Expiration=9/30/2018</t>
        </r>
      </text>
    </comment>
    <comment ref="BG140" authorId="0" shapeId="0" xr:uid="{00000000-0006-0000-0300-00005820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0" authorId="0" shapeId="0" xr:uid="{00000000-0006-0000-0300-00005920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0" authorId="0" shapeId="0" xr:uid="{00000000-0006-0000-0300-00005A20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0" authorId="0" shapeId="0" xr:uid="{00000000-0006-0000-0300-00005B20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0" authorId="0" shapeId="0" xr:uid="{00000000-0006-0000-0300-00005C20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0" authorId="0" shapeId="0" xr:uid="{00000000-0006-0000-0300-00005D20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0" authorId="0" shapeId="0" xr:uid="{00000000-0006-0000-0300-00005E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0" authorId="0" shapeId="0" xr:uid="{00000000-0006-0000-0300-00005F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0" authorId="0" shapeId="0" xr:uid="{00000000-0006-0000-0300-0000602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0" authorId="0" shapeId="0" xr:uid="{00000000-0006-0000-0300-0000612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0" authorId="0" shapeId="0" xr:uid="{00000000-0006-0000-0300-000062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0" authorId="0" shapeId="0" xr:uid="{00000000-0006-0000-0300-000063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0" authorId="0" shapeId="0" xr:uid="{00000000-0006-0000-0300-000064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0" authorId="0" shapeId="0" xr:uid="{00000000-0006-0000-0300-00006520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0" authorId="0" shapeId="0" xr:uid="{00000000-0006-0000-0300-0000662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1" authorId="0" shapeId="0" xr:uid="{00000000-0006-0000-0300-000067200000}">
      <text>
        <r>
          <rPr>
            <sz val="9"/>
            <color indexed="81"/>
            <rFont val="Tahoma"/>
            <charset val="1"/>
          </rPr>
          <t>Date macro run: 6/20/2018 10:41:01 PM</t>
        </r>
      </text>
    </comment>
    <comment ref="B141" authorId="0" shapeId="0" xr:uid="{00000000-0006-0000-0300-0000682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1" authorId="0" shapeId="0" xr:uid="{00000000-0006-0000-0300-00006920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1" authorId="0" shapeId="0" xr:uid="{00000000-0006-0000-0300-00006A20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1" authorId="0" shapeId="0" xr:uid="{00000000-0006-0000-0300-00006B20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1" authorId="0" shapeId="0" xr:uid="{00000000-0006-0000-0300-00006C20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1" authorId="0" shapeId="0" xr:uid="{00000000-0006-0000-0300-00006D20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1" authorId="0" shapeId="0" xr:uid="{00000000-0006-0000-0300-00006E20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1" authorId="0" shapeId="0" xr:uid="{00000000-0006-0000-0300-00006F20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1" authorId="0" shapeId="0" xr:uid="{00000000-0006-0000-0300-00007020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1" authorId="0" shapeId="0" xr:uid="{00000000-0006-0000-0300-00007120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1" authorId="0" shapeId="0" xr:uid="{00000000-0006-0000-0300-00007220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1" authorId="0" shapeId="0" xr:uid="{00000000-0006-0000-0300-00007320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1" authorId="0" shapeId="0" xr:uid="{00000000-0006-0000-0300-00007420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1" authorId="0" shapeId="0" xr:uid="{00000000-0006-0000-0300-00007520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1" authorId="0" shapeId="0" xr:uid="{00000000-0006-0000-0300-00007620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1" authorId="0" shapeId="0" xr:uid="{00000000-0006-0000-0300-000077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1" authorId="0" shapeId="0" xr:uid="{00000000-0006-0000-0300-00007820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1" authorId="0" shapeId="0" xr:uid="{00000000-0006-0000-0300-00007920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1" authorId="0" shapeId="0" xr:uid="{00000000-0006-0000-0300-00007A20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1" authorId="0" shapeId="0" xr:uid="{00000000-0006-0000-0300-00007B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1" authorId="0" shapeId="0" xr:uid="{00000000-0006-0000-0300-00007C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1" authorId="0" shapeId="0" xr:uid="{00000000-0006-0000-0300-00007D20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1" authorId="0" shapeId="0" xr:uid="{00000000-0006-0000-0300-00007E20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1" authorId="0" shapeId="0" xr:uid="{00000000-0006-0000-0300-00007F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1" authorId="0" shapeId="0" xr:uid="{00000000-0006-0000-0300-0000802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1" authorId="0" shapeId="0" xr:uid="{00000000-0006-0000-0300-00008120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1" authorId="0" shapeId="0" xr:uid="{00000000-0006-0000-0300-00008220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1" authorId="0" shapeId="0" xr:uid="{00000000-0006-0000-0300-00008320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D141" authorId="0" shapeId="0" xr:uid="{00000000-0006-0000-0300-000084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AE141" authorId="0" shapeId="0" xr:uid="{00000000-0006-0000-0300-000085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1" authorId="0" shapeId="0" xr:uid="{00000000-0006-0000-0300-00008620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1" authorId="0" shapeId="0" xr:uid="{00000000-0006-0000-0300-00008720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1" authorId="0" shapeId="0" xr:uid="{00000000-0006-0000-0300-00008820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41" authorId="0" shapeId="0" xr:uid="{00000000-0006-0000-0300-00008920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1" authorId="0" shapeId="0" xr:uid="{00000000-0006-0000-0300-00008A20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1" authorId="0" shapeId="0" xr:uid="{00000000-0006-0000-0300-00008B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1" authorId="0" shapeId="0" xr:uid="{00000000-0006-0000-0300-00008C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1" authorId="0" shapeId="0" xr:uid="{00000000-0006-0000-0300-00008D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1" authorId="0" shapeId="0" xr:uid="{00000000-0006-0000-0300-00008E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1" authorId="0" shapeId="0" xr:uid="{00000000-0006-0000-0300-00008F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1" authorId="0" shapeId="0" xr:uid="{00000000-0006-0000-0300-000090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1" authorId="0" shapeId="0" xr:uid="{00000000-0006-0000-0300-00009120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1" authorId="0" shapeId="0" xr:uid="{00000000-0006-0000-0300-000092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1" authorId="0" shapeId="0" xr:uid="{00000000-0006-0000-0300-000093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1" authorId="0" shapeId="0" xr:uid="{00000000-0006-0000-0300-000094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1" authorId="0" shapeId="0" xr:uid="{00000000-0006-0000-0300-000095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1" authorId="0" shapeId="0" xr:uid="{00000000-0006-0000-0300-000096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1" authorId="0" shapeId="0" xr:uid="{00000000-0006-0000-0300-00009720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1" authorId="0" shapeId="0" xr:uid="{00000000-0006-0000-0300-000098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1" authorId="0" shapeId="0" xr:uid="{00000000-0006-0000-0300-00009920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1" authorId="0" shapeId="0" xr:uid="{00000000-0006-0000-0300-00009A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1" authorId="0" shapeId="0" xr:uid="{00000000-0006-0000-0300-00009B20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1" authorId="0" shapeId="0" xr:uid="{00000000-0006-0000-0300-00009C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1" authorId="0" shapeId="0" xr:uid="{00000000-0006-0000-0300-00009D20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1" authorId="0" shapeId="0" xr:uid="{00000000-0006-0000-0300-00009E20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1" authorId="0" shapeId="0" xr:uid="{00000000-0006-0000-0300-00009F20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1" authorId="0" shapeId="0" xr:uid="{00000000-0006-0000-0300-0000A020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1" authorId="0" shapeId="0" xr:uid="{00000000-0006-0000-0300-0000A120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1" authorId="0" shapeId="0" xr:uid="{00000000-0006-0000-0300-0000A220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1" authorId="0" shapeId="0" xr:uid="{00000000-0006-0000-0300-0000A320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1" authorId="0" shapeId="0" xr:uid="{00000000-0006-0000-0300-0000A4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1" authorId="0" shapeId="0" xr:uid="{00000000-0006-0000-0300-0000A5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1" authorId="0" shapeId="0" xr:uid="{00000000-0006-0000-0300-0000A62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1" authorId="0" shapeId="0" xr:uid="{00000000-0006-0000-0300-0000A72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1" authorId="0" shapeId="0" xr:uid="{00000000-0006-0000-0300-0000A8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1" authorId="0" shapeId="0" xr:uid="{00000000-0006-0000-0300-0000A9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1" authorId="0" shapeId="0" xr:uid="{00000000-0006-0000-0300-0000AA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1" authorId="0" shapeId="0" xr:uid="{00000000-0006-0000-0300-0000AB20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1" authorId="0" shapeId="0" xr:uid="{00000000-0006-0000-0300-0000AC2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2" authorId="0" shapeId="0" xr:uid="{00000000-0006-0000-0300-0000AD200000}">
      <text>
        <r>
          <rPr>
            <sz val="9"/>
            <color indexed="81"/>
            <rFont val="Tahoma"/>
            <charset val="1"/>
          </rPr>
          <t>Date macro run: 6/22/2018 9:08:22 PM</t>
        </r>
      </text>
    </comment>
    <comment ref="B142" authorId="0" shapeId="0" xr:uid="{00000000-0006-0000-0300-0000AE2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2" authorId="0" shapeId="0" xr:uid="{00000000-0006-0000-0300-0000AF20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2" authorId="0" shapeId="0" xr:uid="{00000000-0006-0000-0300-0000B020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2" authorId="0" shapeId="0" xr:uid="{00000000-0006-0000-0300-0000B120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2" authorId="0" shapeId="0" xr:uid="{00000000-0006-0000-0300-0000B220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2" authorId="0" shapeId="0" xr:uid="{00000000-0006-0000-0300-0000B320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2" authorId="0" shapeId="0" xr:uid="{00000000-0006-0000-0300-0000B420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2" authorId="0" shapeId="0" xr:uid="{00000000-0006-0000-0300-0000B520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2" authorId="0" shapeId="0" xr:uid="{00000000-0006-0000-0300-0000B620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2" authorId="0" shapeId="0" xr:uid="{00000000-0006-0000-0300-0000B720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2" authorId="0" shapeId="0" xr:uid="{00000000-0006-0000-0300-0000B820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2" authorId="0" shapeId="0" xr:uid="{00000000-0006-0000-0300-0000B920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2" authorId="0" shapeId="0" xr:uid="{00000000-0006-0000-0300-0000BA20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2" authorId="0" shapeId="0" xr:uid="{00000000-0006-0000-0300-0000BB20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2" authorId="0" shapeId="0" xr:uid="{00000000-0006-0000-0300-0000BC20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2" authorId="0" shapeId="0" xr:uid="{00000000-0006-0000-0300-0000BD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2" authorId="0" shapeId="0" xr:uid="{00000000-0006-0000-0300-0000BE20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2" authorId="0" shapeId="0" xr:uid="{00000000-0006-0000-0300-0000BF20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2" authorId="0" shapeId="0" xr:uid="{00000000-0006-0000-0300-0000C020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2" authorId="0" shapeId="0" xr:uid="{00000000-0006-0000-0300-0000C1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2" authorId="0" shapeId="0" xr:uid="{00000000-0006-0000-0300-0000C220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2" authorId="0" shapeId="0" xr:uid="{00000000-0006-0000-0300-0000C320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2" authorId="0" shapeId="0" xr:uid="{00000000-0006-0000-0300-0000C420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2" authorId="0" shapeId="0" xr:uid="{00000000-0006-0000-0300-0000C520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2" authorId="0" shapeId="0" xr:uid="{00000000-0006-0000-0300-0000C620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2" authorId="0" shapeId="0" xr:uid="{00000000-0006-0000-0300-0000C720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2" authorId="0" shapeId="0" xr:uid="{00000000-0006-0000-0300-0000C820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2" authorId="0" shapeId="0" xr:uid="{00000000-0006-0000-0300-0000C920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2" authorId="0" shapeId="0" xr:uid="{00000000-0006-0000-0300-0000CA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2" authorId="0" shapeId="0" xr:uid="{00000000-0006-0000-0300-0000CB20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2" authorId="0" shapeId="0" xr:uid="{00000000-0006-0000-0300-0000CC20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2" authorId="0" shapeId="0" xr:uid="{00000000-0006-0000-0300-0000CD20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42" authorId="0" shapeId="0" xr:uid="{00000000-0006-0000-0300-0000CE20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2" authorId="0" shapeId="0" xr:uid="{00000000-0006-0000-0300-0000CF20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2" authorId="0" shapeId="0" xr:uid="{00000000-0006-0000-0300-0000D0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2" authorId="0" shapeId="0" xr:uid="{00000000-0006-0000-0300-0000D1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2" authorId="0" shapeId="0" xr:uid="{00000000-0006-0000-0300-0000D2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2" authorId="0" shapeId="0" xr:uid="{00000000-0006-0000-0300-0000D3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2" authorId="0" shapeId="0" xr:uid="{00000000-0006-0000-0300-0000D4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2" authorId="0" shapeId="0" xr:uid="{00000000-0006-0000-0300-0000D5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2" authorId="0" shapeId="0" xr:uid="{00000000-0006-0000-0300-0000D620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2" authorId="0" shapeId="0" xr:uid="{00000000-0006-0000-0300-0000D7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2" authorId="0" shapeId="0" xr:uid="{00000000-0006-0000-0300-0000D8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2" authorId="0" shapeId="0" xr:uid="{00000000-0006-0000-0300-0000D9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2" authorId="0" shapeId="0" xr:uid="{00000000-0006-0000-0300-0000DA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2" authorId="0" shapeId="0" xr:uid="{00000000-0006-0000-0300-0000DB20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2" authorId="0" shapeId="0" xr:uid="{00000000-0006-0000-0300-0000DC20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2" authorId="0" shapeId="0" xr:uid="{00000000-0006-0000-0300-0000DD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2" authorId="0" shapeId="0" xr:uid="{00000000-0006-0000-0300-0000DE20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2" authorId="0" shapeId="0" xr:uid="{00000000-0006-0000-0300-0000DF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2" authorId="0" shapeId="0" xr:uid="{00000000-0006-0000-0300-0000E020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2" authorId="0" shapeId="0" xr:uid="{00000000-0006-0000-0300-0000E1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2" authorId="0" shapeId="0" xr:uid="{00000000-0006-0000-0300-0000E220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2" authorId="0" shapeId="0" xr:uid="{00000000-0006-0000-0300-0000E320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2" authorId="0" shapeId="0" xr:uid="{00000000-0006-0000-0300-0000E420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2" authorId="0" shapeId="0" xr:uid="{00000000-0006-0000-0300-0000E520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2" authorId="0" shapeId="0" xr:uid="{00000000-0006-0000-0300-0000E620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2" authorId="0" shapeId="0" xr:uid="{00000000-0006-0000-0300-0000E720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2" authorId="0" shapeId="0" xr:uid="{00000000-0006-0000-0300-0000E820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2" authorId="0" shapeId="0" xr:uid="{00000000-0006-0000-0300-0000E9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2" authorId="0" shapeId="0" xr:uid="{00000000-0006-0000-0300-0000EA20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2" authorId="0" shapeId="0" xr:uid="{00000000-0006-0000-0300-0000EB20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2" authorId="0" shapeId="0" xr:uid="{00000000-0006-0000-0300-0000EC20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2" authorId="0" shapeId="0" xr:uid="{00000000-0006-0000-0300-0000ED20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2" authorId="0" shapeId="0" xr:uid="{00000000-0006-0000-0300-0000EE20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2" authorId="0" shapeId="0" xr:uid="{00000000-0006-0000-0300-0000EF20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2" authorId="0" shapeId="0" xr:uid="{00000000-0006-0000-0300-0000F020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2" authorId="0" shapeId="0" xr:uid="{00000000-0006-0000-0300-0000F120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3" authorId="0" shapeId="0" xr:uid="{00000000-0006-0000-0300-0000F2200000}">
      <text>
        <r>
          <rPr>
            <sz val="9"/>
            <color indexed="81"/>
            <rFont val="Tahoma"/>
            <charset val="1"/>
          </rPr>
          <t>Date macro run: 6/22/2018 9:12:29 PM</t>
        </r>
      </text>
    </comment>
    <comment ref="B143" authorId="0" shapeId="0" xr:uid="{00000000-0006-0000-0300-0000F320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3" authorId="0" shapeId="0" xr:uid="{00000000-0006-0000-0300-0000F420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3" authorId="0" shapeId="0" xr:uid="{00000000-0006-0000-0300-0000F520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3" authorId="0" shapeId="0" xr:uid="{00000000-0006-0000-0300-0000F620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3" authorId="0" shapeId="0" xr:uid="{00000000-0006-0000-0300-0000F720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3" authorId="0" shapeId="0" xr:uid="{00000000-0006-0000-0300-0000F820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3" authorId="0" shapeId="0" xr:uid="{00000000-0006-0000-0300-0000F920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3" authorId="0" shapeId="0" xr:uid="{00000000-0006-0000-0300-0000FA20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3" authorId="0" shapeId="0" xr:uid="{00000000-0006-0000-0300-0000FB20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3" authorId="0" shapeId="0" xr:uid="{00000000-0006-0000-0300-0000FC20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3" authorId="0" shapeId="0" xr:uid="{00000000-0006-0000-0300-0000FD20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3" authorId="0" shapeId="0" xr:uid="{00000000-0006-0000-0300-0000FE20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3" authorId="0" shapeId="0" xr:uid="{00000000-0006-0000-0300-0000FF20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3" authorId="0" shapeId="0" xr:uid="{00000000-0006-0000-0300-00000021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3" authorId="0" shapeId="0" xr:uid="{00000000-0006-0000-0300-00000121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3" authorId="0" shapeId="0" xr:uid="{00000000-0006-0000-0300-000002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3" authorId="0" shapeId="0" xr:uid="{00000000-0006-0000-0300-00000321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3" authorId="0" shapeId="0" xr:uid="{00000000-0006-0000-0300-00000421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3" authorId="0" shapeId="0" xr:uid="{00000000-0006-0000-0300-00000521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3" authorId="0" shapeId="0" xr:uid="{00000000-0006-0000-0300-000006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3" authorId="0" shapeId="0" xr:uid="{00000000-0006-0000-0300-00000721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3" authorId="0" shapeId="0" xr:uid="{00000000-0006-0000-0300-00000821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3" authorId="0" shapeId="0" xr:uid="{00000000-0006-0000-0300-00000921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3" authorId="0" shapeId="0" xr:uid="{00000000-0006-0000-0300-00000A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3" authorId="0" shapeId="0" xr:uid="{00000000-0006-0000-0300-00000B2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3" authorId="0" shapeId="0" xr:uid="{00000000-0006-0000-0300-00000C21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3" authorId="0" shapeId="0" xr:uid="{00000000-0006-0000-0300-00000D21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3" authorId="0" shapeId="0" xr:uid="{00000000-0006-0000-0300-00000E21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3" authorId="0" shapeId="0" xr:uid="{00000000-0006-0000-0300-00000F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3" authorId="0" shapeId="0" xr:uid="{00000000-0006-0000-0300-00001021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3" authorId="0" shapeId="0" xr:uid="{00000000-0006-0000-0300-00001121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3" authorId="0" shapeId="0" xr:uid="{00000000-0006-0000-0300-000012210000}">
      <text>
        <r>
          <rPr>
            <sz val="9"/>
            <color indexed="81"/>
            <rFont val="Tahoma"/>
            <charset val="1"/>
          </rPr>
          <t>Stability=,Expiration=12/6/2018</t>
        </r>
      </text>
    </comment>
    <comment ref="AI143" authorId="0" shapeId="0" xr:uid="{00000000-0006-0000-0300-00001321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3" authorId="0" shapeId="0" xr:uid="{00000000-0006-0000-0300-00001421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3" authorId="0" shapeId="0" xr:uid="{00000000-0006-0000-0300-000015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3" authorId="0" shapeId="0" xr:uid="{00000000-0006-0000-0300-000016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3" authorId="0" shapeId="0" xr:uid="{00000000-0006-0000-0300-000017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3" authorId="0" shapeId="0" xr:uid="{00000000-0006-0000-0300-000018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3" authorId="0" shapeId="0" xr:uid="{00000000-0006-0000-0300-000019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3" authorId="0" shapeId="0" xr:uid="{00000000-0006-0000-0300-00001A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3" authorId="0" shapeId="0" xr:uid="{00000000-0006-0000-0300-00001B21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3" authorId="0" shapeId="0" xr:uid="{00000000-0006-0000-0300-00001C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3" authorId="0" shapeId="0" xr:uid="{00000000-0006-0000-0300-00001D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3" authorId="0" shapeId="0" xr:uid="{00000000-0006-0000-0300-00001E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3" authorId="0" shapeId="0" xr:uid="{00000000-0006-0000-0300-00001F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3" authorId="0" shapeId="0" xr:uid="{00000000-0006-0000-0300-000020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3" authorId="0" shapeId="0" xr:uid="{00000000-0006-0000-0300-00002121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3" authorId="0" shapeId="0" xr:uid="{00000000-0006-0000-0300-000022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3" authorId="0" shapeId="0" xr:uid="{00000000-0006-0000-0300-00002321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3" authorId="0" shapeId="0" xr:uid="{00000000-0006-0000-0300-000024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3" authorId="0" shapeId="0" xr:uid="{00000000-0006-0000-0300-00002521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3" authorId="0" shapeId="0" xr:uid="{00000000-0006-0000-0300-000026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3" authorId="0" shapeId="0" xr:uid="{00000000-0006-0000-0300-00002721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3" authorId="0" shapeId="0" xr:uid="{00000000-0006-0000-0300-00002821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3" authorId="0" shapeId="0" xr:uid="{00000000-0006-0000-0300-00002921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3" authorId="0" shapeId="0" xr:uid="{00000000-0006-0000-0300-00002A21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3" authorId="0" shapeId="0" xr:uid="{00000000-0006-0000-0300-00002B21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3" authorId="0" shapeId="0" xr:uid="{00000000-0006-0000-0300-00002C21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3" authorId="0" shapeId="0" xr:uid="{00000000-0006-0000-0300-00002D21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3" authorId="0" shapeId="0" xr:uid="{00000000-0006-0000-0300-00002E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3" authorId="0" shapeId="0" xr:uid="{00000000-0006-0000-0300-00002F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3" authorId="0" shapeId="0" xr:uid="{00000000-0006-0000-0300-0000302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3" authorId="0" shapeId="0" xr:uid="{00000000-0006-0000-0300-0000312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3" authorId="0" shapeId="0" xr:uid="{00000000-0006-0000-0300-000032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3" authorId="0" shapeId="0" xr:uid="{00000000-0006-0000-0300-000033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3" authorId="0" shapeId="0" xr:uid="{00000000-0006-0000-0300-000034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3" authorId="0" shapeId="0" xr:uid="{00000000-0006-0000-0300-00003521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3" authorId="0" shapeId="0" xr:uid="{00000000-0006-0000-0300-0000362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4" authorId="0" shapeId="0" xr:uid="{00000000-0006-0000-0300-000037210000}">
      <text>
        <r>
          <rPr>
            <sz val="9"/>
            <color indexed="81"/>
            <rFont val="Tahoma"/>
            <charset val="1"/>
          </rPr>
          <t>Date macro run: 6/25/2018 10:01:07 PM</t>
        </r>
      </text>
    </comment>
    <comment ref="B144" authorId="0" shapeId="0" xr:uid="{00000000-0006-0000-0300-0000382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4" authorId="0" shapeId="0" xr:uid="{00000000-0006-0000-0300-00003921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4" authorId="0" shapeId="0" xr:uid="{00000000-0006-0000-0300-00003A21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4" authorId="0" shapeId="0" xr:uid="{00000000-0006-0000-0300-00003B21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4" authorId="0" shapeId="0" xr:uid="{00000000-0006-0000-0300-00003C21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4" authorId="0" shapeId="0" xr:uid="{00000000-0006-0000-0300-00003D21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4" authorId="0" shapeId="0" xr:uid="{00000000-0006-0000-0300-00003E21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4" authorId="0" shapeId="0" xr:uid="{00000000-0006-0000-0300-00003F21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4" authorId="0" shapeId="0" xr:uid="{00000000-0006-0000-0300-00004021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4" authorId="0" shapeId="0" xr:uid="{00000000-0006-0000-0300-00004121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4" authorId="0" shapeId="0" xr:uid="{00000000-0006-0000-0300-00004221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4" authorId="0" shapeId="0" xr:uid="{00000000-0006-0000-0300-00004321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4" authorId="0" shapeId="0" xr:uid="{00000000-0006-0000-0300-00004421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4" authorId="0" shapeId="0" xr:uid="{00000000-0006-0000-0300-00004521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4" authorId="0" shapeId="0" xr:uid="{00000000-0006-0000-0300-00004621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4" authorId="0" shapeId="0" xr:uid="{00000000-0006-0000-0300-000047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4" authorId="0" shapeId="0" xr:uid="{00000000-0006-0000-0300-00004821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4" authorId="0" shapeId="0" xr:uid="{00000000-0006-0000-0300-00004921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4" authorId="0" shapeId="0" xr:uid="{00000000-0006-0000-0300-00004A21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4" authorId="0" shapeId="0" xr:uid="{00000000-0006-0000-0300-00004B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4" authorId="0" shapeId="0" xr:uid="{00000000-0006-0000-0300-00004C21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4" authorId="0" shapeId="0" xr:uid="{00000000-0006-0000-0300-00004D21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4" authorId="0" shapeId="0" xr:uid="{00000000-0006-0000-0300-00004E21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4" authorId="0" shapeId="0" xr:uid="{00000000-0006-0000-0300-00004F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4" authorId="0" shapeId="0" xr:uid="{00000000-0006-0000-0300-0000502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4" authorId="0" shapeId="0" xr:uid="{00000000-0006-0000-0300-00005121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4" authorId="0" shapeId="0" xr:uid="{00000000-0006-0000-0300-00005221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4" authorId="0" shapeId="0" xr:uid="{00000000-0006-0000-0300-00005321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4" authorId="0" shapeId="0" xr:uid="{00000000-0006-0000-0300-000054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4" authorId="0" shapeId="0" xr:uid="{00000000-0006-0000-0300-00005521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4" authorId="0" shapeId="0" xr:uid="{00000000-0006-0000-0300-00005621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4" authorId="0" shapeId="0" xr:uid="{00000000-0006-0000-0300-00005721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4" authorId="0" shapeId="0" xr:uid="{00000000-0006-0000-0300-00005821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4" authorId="0" shapeId="0" xr:uid="{00000000-0006-0000-0300-00005921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4" authorId="0" shapeId="0" xr:uid="{00000000-0006-0000-0300-00005A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4" authorId="0" shapeId="0" xr:uid="{00000000-0006-0000-0300-00005B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4" authorId="0" shapeId="0" xr:uid="{00000000-0006-0000-0300-00005C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4" authorId="0" shapeId="0" xr:uid="{00000000-0006-0000-0300-00005D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4" authorId="0" shapeId="0" xr:uid="{00000000-0006-0000-0300-00005E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4" authorId="0" shapeId="0" xr:uid="{00000000-0006-0000-0300-00005F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4" authorId="0" shapeId="0" xr:uid="{00000000-0006-0000-0300-00006021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4" authorId="0" shapeId="0" xr:uid="{00000000-0006-0000-0300-000061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4" authorId="0" shapeId="0" xr:uid="{00000000-0006-0000-0300-000062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4" authorId="0" shapeId="0" xr:uid="{00000000-0006-0000-0300-000063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4" authorId="0" shapeId="0" xr:uid="{00000000-0006-0000-0300-000064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4" authorId="0" shapeId="0" xr:uid="{00000000-0006-0000-0300-000065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4" authorId="0" shapeId="0" xr:uid="{00000000-0006-0000-0300-00006621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4" authorId="0" shapeId="0" xr:uid="{00000000-0006-0000-0300-000067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4" authorId="0" shapeId="0" xr:uid="{00000000-0006-0000-0300-00006821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4" authorId="0" shapeId="0" xr:uid="{00000000-0006-0000-0300-000069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4" authorId="0" shapeId="0" xr:uid="{00000000-0006-0000-0300-00006A21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4" authorId="0" shapeId="0" xr:uid="{00000000-0006-0000-0300-00006B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4" authorId="0" shapeId="0" xr:uid="{00000000-0006-0000-0300-00006C21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4" authorId="0" shapeId="0" xr:uid="{00000000-0006-0000-0300-00006D21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4" authorId="0" shapeId="0" xr:uid="{00000000-0006-0000-0300-00006E21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4" authorId="0" shapeId="0" xr:uid="{00000000-0006-0000-0300-00006F21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4" authorId="0" shapeId="0" xr:uid="{00000000-0006-0000-0300-00007021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4" authorId="0" shapeId="0" xr:uid="{00000000-0006-0000-0300-00007121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4" authorId="0" shapeId="0" xr:uid="{00000000-0006-0000-0300-00007221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4" authorId="0" shapeId="0" xr:uid="{00000000-0006-0000-0300-000073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4" authorId="0" shapeId="0" xr:uid="{00000000-0006-0000-0300-000074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4" authorId="0" shapeId="0" xr:uid="{00000000-0006-0000-0300-0000752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4" authorId="0" shapeId="0" xr:uid="{00000000-0006-0000-0300-0000762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4" authorId="0" shapeId="0" xr:uid="{00000000-0006-0000-0300-000077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4" authorId="0" shapeId="0" xr:uid="{00000000-0006-0000-0300-000078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4" authorId="0" shapeId="0" xr:uid="{00000000-0006-0000-0300-000079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4" authorId="0" shapeId="0" xr:uid="{00000000-0006-0000-0300-00007A21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4" authorId="0" shapeId="0" xr:uid="{00000000-0006-0000-0300-00007B2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5" authorId="0" shapeId="0" xr:uid="{00000000-0006-0000-0300-00007C210000}">
      <text>
        <r>
          <rPr>
            <sz val="9"/>
            <color indexed="81"/>
            <rFont val="Tahoma"/>
            <charset val="1"/>
          </rPr>
          <t>Date macro run: 6/27/2018 10:12:58 PM</t>
        </r>
      </text>
    </comment>
    <comment ref="B145" authorId="0" shapeId="0" xr:uid="{00000000-0006-0000-0300-00007D2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5" authorId="0" shapeId="0" xr:uid="{00000000-0006-0000-0300-00007E21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5" authorId="0" shapeId="0" xr:uid="{00000000-0006-0000-0300-00007F21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5" authorId="0" shapeId="0" xr:uid="{00000000-0006-0000-0300-00008021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5" authorId="0" shapeId="0" xr:uid="{00000000-0006-0000-0300-00008121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5" authorId="0" shapeId="0" xr:uid="{00000000-0006-0000-0300-00008221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5" authorId="0" shapeId="0" xr:uid="{00000000-0006-0000-0300-00008321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5" authorId="0" shapeId="0" xr:uid="{00000000-0006-0000-0300-00008421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5" authorId="0" shapeId="0" xr:uid="{00000000-0006-0000-0300-00008521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5" authorId="0" shapeId="0" xr:uid="{00000000-0006-0000-0300-00008621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5" authorId="0" shapeId="0" xr:uid="{00000000-0006-0000-0300-00008721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5" authorId="0" shapeId="0" xr:uid="{00000000-0006-0000-0300-00008821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5" authorId="0" shapeId="0" xr:uid="{00000000-0006-0000-0300-00008921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5" authorId="0" shapeId="0" xr:uid="{00000000-0006-0000-0300-00008A21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5" authorId="0" shapeId="0" xr:uid="{00000000-0006-0000-0300-00008B21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5" authorId="0" shapeId="0" xr:uid="{00000000-0006-0000-0300-00008C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5" authorId="0" shapeId="0" xr:uid="{00000000-0006-0000-0300-00008D21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5" authorId="0" shapeId="0" xr:uid="{00000000-0006-0000-0300-00008E21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5" authorId="0" shapeId="0" xr:uid="{00000000-0006-0000-0300-00008F21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5" authorId="0" shapeId="0" xr:uid="{00000000-0006-0000-0300-000090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5" authorId="0" shapeId="0" xr:uid="{00000000-0006-0000-0300-00009121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5" authorId="0" shapeId="0" xr:uid="{00000000-0006-0000-0300-00009221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5" authorId="0" shapeId="0" xr:uid="{00000000-0006-0000-0300-00009321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5" authorId="0" shapeId="0" xr:uid="{00000000-0006-0000-0300-000094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5" authorId="0" shapeId="0" xr:uid="{00000000-0006-0000-0300-0000952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5" authorId="0" shapeId="0" xr:uid="{00000000-0006-0000-0300-00009621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5" authorId="0" shapeId="0" xr:uid="{00000000-0006-0000-0300-00009721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5" authorId="0" shapeId="0" xr:uid="{00000000-0006-0000-0300-00009821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5" authorId="0" shapeId="0" xr:uid="{00000000-0006-0000-0300-000099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5" authorId="0" shapeId="0" xr:uid="{00000000-0006-0000-0300-00009A21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5" authorId="0" shapeId="0" xr:uid="{00000000-0006-0000-0300-00009B21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5" authorId="0" shapeId="0" xr:uid="{00000000-0006-0000-0300-00009C21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5" authorId="0" shapeId="0" xr:uid="{00000000-0006-0000-0300-00009D21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5" authorId="0" shapeId="0" xr:uid="{00000000-0006-0000-0300-00009E21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5" authorId="0" shapeId="0" xr:uid="{00000000-0006-0000-0300-00009F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5" authorId="0" shapeId="0" xr:uid="{00000000-0006-0000-0300-0000A0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5" authorId="0" shapeId="0" xr:uid="{00000000-0006-0000-0300-0000A1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5" authorId="0" shapeId="0" xr:uid="{00000000-0006-0000-0300-0000A2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5" authorId="0" shapeId="0" xr:uid="{00000000-0006-0000-0300-0000A3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5" authorId="0" shapeId="0" xr:uid="{00000000-0006-0000-0300-0000A4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5" authorId="0" shapeId="0" xr:uid="{00000000-0006-0000-0300-0000A521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5" authorId="0" shapeId="0" xr:uid="{00000000-0006-0000-0300-0000A6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5" authorId="0" shapeId="0" xr:uid="{00000000-0006-0000-0300-0000A7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5" authorId="0" shapeId="0" xr:uid="{00000000-0006-0000-0300-0000A8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5" authorId="0" shapeId="0" xr:uid="{00000000-0006-0000-0300-0000A9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5" authorId="0" shapeId="0" xr:uid="{00000000-0006-0000-0300-0000AA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5" authorId="0" shapeId="0" xr:uid="{00000000-0006-0000-0300-0000AB21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5" authorId="0" shapeId="0" xr:uid="{00000000-0006-0000-0300-0000AC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5" authorId="0" shapeId="0" xr:uid="{00000000-0006-0000-0300-0000AD21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5" authorId="0" shapeId="0" xr:uid="{00000000-0006-0000-0300-0000AE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5" authorId="0" shapeId="0" xr:uid="{00000000-0006-0000-0300-0000AF21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5" authorId="0" shapeId="0" xr:uid="{00000000-0006-0000-0300-0000B0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5" authorId="0" shapeId="0" xr:uid="{00000000-0006-0000-0300-0000B121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5" authorId="0" shapeId="0" xr:uid="{00000000-0006-0000-0300-0000B221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5" authorId="0" shapeId="0" xr:uid="{00000000-0006-0000-0300-0000B321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5" authorId="0" shapeId="0" xr:uid="{00000000-0006-0000-0300-0000B421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5" authorId="0" shapeId="0" xr:uid="{00000000-0006-0000-0300-0000B521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5" authorId="0" shapeId="0" xr:uid="{00000000-0006-0000-0300-0000B621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5" authorId="0" shapeId="0" xr:uid="{00000000-0006-0000-0300-0000B721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5" authorId="0" shapeId="0" xr:uid="{00000000-0006-0000-0300-0000B8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5" authorId="0" shapeId="0" xr:uid="{00000000-0006-0000-0300-0000B9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5" authorId="0" shapeId="0" xr:uid="{00000000-0006-0000-0300-0000BA2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5" authorId="0" shapeId="0" xr:uid="{00000000-0006-0000-0300-0000BB21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5" authorId="0" shapeId="0" xr:uid="{00000000-0006-0000-0300-0000BC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5" authorId="0" shapeId="0" xr:uid="{00000000-0006-0000-0300-0000BD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5" authorId="0" shapeId="0" xr:uid="{00000000-0006-0000-0300-0000BE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5" authorId="0" shapeId="0" xr:uid="{00000000-0006-0000-0300-0000BF21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5" authorId="0" shapeId="0" xr:uid="{00000000-0006-0000-0300-0000C021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6" authorId="0" shapeId="0" xr:uid="{00000000-0006-0000-0300-0000C1210000}">
      <text>
        <r>
          <rPr>
            <sz val="9"/>
            <color indexed="81"/>
            <rFont val="Tahoma"/>
            <charset val="1"/>
          </rPr>
          <t>Date macro run: 6/28/2018 9:10:13 PM</t>
        </r>
      </text>
    </comment>
    <comment ref="B146" authorId="0" shapeId="0" xr:uid="{00000000-0006-0000-0300-0000C221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6" authorId="0" shapeId="0" xr:uid="{00000000-0006-0000-0300-0000C321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6" authorId="0" shapeId="0" xr:uid="{00000000-0006-0000-0300-0000C421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6" authorId="0" shapeId="0" xr:uid="{00000000-0006-0000-0300-0000C521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6" authorId="0" shapeId="0" xr:uid="{00000000-0006-0000-0300-0000C621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6" authorId="0" shapeId="0" xr:uid="{00000000-0006-0000-0300-0000C721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6" authorId="0" shapeId="0" xr:uid="{00000000-0006-0000-0300-0000C821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6" authorId="0" shapeId="0" xr:uid="{00000000-0006-0000-0300-0000C921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6" authorId="0" shapeId="0" xr:uid="{00000000-0006-0000-0300-0000CA21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6" authorId="0" shapeId="0" xr:uid="{00000000-0006-0000-0300-0000CB21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6" authorId="0" shapeId="0" xr:uid="{00000000-0006-0000-0300-0000CC21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6" authorId="0" shapeId="0" xr:uid="{00000000-0006-0000-0300-0000CD21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6" authorId="0" shapeId="0" xr:uid="{00000000-0006-0000-0300-0000CE21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6" authorId="0" shapeId="0" xr:uid="{00000000-0006-0000-0300-0000CF21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6" authorId="0" shapeId="0" xr:uid="{00000000-0006-0000-0300-0000D021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6" authorId="0" shapeId="0" xr:uid="{00000000-0006-0000-0300-0000D121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6" authorId="0" shapeId="0" xr:uid="{00000000-0006-0000-0300-0000D221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6" authorId="0" shapeId="0" xr:uid="{00000000-0006-0000-0300-0000D321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6" authorId="0" shapeId="0" xr:uid="{00000000-0006-0000-0300-0000D421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6" authorId="0" shapeId="0" xr:uid="{00000000-0006-0000-0300-0000D5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6" authorId="0" shapeId="0" xr:uid="{00000000-0006-0000-0300-0000D621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6" authorId="0" shapeId="0" xr:uid="{00000000-0006-0000-0300-0000D721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6" authorId="0" shapeId="0" xr:uid="{00000000-0006-0000-0300-0000D821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6" authorId="0" shapeId="0" xr:uid="{00000000-0006-0000-0300-0000D921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6" authorId="0" shapeId="0" xr:uid="{00000000-0006-0000-0300-0000DA21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6" authorId="0" shapeId="0" xr:uid="{00000000-0006-0000-0300-0000DB21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6" authorId="0" shapeId="0" xr:uid="{00000000-0006-0000-0300-0000DC21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6" authorId="0" shapeId="0" xr:uid="{00000000-0006-0000-0300-0000DD21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6" authorId="0" shapeId="0" xr:uid="{00000000-0006-0000-0300-0000DE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6" authorId="0" shapeId="0" xr:uid="{00000000-0006-0000-0300-0000DF21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6" authorId="0" shapeId="0" xr:uid="{00000000-0006-0000-0300-0000E021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6" authorId="0" shapeId="0" xr:uid="{00000000-0006-0000-0300-0000E121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6" authorId="0" shapeId="0" xr:uid="{00000000-0006-0000-0300-0000E221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6" authorId="0" shapeId="0" xr:uid="{00000000-0006-0000-0300-0000E321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6" authorId="0" shapeId="0" xr:uid="{00000000-0006-0000-0300-0000E4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6" authorId="0" shapeId="0" xr:uid="{00000000-0006-0000-0300-0000E5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6" authorId="0" shapeId="0" xr:uid="{00000000-0006-0000-0300-0000E6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6" authorId="0" shapeId="0" xr:uid="{00000000-0006-0000-0300-0000E7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6" authorId="0" shapeId="0" xr:uid="{00000000-0006-0000-0300-0000E8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6" authorId="0" shapeId="0" xr:uid="{00000000-0006-0000-0300-0000E9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6" authorId="0" shapeId="0" xr:uid="{00000000-0006-0000-0300-0000EA21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6" authorId="0" shapeId="0" xr:uid="{00000000-0006-0000-0300-0000EB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6" authorId="0" shapeId="0" xr:uid="{00000000-0006-0000-0300-0000EC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6" authorId="0" shapeId="0" xr:uid="{00000000-0006-0000-0300-0000ED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6" authorId="0" shapeId="0" xr:uid="{00000000-0006-0000-0300-0000EE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6" authorId="0" shapeId="0" xr:uid="{00000000-0006-0000-0300-0000EF21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6" authorId="0" shapeId="0" xr:uid="{00000000-0006-0000-0300-0000F021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6" authorId="0" shapeId="0" xr:uid="{00000000-0006-0000-0300-0000F1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6" authorId="0" shapeId="0" xr:uid="{00000000-0006-0000-0300-0000F221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6" authorId="0" shapeId="0" xr:uid="{00000000-0006-0000-0300-0000F321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6" authorId="0" shapeId="0" xr:uid="{00000000-0006-0000-0300-0000F421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6" authorId="0" shapeId="0" xr:uid="{00000000-0006-0000-0300-0000F5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6" authorId="0" shapeId="0" xr:uid="{00000000-0006-0000-0300-0000F621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6" authorId="0" shapeId="0" xr:uid="{00000000-0006-0000-0300-0000F721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6" authorId="0" shapeId="0" xr:uid="{00000000-0006-0000-0300-0000F821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6" authorId="0" shapeId="0" xr:uid="{00000000-0006-0000-0300-0000F921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6" authorId="0" shapeId="0" xr:uid="{00000000-0006-0000-0300-0000FA21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6" authorId="0" shapeId="0" xr:uid="{00000000-0006-0000-0300-0000FB21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6" authorId="0" shapeId="0" xr:uid="{00000000-0006-0000-0300-0000FC21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6" authorId="0" shapeId="0" xr:uid="{00000000-0006-0000-0300-0000FD21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6" authorId="0" shapeId="0" xr:uid="{00000000-0006-0000-0300-0000FE21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6" authorId="0" shapeId="0" xr:uid="{00000000-0006-0000-0300-0000FF21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6" authorId="0" shapeId="0" xr:uid="{00000000-0006-0000-0300-0000002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6" authorId="0" shapeId="0" xr:uid="{00000000-0006-0000-0300-000001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6" authorId="0" shapeId="0" xr:uid="{00000000-0006-0000-0300-000002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6" authorId="0" shapeId="0" xr:uid="{00000000-0006-0000-0300-000003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6" authorId="0" shapeId="0" xr:uid="{00000000-0006-0000-0300-00000422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6" authorId="0" shapeId="0" xr:uid="{00000000-0006-0000-0300-0000052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7" authorId="0" shapeId="0" xr:uid="{00000000-0006-0000-0300-000006220000}">
      <text>
        <r>
          <rPr>
            <sz val="9"/>
            <color indexed="81"/>
            <rFont val="Tahoma"/>
            <charset val="1"/>
          </rPr>
          <t>Date macro run: 6/29/2018 5:43:35 PM</t>
        </r>
      </text>
    </comment>
    <comment ref="B147" authorId="0" shapeId="0" xr:uid="{00000000-0006-0000-0300-0000072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7" authorId="0" shapeId="0" xr:uid="{00000000-0006-0000-0300-00000822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7" authorId="0" shapeId="0" xr:uid="{00000000-0006-0000-0300-00000922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7" authorId="0" shapeId="0" xr:uid="{00000000-0006-0000-0300-00000A22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7" authorId="0" shapeId="0" xr:uid="{00000000-0006-0000-0300-00000B22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7" authorId="0" shapeId="0" xr:uid="{00000000-0006-0000-0300-00000C22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7" authorId="0" shapeId="0" xr:uid="{00000000-0006-0000-0300-00000D22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7" authorId="0" shapeId="0" xr:uid="{00000000-0006-0000-0300-00000E22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7" authorId="0" shapeId="0" xr:uid="{00000000-0006-0000-0300-00000F22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7" authorId="0" shapeId="0" xr:uid="{00000000-0006-0000-0300-00001022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7" authorId="0" shapeId="0" xr:uid="{00000000-0006-0000-0300-0000112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7" authorId="0" shapeId="0" xr:uid="{00000000-0006-0000-0300-00001222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7" authorId="0" shapeId="0" xr:uid="{00000000-0006-0000-0300-00001322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7" authorId="0" shapeId="0" xr:uid="{00000000-0006-0000-0300-00001422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7" authorId="0" shapeId="0" xr:uid="{00000000-0006-0000-0300-00001522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7" authorId="0" shapeId="0" xr:uid="{00000000-0006-0000-0300-000016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7" authorId="0" shapeId="0" xr:uid="{00000000-0006-0000-0300-00001722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7" authorId="0" shapeId="0" xr:uid="{00000000-0006-0000-0300-00001822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7" authorId="0" shapeId="0" xr:uid="{00000000-0006-0000-0300-00001922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7" authorId="0" shapeId="0" xr:uid="{00000000-0006-0000-0300-00001A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7" authorId="0" shapeId="0" xr:uid="{00000000-0006-0000-0300-00001B22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7" authorId="0" shapeId="0" xr:uid="{00000000-0006-0000-0300-00001C22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7" authorId="0" shapeId="0" xr:uid="{00000000-0006-0000-0300-00001D22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7" authorId="0" shapeId="0" xr:uid="{00000000-0006-0000-0300-00001E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7" authorId="0" shapeId="0" xr:uid="{00000000-0006-0000-0300-00001F2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7" authorId="0" shapeId="0" xr:uid="{00000000-0006-0000-0300-00002022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7" authorId="0" shapeId="0" xr:uid="{00000000-0006-0000-0300-0000212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7" authorId="0" shapeId="0" xr:uid="{00000000-0006-0000-0300-00002222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7" authorId="0" shapeId="0" xr:uid="{00000000-0006-0000-0300-000023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7" authorId="0" shapeId="0" xr:uid="{00000000-0006-0000-0300-00002422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7" authorId="0" shapeId="0" xr:uid="{00000000-0006-0000-0300-00002522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7" authorId="0" shapeId="0" xr:uid="{00000000-0006-0000-0300-00002622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7" authorId="0" shapeId="0" xr:uid="{00000000-0006-0000-0300-0000272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7" authorId="0" shapeId="0" xr:uid="{00000000-0006-0000-0300-00002822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7" authorId="0" shapeId="0" xr:uid="{00000000-0006-0000-0300-000029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7" authorId="0" shapeId="0" xr:uid="{00000000-0006-0000-0300-00002A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7" authorId="0" shapeId="0" xr:uid="{00000000-0006-0000-0300-00002B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7" authorId="0" shapeId="0" xr:uid="{00000000-0006-0000-0300-00002C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7" authorId="0" shapeId="0" xr:uid="{00000000-0006-0000-0300-00002D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7" authorId="0" shapeId="0" xr:uid="{00000000-0006-0000-0300-00002E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7" authorId="0" shapeId="0" xr:uid="{00000000-0006-0000-0300-00002F2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7" authorId="0" shapeId="0" xr:uid="{00000000-0006-0000-0300-000030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7" authorId="0" shapeId="0" xr:uid="{00000000-0006-0000-0300-000031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7" authorId="0" shapeId="0" xr:uid="{00000000-0006-0000-0300-000032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7" authorId="0" shapeId="0" xr:uid="{00000000-0006-0000-0300-000033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7" authorId="0" shapeId="0" xr:uid="{00000000-0006-0000-0300-000034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7" authorId="0" shapeId="0" xr:uid="{00000000-0006-0000-0300-00003522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7" authorId="0" shapeId="0" xr:uid="{00000000-0006-0000-0300-000036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7" authorId="0" shapeId="0" xr:uid="{00000000-0006-0000-0300-00003722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7" authorId="0" shapeId="0" xr:uid="{00000000-0006-0000-0300-000038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7" authorId="0" shapeId="0" xr:uid="{00000000-0006-0000-0300-00003922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7" authorId="0" shapeId="0" xr:uid="{00000000-0006-0000-0300-00003A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7" authorId="0" shapeId="0" xr:uid="{00000000-0006-0000-0300-00003B22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7" authorId="0" shapeId="0" xr:uid="{00000000-0006-0000-0300-00003C22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7" authorId="0" shapeId="0" xr:uid="{00000000-0006-0000-0300-00003D22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7" authorId="0" shapeId="0" xr:uid="{00000000-0006-0000-0300-00003E22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7" authorId="0" shapeId="0" xr:uid="{00000000-0006-0000-0300-00003F22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7" authorId="0" shapeId="0" xr:uid="{00000000-0006-0000-0300-00004022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7" authorId="0" shapeId="0" xr:uid="{00000000-0006-0000-0300-00004122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7" authorId="0" shapeId="0" xr:uid="{00000000-0006-0000-0300-000042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7" authorId="0" shapeId="0" xr:uid="{00000000-0006-0000-0300-000043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7" authorId="0" shapeId="0" xr:uid="{00000000-0006-0000-0300-0000442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7" authorId="0" shapeId="0" xr:uid="{00000000-0006-0000-0300-0000452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7" authorId="0" shapeId="0" xr:uid="{00000000-0006-0000-0300-000046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7" authorId="0" shapeId="0" xr:uid="{00000000-0006-0000-0300-000047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7" authorId="0" shapeId="0" xr:uid="{00000000-0006-0000-0300-000048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7" authorId="0" shapeId="0" xr:uid="{00000000-0006-0000-0300-00004922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7" authorId="0" shapeId="0" xr:uid="{00000000-0006-0000-0300-00004A2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8" authorId="0" shapeId="0" xr:uid="{00000000-0006-0000-0300-00004B220000}">
      <text>
        <r>
          <rPr>
            <sz val="9"/>
            <color indexed="81"/>
            <rFont val="Tahoma"/>
            <charset val="1"/>
          </rPr>
          <t>Date macro run: 7/2/2018 8:53:23 PM</t>
        </r>
      </text>
    </comment>
    <comment ref="B148" authorId="0" shapeId="0" xr:uid="{00000000-0006-0000-0300-00004C2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8" authorId="0" shapeId="0" xr:uid="{00000000-0006-0000-0300-00004D22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8" authorId="0" shapeId="0" xr:uid="{00000000-0006-0000-0300-00004E22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8" authorId="0" shapeId="0" xr:uid="{00000000-0006-0000-0300-00004F22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8" authorId="0" shapeId="0" xr:uid="{00000000-0006-0000-0300-00005022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8" authorId="0" shapeId="0" xr:uid="{00000000-0006-0000-0300-00005122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8" authorId="0" shapeId="0" xr:uid="{00000000-0006-0000-0300-00005222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8" authorId="0" shapeId="0" xr:uid="{00000000-0006-0000-0300-00005322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8" authorId="0" shapeId="0" xr:uid="{00000000-0006-0000-0300-00005422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8" authorId="0" shapeId="0" xr:uid="{00000000-0006-0000-0300-00005522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8" authorId="0" shapeId="0" xr:uid="{00000000-0006-0000-0300-0000562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8" authorId="0" shapeId="0" xr:uid="{00000000-0006-0000-0300-00005722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8" authorId="0" shapeId="0" xr:uid="{00000000-0006-0000-0300-00005822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8" authorId="0" shapeId="0" xr:uid="{00000000-0006-0000-0300-00005922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8" authorId="0" shapeId="0" xr:uid="{00000000-0006-0000-0300-00005A22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8" authorId="0" shapeId="0" xr:uid="{00000000-0006-0000-0300-00005B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8" authorId="0" shapeId="0" xr:uid="{00000000-0006-0000-0300-00005C22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8" authorId="0" shapeId="0" xr:uid="{00000000-0006-0000-0300-00005D22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8" authorId="0" shapeId="0" xr:uid="{00000000-0006-0000-0300-00005E22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8" authorId="0" shapeId="0" xr:uid="{00000000-0006-0000-0300-00005F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8" authorId="0" shapeId="0" xr:uid="{00000000-0006-0000-0300-00006022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8" authorId="0" shapeId="0" xr:uid="{00000000-0006-0000-0300-00006122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8" authorId="0" shapeId="0" xr:uid="{00000000-0006-0000-0300-00006222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8" authorId="0" shapeId="0" xr:uid="{00000000-0006-0000-0300-000063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8" authorId="0" shapeId="0" xr:uid="{00000000-0006-0000-0300-0000642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8" authorId="0" shapeId="0" xr:uid="{00000000-0006-0000-0300-00006522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8" authorId="0" shapeId="0" xr:uid="{00000000-0006-0000-0300-0000662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8" authorId="0" shapeId="0" xr:uid="{00000000-0006-0000-0300-00006722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8" authorId="0" shapeId="0" xr:uid="{00000000-0006-0000-0300-000068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8" authorId="0" shapeId="0" xr:uid="{00000000-0006-0000-0300-00006922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8" authorId="0" shapeId="0" xr:uid="{00000000-0006-0000-0300-00006A22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8" authorId="0" shapeId="0" xr:uid="{00000000-0006-0000-0300-00006B22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8" authorId="0" shapeId="0" xr:uid="{00000000-0006-0000-0300-00006C2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8" authorId="0" shapeId="0" xr:uid="{00000000-0006-0000-0300-00006D22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8" authorId="0" shapeId="0" xr:uid="{00000000-0006-0000-0300-00006E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8" authorId="0" shapeId="0" xr:uid="{00000000-0006-0000-0300-00006F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8" authorId="0" shapeId="0" xr:uid="{00000000-0006-0000-0300-000070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8" authorId="0" shapeId="0" xr:uid="{00000000-0006-0000-0300-000071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8" authorId="0" shapeId="0" xr:uid="{00000000-0006-0000-0300-000072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8" authorId="0" shapeId="0" xr:uid="{00000000-0006-0000-0300-000073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8" authorId="0" shapeId="0" xr:uid="{00000000-0006-0000-0300-0000742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8" authorId="0" shapeId="0" xr:uid="{00000000-0006-0000-0300-000075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8" authorId="0" shapeId="0" xr:uid="{00000000-0006-0000-0300-000076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8" authorId="0" shapeId="0" xr:uid="{00000000-0006-0000-0300-000077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8" authorId="0" shapeId="0" xr:uid="{00000000-0006-0000-0300-000078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8" authorId="0" shapeId="0" xr:uid="{00000000-0006-0000-0300-000079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8" authorId="0" shapeId="0" xr:uid="{00000000-0006-0000-0300-00007A22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8" authorId="0" shapeId="0" xr:uid="{00000000-0006-0000-0300-00007B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8" authorId="0" shapeId="0" xr:uid="{00000000-0006-0000-0300-00007C22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8" authorId="0" shapeId="0" xr:uid="{00000000-0006-0000-0300-00007D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8" authorId="0" shapeId="0" xr:uid="{00000000-0006-0000-0300-00007E22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8" authorId="0" shapeId="0" xr:uid="{00000000-0006-0000-0300-00007F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8" authorId="0" shapeId="0" xr:uid="{00000000-0006-0000-0300-00008022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8" authorId="0" shapeId="0" xr:uid="{00000000-0006-0000-0300-00008122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8" authorId="0" shapeId="0" xr:uid="{00000000-0006-0000-0300-00008222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8" authorId="0" shapeId="0" xr:uid="{00000000-0006-0000-0300-00008322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8" authorId="0" shapeId="0" xr:uid="{00000000-0006-0000-0300-00008422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8" authorId="0" shapeId="0" xr:uid="{00000000-0006-0000-0300-00008522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8" authorId="0" shapeId="0" xr:uid="{00000000-0006-0000-0300-00008622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8" authorId="0" shapeId="0" xr:uid="{00000000-0006-0000-0300-000087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8" authorId="0" shapeId="0" xr:uid="{00000000-0006-0000-0300-000088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8" authorId="0" shapeId="0" xr:uid="{00000000-0006-0000-0300-0000892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8" authorId="0" shapeId="0" xr:uid="{00000000-0006-0000-0300-00008A2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8" authorId="0" shapeId="0" xr:uid="{00000000-0006-0000-0300-00008B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8" authorId="0" shapeId="0" xr:uid="{00000000-0006-0000-0300-00008C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8" authorId="0" shapeId="0" xr:uid="{00000000-0006-0000-0300-00008D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8" authorId="0" shapeId="0" xr:uid="{00000000-0006-0000-0300-00008E22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8" authorId="0" shapeId="0" xr:uid="{00000000-0006-0000-0300-00008F2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49" authorId="0" shapeId="0" xr:uid="{00000000-0006-0000-0300-000090220000}">
      <text>
        <r>
          <rPr>
            <sz val="9"/>
            <color indexed="81"/>
            <rFont val="Tahoma"/>
            <charset val="1"/>
          </rPr>
          <t>Date macro run: 7/5/2018 6:50:16 PM</t>
        </r>
      </text>
    </comment>
    <comment ref="B149" authorId="0" shapeId="0" xr:uid="{00000000-0006-0000-0300-0000912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49" authorId="0" shapeId="0" xr:uid="{00000000-0006-0000-0300-00009222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49" authorId="0" shapeId="0" xr:uid="{00000000-0006-0000-0300-00009322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49" authorId="0" shapeId="0" xr:uid="{00000000-0006-0000-0300-00009422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49" authorId="0" shapeId="0" xr:uid="{00000000-0006-0000-0300-00009522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49" authorId="0" shapeId="0" xr:uid="{00000000-0006-0000-0300-00009622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49" authorId="0" shapeId="0" xr:uid="{00000000-0006-0000-0300-00009722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49" authorId="0" shapeId="0" xr:uid="{00000000-0006-0000-0300-00009822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49" authorId="0" shapeId="0" xr:uid="{00000000-0006-0000-0300-00009922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49" authorId="0" shapeId="0" xr:uid="{00000000-0006-0000-0300-00009A22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49" authorId="0" shapeId="0" xr:uid="{00000000-0006-0000-0300-00009B2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49" authorId="0" shapeId="0" xr:uid="{00000000-0006-0000-0300-00009C22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49" authorId="0" shapeId="0" xr:uid="{00000000-0006-0000-0300-00009D22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49" authorId="0" shapeId="0" xr:uid="{00000000-0006-0000-0300-00009E22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49" authorId="0" shapeId="0" xr:uid="{00000000-0006-0000-0300-00009F22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49" authorId="0" shapeId="0" xr:uid="{00000000-0006-0000-0300-0000A0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49" authorId="0" shapeId="0" xr:uid="{00000000-0006-0000-0300-0000A122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49" authorId="0" shapeId="0" xr:uid="{00000000-0006-0000-0300-0000A222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49" authorId="0" shapeId="0" xr:uid="{00000000-0006-0000-0300-0000A322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49" authorId="0" shapeId="0" xr:uid="{00000000-0006-0000-0300-0000A4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49" authorId="0" shapeId="0" xr:uid="{00000000-0006-0000-0300-0000A522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49" authorId="0" shapeId="0" xr:uid="{00000000-0006-0000-0300-0000A6220000}">
      <text>
        <r>
          <rPr>
            <sz val="9"/>
            <color indexed="81"/>
            <rFont val="Tahoma"/>
            <charset val="1"/>
          </rPr>
          <t>Stability=,Expiration=7/3/2018</t>
        </r>
      </text>
    </comment>
    <comment ref="X149" authorId="0" shapeId="0" xr:uid="{00000000-0006-0000-0300-0000A722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49" authorId="0" shapeId="0" xr:uid="{00000000-0006-0000-0300-0000A8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49" authorId="0" shapeId="0" xr:uid="{00000000-0006-0000-0300-0000A92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49" authorId="0" shapeId="0" xr:uid="{00000000-0006-0000-0300-0000AA22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49" authorId="0" shapeId="0" xr:uid="{00000000-0006-0000-0300-0000AB2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49" authorId="0" shapeId="0" xr:uid="{00000000-0006-0000-0300-0000AC22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49" authorId="0" shapeId="0" xr:uid="{00000000-0006-0000-0300-0000AD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49" authorId="0" shapeId="0" xr:uid="{00000000-0006-0000-0300-0000AE22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49" authorId="0" shapeId="0" xr:uid="{00000000-0006-0000-0300-0000AF22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49" authorId="0" shapeId="0" xr:uid="{00000000-0006-0000-0300-0000B022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49" authorId="0" shapeId="0" xr:uid="{00000000-0006-0000-0300-0000B12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49" authorId="0" shapeId="0" xr:uid="{00000000-0006-0000-0300-0000B222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49" authorId="0" shapeId="0" xr:uid="{00000000-0006-0000-0300-0000B3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49" authorId="0" shapeId="0" xr:uid="{00000000-0006-0000-0300-0000B4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49" authorId="0" shapeId="0" xr:uid="{00000000-0006-0000-0300-0000B5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49" authorId="0" shapeId="0" xr:uid="{00000000-0006-0000-0300-0000B6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49" authorId="0" shapeId="0" xr:uid="{00000000-0006-0000-0300-0000B7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49" authorId="0" shapeId="0" xr:uid="{00000000-0006-0000-0300-0000B8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49" authorId="0" shapeId="0" xr:uid="{00000000-0006-0000-0300-0000B92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49" authorId="0" shapeId="0" xr:uid="{00000000-0006-0000-0300-0000BA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49" authorId="0" shapeId="0" xr:uid="{00000000-0006-0000-0300-0000BB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49" authorId="0" shapeId="0" xr:uid="{00000000-0006-0000-0300-0000BC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49" authorId="0" shapeId="0" xr:uid="{00000000-0006-0000-0300-0000BD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49" authorId="0" shapeId="0" xr:uid="{00000000-0006-0000-0300-0000BE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49" authorId="0" shapeId="0" xr:uid="{00000000-0006-0000-0300-0000BF22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49" authorId="0" shapeId="0" xr:uid="{00000000-0006-0000-0300-0000C0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49" authorId="0" shapeId="0" xr:uid="{00000000-0006-0000-0300-0000C122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49" authorId="0" shapeId="0" xr:uid="{00000000-0006-0000-0300-0000C2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49" authorId="0" shapeId="0" xr:uid="{00000000-0006-0000-0300-0000C322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49" authorId="0" shapeId="0" xr:uid="{00000000-0006-0000-0300-0000C4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49" authorId="0" shapeId="0" xr:uid="{00000000-0006-0000-0300-0000C522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49" authorId="0" shapeId="0" xr:uid="{00000000-0006-0000-0300-0000C622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49" authorId="0" shapeId="0" xr:uid="{00000000-0006-0000-0300-0000C722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49" authorId="0" shapeId="0" xr:uid="{00000000-0006-0000-0300-0000C822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49" authorId="0" shapeId="0" xr:uid="{00000000-0006-0000-0300-0000C922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49" authorId="0" shapeId="0" xr:uid="{00000000-0006-0000-0300-0000CA22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49" authorId="0" shapeId="0" xr:uid="{00000000-0006-0000-0300-0000CB22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49" authorId="0" shapeId="0" xr:uid="{00000000-0006-0000-0300-0000CC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49" authorId="0" shapeId="0" xr:uid="{00000000-0006-0000-0300-0000CD22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49" authorId="0" shapeId="0" xr:uid="{00000000-0006-0000-0300-0000CE22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49" authorId="0" shapeId="0" xr:uid="{00000000-0006-0000-0300-0000CF22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49" authorId="0" shapeId="0" xr:uid="{00000000-0006-0000-0300-0000D022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49" authorId="0" shapeId="0" xr:uid="{00000000-0006-0000-0300-0000D1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49" authorId="0" shapeId="0" xr:uid="{00000000-0006-0000-0300-0000D2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49" authorId="0" shapeId="0" xr:uid="{00000000-0006-0000-0300-0000D322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49" authorId="0" shapeId="0" xr:uid="{00000000-0006-0000-0300-0000D422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50" authorId="0" shapeId="0" xr:uid="{00000000-0006-0000-0300-0000D5220000}">
      <text>
        <r>
          <rPr>
            <sz val="9"/>
            <color indexed="81"/>
            <rFont val="Tahoma"/>
            <charset val="1"/>
          </rPr>
          <t>Date macro run: 7/9/2018 10:38:20 PM</t>
        </r>
      </text>
    </comment>
    <comment ref="B150" authorId="0" shapeId="0" xr:uid="{00000000-0006-0000-0300-0000D622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0" authorId="0" shapeId="0" xr:uid="{00000000-0006-0000-0300-0000D722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0" authorId="0" shapeId="0" xr:uid="{00000000-0006-0000-0300-0000D8220000}">
      <text>
        <r>
          <rPr>
            <sz val="9"/>
            <color indexed="81"/>
            <rFont val="Tahoma"/>
            <charset val="1"/>
          </rPr>
          <t>Stability=,Expiration=7/18/2018</t>
        </r>
      </text>
    </comment>
    <comment ref="E150" authorId="0" shapeId="0" xr:uid="{00000000-0006-0000-0300-0000D922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0" authorId="0" shapeId="0" xr:uid="{00000000-0006-0000-0300-0000DA22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0" authorId="0" shapeId="0" xr:uid="{00000000-0006-0000-0300-0000DB22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0" authorId="0" shapeId="0" xr:uid="{00000000-0006-0000-0300-0000DC22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0" authorId="0" shapeId="0" xr:uid="{00000000-0006-0000-0300-0000DD22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0" authorId="0" shapeId="0" xr:uid="{00000000-0006-0000-0300-0000DE22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0" authorId="0" shapeId="0" xr:uid="{00000000-0006-0000-0300-0000DF22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0" authorId="0" shapeId="0" xr:uid="{00000000-0006-0000-0300-0000E022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0" authorId="0" shapeId="0" xr:uid="{00000000-0006-0000-0300-0000E122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0" authorId="0" shapeId="0" xr:uid="{00000000-0006-0000-0300-0000E222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0" authorId="0" shapeId="0" xr:uid="{00000000-0006-0000-0300-0000E322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0" authorId="0" shapeId="0" xr:uid="{00000000-0006-0000-0300-0000E422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0" authorId="0" shapeId="0" xr:uid="{00000000-0006-0000-0300-0000E522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0" authorId="0" shapeId="0" xr:uid="{00000000-0006-0000-0300-0000E622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50" authorId="0" shapeId="0" xr:uid="{00000000-0006-0000-0300-0000E722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0" authorId="0" shapeId="0" xr:uid="{00000000-0006-0000-0300-0000E822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0" authorId="0" shapeId="0" xr:uid="{00000000-0006-0000-0300-0000E9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0" authorId="0" shapeId="0" xr:uid="{00000000-0006-0000-0300-0000EA22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0" authorId="0" shapeId="0" xr:uid="{00000000-0006-0000-0300-0000EB22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X150" authorId="0" shapeId="0" xr:uid="{00000000-0006-0000-0300-0000EC22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50" authorId="0" shapeId="0" xr:uid="{00000000-0006-0000-0300-0000ED22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0" authorId="0" shapeId="0" xr:uid="{00000000-0006-0000-0300-0000EE22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0" authorId="0" shapeId="0" xr:uid="{00000000-0006-0000-0300-0000EF22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50" authorId="0" shapeId="0" xr:uid="{00000000-0006-0000-0300-0000F022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0" authorId="0" shapeId="0" xr:uid="{00000000-0006-0000-0300-0000F122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50" authorId="0" shapeId="0" xr:uid="{00000000-0006-0000-0300-0000F222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0" authorId="0" shapeId="0" xr:uid="{00000000-0006-0000-0300-0000F322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0" authorId="0" shapeId="0" xr:uid="{00000000-0006-0000-0300-0000F422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50" authorId="0" shapeId="0" xr:uid="{00000000-0006-0000-0300-0000F522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0" authorId="0" shapeId="0" xr:uid="{00000000-0006-0000-0300-0000F622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0" authorId="0" shapeId="0" xr:uid="{00000000-0006-0000-0300-0000F722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0" authorId="0" shapeId="0" xr:uid="{00000000-0006-0000-0300-0000F8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0" authorId="0" shapeId="0" xr:uid="{00000000-0006-0000-0300-0000F9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0" authorId="0" shapeId="0" xr:uid="{00000000-0006-0000-0300-0000FA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0" authorId="0" shapeId="0" xr:uid="{00000000-0006-0000-0300-0000FB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0" authorId="0" shapeId="0" xr:uid="{00000000-0006-0000-0300-0000FC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0" authorId="0" shapeId="0" xr:uid="{00000000-0006-0000-0300-0000FD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0" authorId="0" shapeId="0" xr:uid="{00000000-0006-0000-0300-0000FE22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0" authorId="0" shapeId="0" xr:uid="{00000000-0006-0000-0300-0000FF22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0" authorId="0" shapeId="0" xr:uid="{00000000-0006-0000-0300-000000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0" authorId="0" shapeId="0" xr:uid="{00000000-0006-0000-0300-000001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0" authorId="0" shapeId="0" xr:uid="{00000000-0006-0000-0300-000002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0" authorId="0" shapeId="0" xr:uid="{00000000-0006-0000-0300-000003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0" authorId="0" shapeId="0" xr:uid="{00000000-0006-0000-0300-00000423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0" authorId="0" shapeId="0" xr:uid="{00000000-0006-0000-0300-000005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0" authorId="0" shapeId="0" xr:uid="{00000000-0006-0000-0300-0000062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0" authorId="0" shapeId="0" xr:uid="{00000000-0006-0000-0300-000007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0" authorId="0" shapeId="0" xr:uid="{00000000-0006-0000-0300-00000823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0" authorId="0" shapeId="0" xr:uid="{00000000-0006-0000-0300-000009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50" authorId="0" shapeId="0" xr:uid="{00000000-0006-0000-0300-00000A23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0" authorId="0" shapeId="0" xr:uid="{00000000-0006-0000-0300-00000B23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0" authorId="0" shapeId="0" xr:uid="{00000000-0006-0000-0300-00000C23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0" authorId="0" shapeId="0" xr:uid="{00000000-0006-0000-0300-00000D23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0" authorId="0" shapeId="0" xr:uid="{00000000-0006-0000-0300-00000E23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0" authorId="0" shapeId="0" xr:uid="{00000000-0006-0000-0300-00000F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0" authorId="0" shapeId="0" xr:uid="{00000000-0006-0000-0300-00001023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0" authorId="0" shapeId="0" xr:uid="{00000000-0006-0000-0300-000011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0" authorId="0" shapeId="0" xr:uid="{00000000-0006-0000-0300-000012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0" authorId="0" shapeId="0" xr:uid="{00000000-0006-0000-0300-0000132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0" authorId="0" shapeId="0" xr:uid="{00000000-0006-0000-0300-000014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0" authorId="0" shapeId="0" xr:uid="{00000000-0006-0000-0300-000015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0" authorId="0" shapeId="0" xr:uid="{00000000-0006-0000-0300-000016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0" authorId="0" shapeId="0" xr:uid="{00000000-0006-0000-0300-000017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0" authorId="0" shapeId="0" xr:uid="{00000000-0006-0000-0300-00001823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0" authorId="0" shapeId="0" xr:uid="{00000000-0006-0000-0300-0000192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51" authorId="0" shapeId="0" xr:uid="{00000000-0006-0000-0300-00001A230000}">
      <text>
        <r>
          <rPr>
            <sz val="9"/>
            <color indexed="81"/>
            <rFont val="Tahoma"/>
            <charset val="1"/>
          </rPr>
          <t>Date macro run: 7/11/2018 9:48:27 PM</t>
        </r>
      </text>
    </comment>
    <comment ref="B151" authorId="0" shapeId="0" xr:uid="{00000000-0006-0000-0300-00001B2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1" authorId="0" shapeId="0" xr:uid="{00000000-0006-0000-0300-00001C23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1" authorId="0" shapeId="0" xr:uid="{00000000-0006-0000-0300-00001D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1" authorId="0" shapeId="0" xr:uid="{00000000-0006-0000-0300-00001E23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1" authorId="0" shapeId="0" xr:uid="{00000000-0006-0000-0300-00001F23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1" authorId="0" shapeId="0" xr:uid="{00000000-0006-0000-0300-00002023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1" authorId="0" shapeId="0" xr:uid="{00000000-0006-0000-0300-00002123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1" authorId="0" shapeId="0" xr:uid="{00000000-0006-0000-0300-00002223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1" authorId="0" shapeId="0" xr:uid="{00000000-0006-0000-0300-00002323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1" authorId="0" shapeId="0" xr:uid="{00000000-0006-0000-0300-00002423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1" authorId="0" shapeId="0" xr:uid="{00000000-0006-0000-0300-0000252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1" authorId="0" shapeId="0" xr:uid="{00000000-0006-0000-0300-00002623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1" authorId="0" shapeId="0" xr:uid="{00000000-0006-0000-0300-00002723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1" authorId="0" shapeId="0" xr:uid="{00000000-0006-0000-0300-00002823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1" authorId="0" shapeId="0" xr:uid="{00000000-0006-0000-0300-00002923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1" authorId="0" shapeId="0" xr:uid="{00000000-0006-0000-0300-00002A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1" authorId="0" shapeId="0" xr:uid="{00000000-0006-0000-0300-00002B23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51" authorId="0" shapeId="0" xr:uid="{00000000-0006-0000-0300-00002C23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1" authorId="0" shapeId="0" xr:uid="{00000000-0006-0000-0300-00002D23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1" authorId="0" shapeId="0" xr:uid="{00000000-0006-0000-0300-00002E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1" authorId="0" shapeId="0" xr:uid="{00000000-0006-0000-0300-00002F23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1" authorId="0" shapeId="0" xr:uid="{00000000-0006-0000-0300-0000302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X151" authorId="0" shapeId="0" xr:uid="{00000000-0006-0000-0300-00003123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51" authorId="0" shapeId="0" xr:uid="{00000000-0006-0000-0300-000032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1" authorId="0" shapeId="0" xr:uid="{00000000-0006-0000-0300-0000332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1" authorId="0" shapeId="0" xr:uid="{00000000-0006-0000-0300-00003423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51" authorId="0" shapeId="0" xr:uid="{00000000-0006-0000-0300-000035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1" authorId="0" shapeId="0" xr:uid="{00000000-0006-0000-0300-00003623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51" authorId="0" shapeId="0" xr:uid="{00000000-0006-0000-0300-000037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1" authorId="0" shapeId="0" xr:uid="{00000000-0006-0000-0300-00003823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1" authorId="0" shapeId="0" xr:uid="{00000000-0006-0000-0300-00003923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51" authorId="0" shapeId="0" xr:uid="{00000000-0006-0000-0300-00003A23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1" authorId="0" shapeId="0" xr:uid="{00000000-0006-0000-0300-00003B2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1" authorId="0" shapeId="0" xr:uid="{00000000-0006-0000-0300-00003C23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1" authorId="0" shapeId="0" xr:uid="{00000000-0006-0000-0300-00003D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1" authorId="0" shapeId="0" xr:uid="{00000000-0006-0000-0300-00003E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1" authorId="0" shapeId="0" xr:uid="{00000000-0006-0000-0300-00003F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1" authorId="0" shapeId="0" xr:uid="{00000000-0006-0000-0300-000040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1" authorId="0" shapeId="0" xr:uid="{00000000-0006-0000-0300-000041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1" authorId="0" shapeId="0" xr:uid="{00000000-0006-0000-0300-000042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1" authorId="0" shapeId="0" xr:uid="{00000000-0006-0000-0300-0000432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1" authorId="0" shapeId="0" xr:uid="{00000000-0006-0000-0300-000044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1" authorId="0" shapeId="0" xr:uid="{00000000-0006-0000-0300-000045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1" authorId="0" shapeId="0" xr:uid="{00000000-0006-0000-0300-000046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1" authorId="0" shapeId="0" xr:uid="{00000000-0006-0000-0300-000047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1" authorId="0" shapeId="0" xr:uid="{00000000-0006-0000-0300-000048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1" authorId="0" shapeId="0" xr:uid="{00000000-0006-0000-0300-00004923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1" authorId="0" shapeId="0" xr:uid="{00000000-0006-0000-0300-00004A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1" authorId="0" shapeId="0" xr:uid="{00000000-0006-0000-0300-00004B2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1" authorId="0" shapeId="0" xr:uid="{00000000-0006-0000-0300-00004C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1" authorId="0" shapeId="0" xr:uid="{00000000-0006-0000-0300-00004D23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1" authorId="0" shapeId="0" xr:uid="{00000000-0006-0000-0300-00004E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51" authorId="0" shapeId="0" xr:uid="{00000000-0006-0000-0300-00004F23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1" authorId="0" shapeId="0" xr:uid="{00000000-0006-0000-0300-00005023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1" authorId="0" shapeId="0" xr:uid="{00000000-0006-0000-0300-00005123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1" authorId="0" shapeId="0" xr:uid="{00000000-0006-0000-0300-00005223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1" authorId="0" shapeId="0" xr:uid="{00000000-0006-0000-0300-00005323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1" authorId="0" shapeId="0" xr:uid="{00000000-0006-0000-0300-000054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1" authorId="0" shapeId="0" xr:uid="{00000000-0006-0000-0300-00005523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1" authorId="0" shapeId="0" xr:uid="{00000000-0006-0000-0300-000056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1" authorId="0" shapeId="0" xr:uid="{00000000-0006-0000-0300-000057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1" authorId="0" shapeId="0" xr:uid="{00000000-0006-0000-0300-0000582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1" authorId="0" shapeId="0" xr:uid="{00000000-0006-0000-0300-000059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1" authorId="0" shapeId="0" xr:uid="{00000000-0006-0000-0300-00005A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1" authorId="0" shapeId="0" xr:uid="{00000000-0006-0000-0300-00005B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1" authorId="0" shapeId="0" xr:uid="{00000000-0006-0000-0300-00005C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1" authorId="0" shapeId="0" xr:uid="{00000000-0006-0000-0300-00005D23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1" authorId="0" shapeId="0" xr:uid="{00000000-0006-0000-0300-00005E2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52" authorId="0" shapeId="0" xr:uid="{00000000-0006-0000-0300-00005F230000}">
      <text>
        <r>
          <rPr>
            <sz val="9"/>
            <color indexed="81"/>
            <rFont val="Tahoma"/>
            <charset val="1"/>
          </rPr>
          <t>Date macro run: 7/12/2018 9:39:06 PM</t>
        </r>
      </text>
    </comment>
    <comment ref="B152" authorId="0" shapeId="0" xr:uid="{00000000-0006-0000-0300-0000602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2" authorId="0" shapeId="0" xr:uid="{00000000-0006-0000-0300-00006123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2" authorId="0" shapeId="0" xr:uid="{00000000-0006-0000-0300-000062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2" authorId="0" shapeId="0" xr:uid="{00000000-0006-0000-0300-00006323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2" authorId="0" shapeId="0" xr:uid="{00000000-0006-0000-0300-00006423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2" authorId="0" shapeId="0" xr:uid="{00000000-0006-0000-0300-00006523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2" authorId="0" shapeId="0" xr:uid="{00000000-0006-0000-0300-00006623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2" authorId="0" shapeId="0" xr:uid="{00000000-0006-0000-0300-00006723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2" authorId="0" shapeId="0" xr:uid="{00000000-0006-0000-0300-00006823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2" authorId="0" shapeId="0" xr:uid="{00000000-0006-0000-0300-00006923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2" authorId="0" shapeId="0" xr:uid="{00000000-0006-0000-0300-00006A2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2" authorId="0" shapeId="0" xr:uid="{00000000-0006-0000-0300-00006B23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2" authorId="0" shapeId="0" xr:uid="{00000000-0006-0000-0300-00006C23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2" authorId="0" shapeId="0" xr:uid="{00000000-0006-0000-0300-00006D23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2" authorId="0" shapeId="0" xr:uid="{00000000-0006-0000-0300-00006E23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2" authorId="0" shapeId="0" xr:uid="{00000000-0006-0000-0300-00006F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2" authorId="0" shapeId="0" xr:uid="{00000000-0006-0000-0300-000070230000}">
      <text>
        <r>
          <rPr>
            <sz val="9"/>
            <color indexed="81"/>
            <rFont val="Tahoma"/>
            <charset val="1"/>
          </rPr>
          <t>Stability=,Expiration=2/24/2019</t>
        </r>
      </text>
    </comment>
    <comment ref="S152" authorId="0" shapeId="0" xr:uid="{00000000-0006-0000-0300-00007123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2" authorId="0" shapeId="0" xr:uid="{00000000-0006-0000-0300-00007223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2" authorId="0" shapeId="0" xr:uid="{00000000-0006-0000-0300-000073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2" authorId="0" shapeId="0" xr:uid="{00000000-0006-0000-0300-00007423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2" authorId="0" shapeId="0" xr:uid="{00000000-0006-0000-0300-000075230000}">
      <text>
        <r>
          <rPr>
            <sz val="9"/>
            <color indexed="81"/>
            <rFont val="Tahoma"/>
            <charset val="1"/>
          </rPr>
          <t>Stability=,Expiration=11/12/2018</t>
        </r>
      </text>
    </comment>
    <comment ref="X152" authorId="0" shapeId="0" xr:uid="{00000000-0006-0000-0300-000076230000}">
      <text>
        <r>
          <rPr>
            <sz val="9"/>
            <color indexed="81"/>
            <rFont val="Tahoma"/>
            <charset val="1"/>
          </rPr>
          <t>Stability=,Expiration=7/31/2018</t>
        </r>
      </text>
    </comment>
    <comment ref="Y152" authorId="0" shapeId="0" xr:uid="{00000000-0006-0000-0300-000077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2" authorId="0" shapeId="0" xr:uid="{00000000-0006-0000-0300-0000782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2" authorId="0" shapeId="0" xr:uid="{00000000-0006-0000-0300-000079230000}">
      <text>
        <r>
          <rPr>
            <sz val="9"/>
            <color indexed="81"/>
            <rFont val="Tahoma"/>
            <charset val="1"/>
          </rPr>
          <t>Stability=,Expiration=7/14/2018</t>
        </r>
      </text>
    </comment>
    <comment ref="AB152" authorId="0" shapeId="0" xr:uid="{00000000-0006-0000-0300-00007A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2" authorId="0" shapeId="0" xr:uid="{00000000-0006-0000-0300-00007B230000}">
      <text>
        <r>
          <rPr>
            <sz val="9"/>
            <color indexed="81"/>
            <rFont val="Tahoma"/>
            <charset val="1"/>
          </rPr>
          <t>Stability=,Expiration=3/14/2019</t>
        </r>
      </text>
    </comment>
    <comment ref="AE152" authorId="0" shapeId="0" xr:uid="{00000000-0006-0000-0300-00007C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2" authorId="0" shapeId="0" xr:uid="{00000000-0006-0000-0300-00007D23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2" authorId="0" shapeId="0" xr:uid="{00000000-0006-0000-0300-00007E230000}">
      <text>
        <r>
          <rPr>
            <sz val="9"/>
            <color indexed="81"/>
            <rFont val="Tahoma"/>
            <charset val="1"/>
          </rPr>
          <t>Stability=,Expiration=6/6/2019</t>
        </r>
      </text>
    </comment>
    <comment ref="AH152" authorId="0" shapeId="0" xr:uid="{00000000-0006-0000-0300-00007F23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2" authorId="0" shapeId="0" xr:uid="{00000000-0006-0000-0300-0000802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2" authorId="0" shapeId="0" xr:uid="{00000000-0006-0000-0300-00008123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2" authorId="0" shapeId="0" xr:uid="{00000000-0006-0000-0300-000082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2" authorId="0" shapeId="0" xr:uid="{00000000-0006-0000-0300-000083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2" authorId="0" shapeId="0" xr:uid="{00000000-0006-0000-0300-000084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2" authorId="0" shapeId="0" xr:uid="{00000000-0006-0000-0300-000085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2" authorId="0" shapeId="0" xr:uid="{00000000-0006-0000-0300-000086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2" authorId="0" shapeId="0" xr:uid="{00000000-0006-0000-0300-000087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2" authorId="0" shapeId="0" xr:uid="{00000000-0006-0000-0300-0000882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2" authorId="0" shapeId="0" xr:uid="{00000000-0006-0000-0300-000089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2" authorId="0" shapeId="0" xr:uid="{00000000-0006-0000-0300-00008A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2" authorId="0" shapeId="0" xr:uid="{00000000-0006-0000-0300-00008B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2" authorId="0" shapeId="0" xr:uid="{00000000-0006-0000-0300-00008C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2" authorId="0" shapeId="0" xr:uid="{00000000-0006-0000-0300-00008D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2" authorId="0" shapeId="0" xr:uid="{00000000-0006-0000-0300-00008E23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2" authorId="0" shapeId="0" xr:uid="{00000000-0006-0000-0300-00008F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2" authorId="0" shapeId="0" xr:uid="{00000000-0006-0000-0300-0000902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2" authorId="0" shapeId="0" xr:uid="{00000000-0006-0000-0300-000091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2" authorId="0" shapeId="0" xr:uid="{00000000-0006-0000-0300-00009223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2" authorId="0" shapeId="0" xr:uid="{00000000-0006-0000-0300-000093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E152" authorId="0" shapeId="0" xr:uid="{00000000-0006-0000-0300-00009423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2" authorId="0" shapeId="0" xr:uid="{00000000-0006-0000-0300-00009523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2" authorId="0" shapeId="0" xr:uid="{00000000-0006-0000-0300-00009623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2" authorId="0" shapeId="0" xr:uid="{00000000-0006-0000-0300-00009723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2" authorId="0" shapeId="0" xr:uid="{00000000-0006-0000-0300-00009823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2" authorId="0" shapeId="0" xr:uid="{00000000-0006-0000-0300-000099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2" authorId="0" shapeId="0" xr:uid="{00000000-0006-0000-0300-00009A23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2" authorId="0" shapeId="0" xr:uid="{00000000-0006-0000-0300-00009B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2" authorId="0" shapeId="0" xr:uid="{00000000-0006-0000-0300-00009C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2" authorId="0" shapeId="0" xr:uid="{00000000-0006-0000-0300-00009D2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2" authorId="0" shapeId="0" xr:uid="{00000000-0006-0000-0300-00009E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2" authorId="0" shapeId="0" xr:uid="{00000000-0006-0000-0300-00009F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2" authorId="0" shapeId="0" xr:uid="{00000000-0006-0000-0300-0000A0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2" authorId="0" shapeId="0" xr:uid="{00000000-0006-0000-0300-0000A1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2" authorId="0" shapeId="0" xr:uid="{00000000-0006-0000-0300-0000A223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2" authorId="0" shapeId="0" xr:uid="{00000000-0006-0000-0300-0000A3230000}">
      <text>
        <r>
          <rPr>
            <sz val="9"/>
            <color indexed="81"/>
            <rFont val="Tahoma"/>
            <charset val="1"/>
          </rPr>
          <t>Stability=,Expiration=7/12/2018</t>
        </r>
      </text>
    </comment>
    <comment ref="A153" authorId="0" shapeId="0" xr:uid="{00000000-0006-0000-0300-0000A4230000}">
      <text>
        <r>
          <rPr>
            <sz val="9"/>
            <color indexed="81"/>
            <rFont val="Tahoma"/>
            <charset val="1"/>
          </rPr>
          <t>Date macro run: 7/24/2018 10:07:25 PM</t>
        </r>
      </text>
    </comment>
    <comment ref="B153" authorId="0" shapeId="0" xr:uid="{00000000-0006-0000-0300-0000A52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3" authorId="0" shapeId="0" xr:uid="{00000000-0006-0000-0300-0000A623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3" authorId="0" shapeId="0" xr:uid="{00000000-0006-0000-0300-0000A7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3" authorId="0" shapeId="0" xr:uid="{00000000-0006-0000-0300-0000A823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3" authorId="0" shapeId="0" xr:uid="{00000000-0006-0000-0300-0000A923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3" authorId="0" shapeId="0" xr:uid="{00000000-0006-0000-0300-0000AA23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3" authorId="0" shapeId="0" xr:uid="{00000000-0006-0000-0300-0000AB23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3" authorId="0" shapeId="0" xr:uid="{00000000-0006-0000-0300-0000AC23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3" authorId="0" shapeId="0" xr:uid="{00000000-0006-0000-0300-0000AD23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3" authorId="0" shapeId="0" xr:uid="{00000000-0006-0000-0300-0000AE23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3" authorId="0" shapeId="0" xr:uid="{00000000-0006-0000-0300-0000AF2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3" authorId="0" shapeId="0" xr:uid="{00000000-0006-0000-0300-0000B023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3" authorId="0" shapeId="0" xr:uid="{00000000-0006-0000-0300-0000B123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3" authorId="0" shapeId="0" xr:uid="{00000000-0006-0000-0300-0000B223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3" authorId="0" shapeId="0" xr:uid="{00000000-0006-0000-0300-0000B323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3" authorId="0" shapeId="0" xr:uid="{00000000-0006-0000-0300-0000B4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3" authorId="0" shapeId="0" xr:uid="{00000000-0006-0000-0300-0000B5230000}">
      <text>
        <r>
          <rPr>
            <sz val="9"/>
            <color indexed="81"/>
            <rFont val="Tahoma"/>
            <charset val="1"/>
          </rPr>
          <t>Stability=,Expiration=3/15/2019</t>
        </r>
      </text>
    </comment>
    <comment ref="S153" authorId="0" shapeId="0" xr:uid="{00000000-0006-0000-0300-0000B623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3" authorId="0" shapeId="0" xr:uid="{00000000-0006-0000-0300-0000B723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3" authorId="0" shapeId="0" xr:uid="{00000000-0006-0000-0300-0000B8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3" authorId="0" shapeId="0" xr:uid="{00000000-0006-0000-0300-0000B923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3" authorId="0" shapeId="0" xr:uid="{00000000-0006-0000-0300-0000BA2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X153" authorId="0" shapeId="0" xr:uid="{00000000-0006-0000-0300-0000BB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Y153" authorId="0" shapeId="0" xr:uid="{00000000-0006-0000-0300-0000BC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3" authorId="0" shapeId="0" xr:uid="{00000000-0006-0000-0300-0000BD23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3" authorId="0" shapeId="0" xr:uid="{00000000-0006-0000-0300-0000BE23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AB153" authorId="0" shapeId="0" xr:uid="{00000000-0006-0000-0300-0000BF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3" authorId="0" shapeId="0" xr:uid="{00000000-0006-0000-0300-0000C0230000}">
      <text>
        <r>
          <rPr>
            <sz val="9"/>
            <color indexed="81"/>
            <rFont val="Tahoma"/>
            <charset val="1"/>
          </rPr>
          <t>Stability=,Expiration=8/7/2019</t>
        </r>
      </text>
    </comment>
    <comment ref="AE153" authorId="0" shapeId="0" xr:uid="{00000000-0006-0000-0300-0000C1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3" authorId="0" shapeId="0" xr:uid="{00000000-0006-0000-0300-0000C223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3" authorId="0" shapeId="0" xr:uid="{00000000-0006-0000-0300-0000C3230000}">
      <text>
        <r>
          <rPr>
            <sz val="9"/>
            <color indexed="81"/>
            <rFont val="Tahoma"/>
            <charset val="1"/>
          </rPr>
          <t>Stability=,Expiration=8/8/2019</t>
        </r>
      </text>
    </comment>
    <comment ref="AH153" authorId="0" shapeId="0" xr:uid="{00000000-0006-0000-0300-0000C423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3" authorId="0" shapeId="0" xr:uid="{00000000-0006-0000-0300-0000C523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3" authorId="0" shapeId="0" xr:uid="{00000000-0006-0000-0300-0000C623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3" authorId="0" shapeId="0" xr:uid="{00000000-0006-0000-0300-0000C7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3" authorId="0" shapeId="0" xr:uid="{00000000-0006-0000-0300-0000C8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3" authorId="0" shapeId="0" xr:uid="{00000000-0006-0000-0300-0000C9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3" authorId="0" shapeId="0" xr:uid="{00000000-0006-0000-0300-0000CA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3" authorId="0" shapeId="0" xr:uid="{00000000-0006-0000-0300-0000CB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3" authorId="0" shapeId="0" xr:uid="{00000000-0006-0000-0300-0000CC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3" authorId="0" shapeId="0" xr:uid="{00000000-0006-0000-0300-0000CD23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3" authorId="0" shapeId="0" xr:uid="{00000000-0006-0000-0300-0000CE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3" authorId="0" shapeId="0" xr:uid="{00000000-0006-0000-0300-0000CF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3" authorId="0" shapeId="0" xr:uid="{00000000-0006-0000-0300-0000D0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3" authorId="0" shapeId="0" xr:uid="{00000000-0006-0000-0300-0000D1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3" authorId="0" shapeId="0" xr:uid="{00000000-0006-0000-0300-0000D223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3" authorId="0" shapeId="0" xr:uid="{00000000-0006-0000-0300-0000D323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3" authorId="0" shapeId="0" xr:uid="{00000000-0006-0000-0300-0000D4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3" authorId="0" shapeId="0" xr:uid="{00000000-0006-0000-0300-0000D523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3" authorId="0" shapeId="0" xr:uid="{00000000-0006-0000-0300-0000D6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3" authorId="0" shapeId="0" xr:uid="{00000000-0006-0000-0300-0000D723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3" authorId="0" shapeId="0" xr:uid="{00000000-0006-0000-0300-0000D8230000}">
      <text>
        <r>
          <rPr>
            <sz val="9"/>
            <color indexed="81"/>
            <rFont val="Tahoma"/>
            <charset val="1"/>
          </rPr>
          <t>Stability=,Expiration=7/31/2019</t>
        </r>
      </text>
    </comment>
    <comment ref="BE153" authorId="0" shapeId="0" xr:uid="{00000000-0006-0000-0300-0000D923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3" authorId="0" shapeId="0" xr:uid="{00000000-0006-0000-0300-0000DA23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3" authorId="0" shapeId="0" xr:uid="{00000000-0006-0000-0300-0000DB23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3" authorId="0" shapeId="0" xr:uid="{00000000-0006-0000-0300-0000DC23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3" authorId="0" shapeId="0" xr:uid="{00000000-0006-0000-0300-0000DD23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3" authorId="0" shapeId="0" xr:uid="{00000000-0006-0000-0300-0000DE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3" authorId="0" shapeId="0" xr:uid="{00000000-0006-0000-0300-0000DF23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3" authorId="0" shapeId="0" xr:uid="{00000000-0006-0000-0300-0000E0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3" authorId="0" shapeId="0" xr:uid="{00000000-0006-0000-0300-0000E123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3" authorId="0" shapeId="0" xr:uid="{00000000-0006-0000-0300-0000E223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3" authorId="0" shapeId="0" xr:uid="{00000000-0006-0000-0300-0000E323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3" authorId="0" shapeId="0" xr:uid="{00000000-0006-0000-0300-0000E423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3" authorId="0" shapeId="0" xr:uid="{00000000-0006-0000-0300-0000E5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3" authorId="0" shapeId="0" xr:uid="{00000000-0006-0000-0300-0000E623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3" authorId="0" shapeId="0" xr:uid="{00000000-0006-0000-0300-0000E723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3" authorId="0" shapeId="0" xr:uid="{00000000-0006-0000-0300-0000E823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A154" authorId="0" shapeId="0" xr:uid="{00000000-0006-0000-0300-0000E9230000}">
      <text>
        <r>
          <rPr>
            <sz val="9"/>
            <color indexed="81"/>
            <rFont val="Tahoma"/>
            <charset val="1"/>
          </rPr>
          <t>Date macro run: 7/24/2018 10:08:56 PM</t>
        </r>
      </text>
    </comment>
    <comment ref="B154" authorId="0" shapeId="0" xr:uid="{00000000-0006-0000-0300-0000EA23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4" authorId="0" shapeId="0" xr:uid="{00000000-0006-0000-0300-0000EB23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4" authorId="0" shapeId="0" xr:uid="{00000000-0006-0000-0300-0000EC23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4" authorId="0" shapeId="0" xr:uid="{00000000-0006-0000-0300-0000ED23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4" authorId="0" shapeId="0" xr:uid="{00000000-0006-0000-0300-0000EE23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4" authorId="0" shapeId="0" xr:uid="{00000000-0006-0000-0300-0000EF23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4" authorId="0" shapeId="0" xr:uid="{00000000-0006-0000-0300-0000F023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4" authorId="0" shapeId="0" xr:uid="{00000000-0006-0000-0300-0000F123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4" authorId="0" shapeId="0" xr:uid="{00000000-0006-0000-0300-0000F223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4" authorId="0" shapeId="0" xr:uid="{00000000-0006-0000-0300-0000F323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4" authorId="0" shapeId="0" xr:uid="{00000000-0006-0000-0300-0000F423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4" authorId="0" shapeId="0" xr:uid="{00000000-0006-0000-0300-0000F523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4" authorId="0" shapeId="0" xr:uid="{00000000-0006-0000-0300-0000F623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4" authorId="0" shapeId="0" xr:uid="{00000000-0006-0000-0300-0000F723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4" authorId="0" shapeId="0" xr:uid="{00000000-0006-0000-0300-0000F823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4" authorId="0" shapeId="0" xr:uid="{00000000-0006-0000-0300-0000F923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4" authorId="0" shapeId="0" xr:uid="{00000000-0006-0000-0300-0000FA230000}">
      <text>
        <r>
          <rPr>
            <sz val="9"/>
            <color indexed="81"/>
            <rFont val="Tahoma"/>
            <charset val="1"/>
          </rPr>
          <t>Stability=,Expiration=3/15/2019</t>
        </r>
      </text>
    </comment>
    <comment ref="S154" authorId="0" shapeId="0" xr:uid="{00000000-0006-0000-0300-0000FB23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4" authorId="0" shapeId="0" xr:uid="{00000000-0006-0000-0300-0000FC23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4" authorId="0" shapeId="0" xr:uid="{00000000-0006-0000-0300-0000FD23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4" authorId="0" shapeId="0" xr:uid="{00000000-0006-0000-0300-0000FE23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4" authorId="0" shapeId="0" xr:uid="{00000000-0006-0000-0300-0000FF23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X154" authorId="0" shapeId="0" xr:uid="{00000000-0006-0000-0300-000000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Y154" authorId="0" shapeId="0" xr:uid="{00000000-0006-0000-0300-000001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4" authorId="0" shapeId="0" xr:uid="{00000000-0006-0000-0300-0000022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4" authorId="0" shapeId="0" xr:uid="{00000000-0006-0000-0300-0000032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AB154" authorId="0" shapeId="0" xr:uid="{00000000-0006-0000-0300-000004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4" authorId="0" shapeId="0" xr:uid="{00000000-0006-0000-0300-000005240000}">
      <text>
        <r>
          <rPr>
            <sz val="9"/>
            <color indexed="81"/>
            <rFont val="Tahoma"/>
            <charset val="1"/>
          </rPr>
          <t>Stability=,Expiration=8/7/2019</t>
        </r>
      </text>
    </comment>
    <comment ref="AE154" authorId="0" shapeId="0" xr:uid="{00000000-0006-0000-0300-000006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4" authorId="0" shapeId="0" xr:uid="{00000000-0006-0000-0300-00000724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4" authorId="0" shapeId="0" xr:uid="{00000000-0006-0000-0300-000008240000}">
      <text>
        <r>
          <rPr>
            <sz val="9"/>
            <color indexed="81"/>
            <rFont val="Tahoma"/>
            <charset val="1"/>
          </rPr>
          <t>Stability=,Expiration=8/8/2019</t>
        </r>
      </text>
    </comment>
    <comment ref="AH154" authorId="0" shapeId="0" xr:uid="{00000000-0006-0000-0300-00000924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4" authorId="0" shapeId="0" xr:uid="{00000000-0006-0000-0300-00000A2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4" authorId="0" shapeId="0" xr:uid="{00000000-0006-0000-0300-00000B24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4" authorId="0" shapeId="0" xr:uid="{00000000-0006-0000-0300-00000C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4" authorId="0" shapeId="0" xr:uid="{00000000-0006-0000-0300-00000D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4" authorId="0" shapeId="0" xr:uid="{00000000-0006-0000-0300-00000E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4" authorId="0" shapeId="0" xr:uid="{00000000-0006-0000-0300-00000F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4" authorId="0" shapeId="0" xr:uid="{00000000-0006-0000-0300-000010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4" authorId="0" shapeId="0" xr:uid="{00000000-0006-0000-0300-000011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4" authorId="0" shapeId="0" xr:uid="{00000000-0006-0000-0300-0000122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4" authorId="0" shapeId="0" xr:uid="{00000000-0006-0000-0300-000013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4" authorId="0" shapeId="0" xr:uid="{00000000-0006-0000-0300-000014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4" authorId="0" shapeId="0" xr:uid="{00000000-0006-0000-0300-000015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4" authorId="0" shapeId="0" xr:uid="{00000000-0006-0000-0300-000016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4" authorId="0" shapeId="0" xr:uid="{00000000-0006-0000-0300-000017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4" authorId="0" shapeId="0" xr:uid="{00000000-0006-0000-0300-00001824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4" authorId="0" shapeId="0" xr:uid="{00000000-0006-0000-0300-000019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4" authorId="0" shapeId="0" xr:uid="{00000000-0006-0000-0300-00001A2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4" authorId="0" shapeId="0" xr:uid="{00000000-0006-0000-0300-00001B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4" authorId="0" shapeId="0" xr:uid="{00000000-0006-0000-0300-00001C24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4" authorId="0" shapeId="0" xr:uid="{00000000-0006-0000-0300-00001D240000}">
      <text>
        <r>
          <rPr>
            <sz val="9"/>
            <color indexed="81"/>
            <rFont val="Tahoma"/>
            <charset val="1"/>
          </rPr>
          <t>Stability=,Expiration=7/31/2019</t>
        </r>
      </text>
    </comment>
    <comment ref="BE154" authorId="0" shapeId="0" xr:uid="{00000000-0006-0000-0300-00001E24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4" authorId="0" shapeId="0" xr:uid="{00000000-0006-0000-0300-00001F2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4" authorId="0" shapeId="0" xr:uid="{00000000-0006-0000-0300-00002024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4" authorId="0" shapeId="0" xr:uid="{00000000-0006-0000-0300-00002124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4" authorId="0" shapeId="0" xr:uid="{00000000-0006-0000-0300-00002224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4" authorId="0" shapeId="0" xr:uid="{00000000-0006-0000-0300-000023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4" authorId="0" shapeId="0" xr:uid="{00000000-0006-0000-0300-00002424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4" authorId="0" shapeId="0" xr:uid="{00000000-0006-0000-0300-000025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4" authorId="0" shapeId="0" xr:uid="{00000000-0006-0000-0300-000026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4" authorId="0" shapeId="0" xr:uid="{00000000-0006-0000-0300-0000272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4" authorId="0" shapeId="0" xr:uid="{00000000-0006-0000-0300-000028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4" authorId="0" shapeId="0" xr:uid="{00000000-0006-0000-0300-000029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4" authorId="0" shapeId="0" xr:uid="{00000000-0006-0000-0300-00002A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4" authorId="0" shapeId="0" xr:uid="{00000000-0006-0000-0300-00002B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4" authorId="0" shapeId="0" xr:uid="{00000000-0006-0000-0300-00002C24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4" authorId="0" shapeId="0" xr:uid="{00000000-0006-0000-0300-00002D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A155" authorId="0" shapeId="0" xr:uid="{00000000-0006-0000-0300-00002E240000}">
      <text>
        <r>
          <rPr>
            <sz val="9"/>
            <color indexed="81"/>
            <rFont val="Tahoma"/>
            <charset val="1"/>
          </rPr>
          <t>Date macro run: 7/25/2018 9:56:59 PM</t>
        </r>
      </text>
    </comment>
    <comment ref="B155" authorId="0" shapeId="0" xr:uid="{00000000-0006-0000-0300-00002F2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5" authorId="0" shapeId="0" xr:uid="{00000000-0006-0000-0300-00003024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5" authorId="0" shapeId="0" xr:uid="{00000000-0006-0000-0300-000031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5" authorId="0" shapeId="0" xr:uid="{00000000-0006-0000-0300-00003224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5" authorId="0" shapeId="0" xr:uid="{00000000-0006-0000-0300-0000332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5" authorId="0" shapeId="0" xr:uid="{00000000-0006-0000-0300-00003424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5" authorId="0" shapeId="0" xr:uid="{00000000-0006-0000-0300-00003524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5" authorId="0" shapeId="0" xr:uid="{00000000-0006-0000-0300-00003624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5" authorId="0" shapeId="0" xr:uid="{00000000-0006-0000-0300-00003724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5" authorId="0" shapeId="0" xr:uid="{00000000-0006-0000-0300-00003824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5" authorId="0" shapeId="0" xr:uid="{00000000-0006-0000-0300-0000392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5" authorId="0" shapeId="0" xr:uid="{00000000-0006-0000-0300-00003A24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5" authorId="0" shapeId="0" xr:uid="{00000000-0006-0000-0300-00003B24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5" authorId="0" shapeId="0" xr:uid="{00000000-0006-0000-0300-00003C24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5" authorId="0" shapeId="0" xr:uid="{00000000-0006-0000-0300-00003D2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5" authorId="0" shapeId="0" xr:uid="{00000000-0006-0000-0300-00003E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5" authorId="0" shapeId="0" xr:uid="{00000000-0006-0000-0300-00003F240000}">
      <text>
        <r>
          <rPr>
            <sz val="9"/>
            <color indexed="81"/>
            <rFont val="Tahoma"/>
            <charset val="1"/>
          </rPr>
          <t>Stability=,Expiration=3/15/2019</t>
        </r>
      </text>
    </comment>
    <comment ref="S155" authorId="0" shapeId="0" xr:uid="{00000000-0006-0000-0300-00004024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5" authorId="0" shapeId="0" xr:uid="{00000000-0006-0000-0300-00004124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5" authorId="0" shapeId="0" xr:uid="{00000000-0006-0000-0300-000042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5" authorId="0" shapeId="0" xr:uid="{00000000-0006-0000-0300-00004324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5" authorId="0" shapeId="0" xr:uid="{00000000-0006-0000-0300-00004424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X155" authorId="0" shapeId="0" xr:uid="{00000000-0006-0000-0300-000045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Y155" authorId="0" shapeId="0" xr:uid="{00000000-0006-0000-0300-000046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5" authorId="0" shapeId="0" xr:uid="{00000000-0006-0000-0300-0000472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5" authorId="0" shapeId="0" xr:uid="{00000000-0006-0000-0300-0000482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AB155" authorId="0" shapeId="0" xr:uid="{00000000-0006-0000-0300-000049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5" authorId="0" shapeId="0" xr:uid="{00000000-0006-0000-0300-00004A240000}">
      <text>
        <r>
          <rPr>
            <sz val="9"/>
            <color indexed="81"/>
            <rFont val="Tahoma"/>
            <charset val="1"/>
          </rPr>
          <t>Stability=,Expiration=8/7/2019</t>
        </r>
      </text>
    </comment>
    <comment ref="AE155" authorId="0" shapeId="0" xr:uid="{00000000-0006-0000-0300-00004B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5" authorId="0" shapeId="0" xr:uid="{00000000-0006-0000-0300-00004C24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5" authorId="0" shapeId="0" xr:uid="{00000000-0006-0000-0300-00004D240000}">
      <text>
        <r>
          <rPr>
            <sz val="9"/>
            <color indexed="81"/>
            <rFont val="Tahoma"/>
            <charset val="1"/>
          </rPr>
          <t>Stability=,Expiration=8/8/2019</t>
        </r>
      </text>
    </comment>
    <comment ref="AH155" authorId="0" shapeId="0" xr:uid="{00000000-0006-0000-0300-00004E24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5" authorId="0" shapeId="0" xr:uid="{00000000-0006-0000-0300-00004F2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5" authorId="0" shapeId="0" xr:uid="{00000000-0006-0000-0300-00005024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5" authorId="0" shapeId="0" xr:uid="{00000000-0006-0000-0300-000051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5" authorId="0" shapeId="0" xr:uid="{00000000-0006-0000-0300-000052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5" authorId="0" shapeId="0" xr:uid="{00000000-0006-0000-0300-000053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5" authorId="0" shapeId="0" xr:uid="{00000000-0006-0000-0300-000054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5" authorId="0" shapeId="0" xr:uid="{00000000-0006-0000-0300-000055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5" authorId="0" shapeId="0" xr:uid="{00000000-0006-0000-0300-000056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5" authorId="0" shapeId="0" xr:uid="{00000000-0006-0000-0300-0000572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5" authorId="0" shapeId="0" xr:uid="{00000000-0006-0000-0300-000058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5" authorId="0" shapeId="0" xr:uid="{00000000-0006-0000-0300-000059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5" authorId="0" shapeId="0" xr:uid="{00000000-0006-0000-0300-00005A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5" authorId="0" shapeId="0" xr:uid="{00000000-0006-0000-0300-00005B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5" authorId="0" shapeId="0" xr:uid="{00000000-0006-0000-0300-00005C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5" authorId="0" shapeId="0" xr:uid="{00000000-0006-0000-0300-00005D24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5" authorId="0" shapeId="0" xr:uid="{00000000-0006-0000-0300-00005E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5" authorId="0" shapeId="0" xr:uid="{00000000-0006-0000-0300-00005F2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5" authorId="0" shapeId="0" xr:uid="{00000000-0006-0000-0300-000060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5" authorId="0" shapeId="0" xr:uid="{00000000-0006-0000-0300-00006124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5" authorId="0" shapeId="0" xr:uid="{00000000-0006-0000-0300-000062240000}">
      <text>
        <r>
          <rPr>
            <sz val="9"/>
            <color indexed="81"/>
            <rFont val="Tahoma"/>
            <charset val="1"/>
          </rPr>
          <t>Stability=,Expiration=7/31/2019</t>
        </r>
      </text>
    </comment>
    <comment ref="BE155" authorId="0" shapeId="0" xr:uid="{00000000-0006-0000-0300-00006324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5" authorId="0" shapeId="0" xr:uid="{00000000-0006-0000-0300-0000642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5" authorId="0" shapeId="0" xr:uid="{00000000-0006-0000-0300-00006524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5" authorId="0" shapeId="0" xr:uid="{00000000-0006-0000-0300-00006624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5" authorId="0" shapeId="0" xr:uid="{00000000-0006-0000-0300-00006724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5" authorId="0" shapeId="0" xr:uid="{00000000-0006-0000-0300-000068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5" authorId="0" shapeId="0" xr:uid="{00000000-0006-0000-0300-00006924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5" authorId="0" shapeId="0" xr:uid="{00000000-0006-0000-0300-00006A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5" authorId="0" shapeId="0" xr:uid="{00000000-0006-0000-0300-00006B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5" authorId="0" shapeId="0" xr:uid="{00000000-0006-0000-0300-00006C2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5" authorId="0" shapeId="0" xr:uid="{00000000-0006-0000-0300-00006D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5" authorId="0" shapeId="0" xr:uid="{00000000-0006-0000-0300-00006E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5" authorId="0" shapeId="0" xr:uid="{00000000-0006-0000-0300-00006F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5" authorId="0" shapeId="0" xr:uid="{00000000-0006-0000-0300-000070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5" authorId="0" shapeId="0" xr:uid="{00000000-0006-0000-0300-00007124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5" authorId="0" shapeId="0" xr:uid="{00000000-0006-0000-0300-000072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A156" authorId="0" shapeId="0" xr:uid="{00000000-0006-0000-0300-000073240000}">
      <text>
        <r>
          <rPr>
            <sz val="9"/>
            <color indexed="81"/>
            <rFont val="Tahoma"/>
            <charset val="1"/>
          </rPr>
          <t>Date macro run: 7/27/2018 8:38:13 PM</t>
        </r>
      </text>
    </comment>
    <comment ref="B156" authorId="0" shapeId="0" xr:uid="{00000000-0006-0000-0300-000074240000}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156" authorId="0" shapeId="0" xr:uid="{00000000-0006-0000-0300-000075240000}">
      <text>
        <r>
          <rPr>
            <sz val="9"/>
            <color indexed="81"/>
            <rFont val="Tahoma"/>
            <charset val="1"/>
          </rPr>
          <t>Stability=,Expiration=8/5/2019</t>
        </r>
      </text>
    </comment>
    <comment ref="D156" authorId="0" shapeId="0" xr:uid="{00000000-0006-0000-0300-000076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E156" authorId="0" shapeId="0" xr:uid="{00000000-0006-0000-0300-000077240000}">
      <text>
        <r>
          <rPr>
            <sz val="9"/>
            <color indexed="81"/>
            <rFont val="Tahoma"/>
            <charset val="1"/>
          </rPr>
          <t>Stability=,Expiration=1/29/2020</t>
        </r>
      </text>
    </comment>
    <comment ref="F156" authorId="0" shapeId="0" xr:uid="{00000000-0006-0000-0300-000078240000}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156" authorId="0" shapeId="0" xr:uid="{00000000-0006-0000-0300-000079240000}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156" authorId="0" shapeId="0" xr:uid="{00000000-0006-0000-0300-00007A240000}">
      <text>
        <r>
          <rPr>
            <sz val="9"/>
            <color indexed="81"/>
            <rFont val="Tahoma"/>
            <charset val="1"/>
          </rPr>
          <t>Stability=,Expiration=8/2/2018</t>
        </r>
      </text>
    </comment>
    <comment ref="I156" authorId="0" shapeId="0" xr:uid="{00000000-0006-0000-0300-00007B240000}">
      <text>
        <r>
          <rPr>
            <sz val="9"/>
            <color indexed="81"/>
            <rFont val="Tahoma"/>
            <charset val="1"/>
          </rPr>
          <t>Stability=,Expiration=2/22/2019</t>
        </r>
      </text>
    </comment>
    <comment ref="J156" authorId="0" shapeId="0" xr:uid="{00000000-0006-0000-0300-00007C240000}">
      <text>
        <r>
          <rPr>
            <sz val="9"/>
            <color indexed="81"/>
            <rFont val="Tahoma"/>
            <charset val="1"/>
          </rPr>
          <t>Stability=,Expiration=6/15/2019</t>
        </r>
      </text>
    </comment>
    <comment ref="K156" authorId="0" shapeId="0" xr:uid="{00000000-0006-0000-0300-00007D240000}">
      <text>
        <r>
          <rPr>
            <sz val="9"/>
            <color indexed="81"/>
            <rFont val="Tahoma"/>
            <charset val="1"/>
          </rPr>
          <t>Stability=,Expiration=7/2/2019</t>
        </r>
      </text>
    </comment>
    <comment ref="L156" authorId="0" shapeId="0" xr:uid="{00000000-0006-0000-0300-00007E240000}">
      <text>
        <r>
          <rPr>
            <sz val="9"/>
            <color indexed="81"/>
            <rFont val="Tahoma"/>
            <charset val="1"/>
          </rPr>
          <t>Stability=,Expiration=8/18/2018</t>
        </r>
      </text>
    </comment>
    <comment ref="M156" authorId="0" shapeId="0" xr:uid="{00000000-0006-0000-0300-00007F240000}">
      <text>
        <r>
          <rPr>
            <sz val="9"/>
            <color indexed="81"/>
            <rFont val="Tahoma"/>
            <charset val="1"/>
          </rPr>
          <t>Stability=,Expiration=3/8/2019</t>
        </r>
      </text>
    </comment>
    <comment ref="N156" authorId="0" shapeId="0" xr:uid="{00000000-0006-0000-0300-000080240000}">
      <text>
        <r>
          <rPr>
            <sz val="9"/>
            <color indexed="81"/>
            <rFont val="Tahoma"/>
            <charset val="1"/>
          </rPr>
          <t>Stability=,Expiration=4/29/2019</t>
        </r>
      </text>
    </comment>
    <comment ref="O156" authorId="0" shapeId="0" xr:uid="{00000000-0006-0000-0300-000081240000}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P156" authorId="0" shapeId="0" xr:uid="{00000000-0006-0000-0300-000082240000}">
      <text>
        <r>
          <rPr>
            <sz val="9"/>
            <color indexed="81"/>
            <rFont val="Tahoma"/>
            <charset val="1"/>
          </rPr>
          <t>Stability=,Expiration=4/7/2019</t>
        </r>
      </text>
    </comment>
    <comment ref="Q156" authorId="0" shapeId="0" xr:uid="{00000000-0006-0000-0300-000083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R156" authorId="0" shapeId="0" xr:uid="{00000000-0006-0000-0300-000084240000}">
      <text>
        <r>
          <rPr>
            <sz val="9"/>
            <color indexed="81"/>
            <rFont val="Tahoma"/>
            <charset val="1"/>
          </rPr>
          <t>Stability=,Expiration=3/15/2019</t>
        </r>
      </text>
    </comment>
    <comment ref="S156" authorId="0" shapeId="0" xr:uid="{00000000-0006-0000-0300-000085240000}">
      <text>
        <r>
          <rPr>
            <sz val="9"/>
            <color indexed="81"/>
            <rFont val="Tahoma"/>
            <charset val="1"/>
          </rPr>
          <t>Stability=,Expiration=11/23/2018</t>
        </r>
      </text>
    </comment>
    <comment ref="T156" authorId="0" shapeId="0" xr:uid="{00000000-0006-0000-0300-000086240000}">
      <text>
        <r>
          <rPr>
            <sz val="9"/>
            <color indexed="81"/>
            <rFont val="Tahoma"/>
            <charset val="1"/>
          </rPr>
          <t>Stability=,Expiration=12/27/2018</t>
        </r>
      </text>
    </comment>
    <comment ref="U156" authorId="0" shapeId="0" xr:uid="{00000000-0006-0000-0300-000087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V156" authorId="0" shapeId="0" xr:uid="{00000000-0006-0000-0300-000088240000}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156" authorId="0" shapeId="0" xr:uid="{00000000-0006-0000-0300-000089240000}">
      <text>
        <r>
          <rPr>
            <sz val="9"/>
            <color indexed="81"/>
            <rFont val="Tahoma"/>
            <charset val="1"/>
          </rPr>
          <t>Stability=,Expiration=9/7/2018</t>
        </r>
      </text>
    </comment>
    <comment ref="X156" authorId="0" shapeId="0" xr:uid="{00000000-0006-0000-0300-00008A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Y156" authorId="0" shapeId="0" xr:uid="{00000000-0006-0000-0300-00008B240000}">
      <text>
        <r>
          <rPr>
            <sz val="9"/>
            <color indexed="81"/>
            <rFont val="Tahoma"/>
            <charset val="1"/>
          </rPr>
          <t>Stability=,Expiration=10/31/2018</t>
        </r>
      </text>
    </comment>
    <comment ref="Z156" authorId="0" shapeId="0" xr:uid="{00000000-0006-0000-0300-00008C240000}">
      <text>
        <r>
          <rPr>
            <sz val="9"/>
            <color indexed="81"/>
            <rFont val="Tahoma"/>
            <charset val="1"/>
          </rPr>
          <t>Stability=,Expiration=11/30/2018</t>
        </r>
      </text>
    </comment>
    <comment ref="AA156" authorId="0" shapeId="0" xr:uid="{00000000-0006-0000-0300-00008D240000}">
      <text>
        <r>
          <rPr>
            <sz val="9"/>
            <color indexed="81"/>
            <rFont val="Tahoma"/>
            <charset val="1"/>
          </rPr>
          <t>Stability=,Expiration=3/27/2019</t>
        </r>
      </text>
    </comment>
    <comment ref="AB156" authorId="0" shapeId="0" xr:uid="{00000000-0006-0000-0300-00008E240000}">
      <text>
        <r>
          <rPr>
            <sz val="9"/>
            <color indexed="81"/>
            <rFont val="Tahoma"/>
            <charset val="1"/>
          </rPr>
          <t>Stability=,Expiration=1/11/2019</t>
        </r>
      </text>
    </comment>
    <comment ref="AC156" authorId="0" shapeId="0" xr:uid="{00000000-0006-0000-0300-00008F240000}">
      <text>
        <r>
          <rPr>
            <sz val="9"/>
            <color indexed="81"/>
            <rFont val="Tahoma"/>
            <charset val="1"/>
          </rPr>
          <t>Stability=,Expiration=8/7/2019</t>
        </r>
      </text>
    </comment>
    <comment ref="AE156" authorId="0" shapeId="0" xr:uid="{00000000-0006-0000-0300-000090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AF156" authorId="0" shapeId="0" xr:uid="{00000000-0006-0000-0300-000091240000}">
      <text>
        <r>
          <rPr>
            <sz val="9"/>
            <color indexed="81"/>
            <rFont val="Tahoma"/>
            <charset val="1"/>
          </rPr>
          <t>Stability=,Expiration=11/4/2018</t>
        </r>
      </text>
    </comment>
    <comment ref="AG156" authorId="0" shapeId="0" xr:uid="{00000000-0006-0000-0300-000092240000}">
      <text>
        <r>
          <rPr>
            <sz val="9"/>
            <color indexed="81"/>
            <rFont val="Tahoma"/>
            <charset val="1"/>
          </rPr>
          <t>Stability=,Expiration=8/8/2019</t>
        </r>
      </text>
    </comment>
    <comment ref="AH156" authorId="0" shapeId="0" xr:uid="{00000000-0006-0000-0300-000093240000}">
      <text>
        <r>
          <rPr>
            <sz val="9"/>
            <color indexed="81"/>
            <rFont val="Tahoma"/>
            <charset val="1"/>
          </rPr>
          <t>Stability=,Expiration=3/1/2019</t>
        </r>
      </text>
    </comment>
    <comment ref="AI156" authorId="0" shapeId="0" xr:uid="{00000000-0006-0000-0300-000094240000}">
      <text>
        <r>
          <rPr>
            <sz val="9"/>
            <color indexed="81"/>
            <rFont val="Tahoma"/>
            <charset val="1"/>
          </rPr>
          <t>Stability=,Expiration=10/21/2018</t>
        </r>
      </text>
    </comment>
    <comment ref="AJ156" authorId="0" shapeId="0" xr:uid="{00000000-0006-0000-0300-000095240000}">
      <text>
        <r>
          <rPr>
            <sz val="9"/>
            <color indexed="81"/>
            <rFont val="Tahoma"/>
            <charset val="1"/>
          </rPr>
          <t>Stability=,Expiration=1/29/2019</t>
        </r>
      </text>
    </comment>
    <comment ref="AK156" authorId="0" shapeId="0" xr:uid="{00000000-0006-0000-0300-000096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156" authorId="0" shapeId="0" xr:uid="{00000000-0006-0000-0300-000097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156" authorId="0" shapeId="0" xr:uid="{00000000-0006-0000-0300-000098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156" authorId="0" shapeId="0" xr:uid="{00000000-0006-0000-0300-000099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156" authorId="0" shapeId="0" xr:uid="{00000000-0006-0000-0300-00009A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156" authorId="0" shapeId="0" xr:uid="{00000000-0006-0000-0300-00009B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156" authorId="0" shapeId="0" xr:uid="{00000000-0006-0000-0300-00009C240000}">
      <text>
        <r>
          <rPr>
            <sz val="9"/>
            <color indexed="81"/>
            <rFont val="Tahoma"/>
            <charset val="1"/>
          </rPr>
          <t>Stability=,Expiration=3/22/2019</t>
        </r>
      </text>
    </comment>
    <comment ref="AS156" authorId="0" shapeId="0" xr:uid="{00000000-0006-0000-0300-00009D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156" authorId="0" shapeId="0" xr:uid="{00000000-0006-0000-0300-00009E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156" authorId="0" shapeId="0" xr:uid="{00000000-0006-0000-0300-00009F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AW156" authorId="0" shapeId="0" xr:uid="{00000000-0006-0000-0300-0000A0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156" authorId="0" shapeId="0" xr:uid="{00000000-0006-0000-0300-0000A1240000}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156" authorId="0" shapeId="0" xr:uid="{00000000-0006-0000-0300-0000A2240000}">
      <text>
        <r>
          <rPr>
            <sz val="9"/>
            <color indexed="81"/>
            <rFont val="Tahoma"/>
            <charset val="1"/>
          </rPr>
          <t>Stability=,Expiration=11/1/2018</t>
        </r>
      </text>
    </comment>
    <comment ref="AZ156" authorId="0" shapeId="0" xr:uid="{00000000-0006-0000-0300-0000A3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A156" authorId="0" shapeId="0" xr:uid="{00000000-0006-0000-0300-0000A4240000}">
      <text>
        <r>
          <rPr>
            <sz val="9"/>
            <color indexed="81"/>
            <rFont val="Tahoma"/>
            <charset val="1"/>
          </rPr>
          <t>Stability=,Expiration=2/10/2019</t>
        </r>
      </text>
    </comment>
    <comment ref="BB156" authorId="0" shapeId="0" xr:uid="{00000000-0006-0000-0300-0000A5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C156" authorId="0" shapeId="0" xr:uid="{00000000-0006-0000-0300-0000A6240000}">
      <text>
        <r>
          <rPr>
            <sz val="9"/>
            <color indexed="81"/>
            <rFont val="Tahoma"/>
            <charset val="1"/>
          </rPr>
          <t>Stability=,Expiration=5/5/2019</t>
        </r>
      </text>
    </comment>
    <comment ref="BD156" authorId="0" shapeId="0" xr:uid="{00000000-0006-0000-0300-0000A7240000}">
      <text>
        <r>
          <rPr>
            <sz val="9"/>
            <color indexed="81"/>
            <rFont val="Tahoma"/>
            <charset val="1"/>
          </rPr>
          <t>Stability=,Expiration=7/31/2019</t>
        </r>
      </text>
    </comment>
    <comment ref="BE156" authorId="0" shapeId="0" xr:uid="{00000000-0006-0000-0300-0000A8240000}">
      <text>
        <r>
          <rPr>
            <sz val="9"/>
            <color indexed="81"/>
            <rFont val="Tahoma"/>
            <charset val="1"/>
          </rPr>
          <t>Stability=,Expiration=10/12/2018</t>
        </r>
      </text>
    </comment>
    <comment ref="BG156" authorId="0" shapeId="0" xr:uid="{00000000-0006-0000-0300-0000A9240000}">
      <text>
        <r>
          <rPr>
            <sz val="9"/>
            <color indexed="81"/>
            <rFont val="Tahoma"/>
            <charset val="1"/>
          </rPr>
          <t>Stability=,Expiration=8/4/2018</t>
        </r>
      </text>
    </comment>
    <comment ref="BH156" authorId="0" shapeId="0" xr:uid="{00000000-0006-0000-0300-0000AA240000}">
      <text>
        <r>
          <rPr>
            <sz val="9"/>
            <color indexed="81"/>
            <rFont val="Tahoma"/>
            <charset val="1"/>
          </rPr>
          <t>Stability=,Expiration=9/22/2018</t>
        </r>
      </text>
    </comment>
    <comment ref="BI156" authorId="0" shapeId="0" xr:uid="{00000000-0006-0000-0300-0000AB240000}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156" authorId="0" shapeId="0" xr:uid="{00000000-0006-0000-0300-0000AC240000}">
      <text>
        <r>
          <rPr>
            <sz val="9"/>
            <color indexed="81"/>
            <rFont val="Tahoma"/>
            <charset val="1"/>
          </rPr>
          <t>Stability=,Expiration=8/28/2018</t>
        </r>
      </text>
    </comment>
    <comment ref="BK156" authorId="0" shapeId="0" xr:uid="{00000000-0006-0000-0300-0000AD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  <comment ref="BL156" authorId="0" shapeId="0" xr:uid="{00000000-0006-0000-0300-0000AE240000}">
      <text>
        <r>
          <rPr>
            <sz val="9"/>
            <color indexed="81"/>
            <rFont val="Tahoma"/>
            <charset val="1"/>
          </rPr>
          <t>Stability=,Expiration=12/31/2018</t>
        </r>
      </text>
    </comment>
    <comment ref="BM156" authorId="0" shapeId="0" xr:uid="{00000000-0006-0000-0300-0000AF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N156" authorId="0" shapeId="0" xr:uid="{00000000-0006-0000-0300-0000B0240000}">
      <text>
        <r>
          <rPr>
            <sz val="9"/>
            <color indexed="81"/>
            <rFont val="Tahoma"/>
            <charset val="1"/>
          </rPr>
          <t>Stability=,Expiration=2/28/2019</t>
        </r>
      </text>
    </comment>
    <comment ref="BO156" authorId="0" shapeId="0" xr:uid="{00000000-0006-0000-0300-0000B1240000}">
      <text>
        <r>
          <rPr>
            <sz val="9"/>
            <color indexed="81"/>
            <rFont val="Tahoma"/>
            <charset val="1"/>
          </rPr>
          <t>Stability=,Expiration=5/31/2020</t>
        </r>
      </text>
    </comment>
    <comment ref="BP156" authorId="0" shapeId="0" xr:uid="{00000000-0006-0000-0300-0000B2240000}">
      <text>
        <r>
          <rPr>
            <sz val="9"/>
            <color indexed="81"/>
            <rFont val="Tahoma"/>
            <charset val="1"/>
          </rPr>
          <t>Stability=,Expiration=3/31/2019</t>
        </r>
      </text>
    </comment>
    <comment ref="BQ156" authorId="0" shapeId="0" xr:uid="{00000000-0006-0000-0300-0000B3240000}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156" authorId="0" shapeId="0" xr:uid="{00000000-0006-0000-0300-0000B4240000}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S156" authorId="0" shapeId="0" xr:uid="{00000000-0006-0000-0300-0000B5240000}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BT156" authorId="0" shapeId="0" xr:uid="{00000000-0006-0000-0300-0000B6240000}">
      <text>
        <r>
          <rPr>
            <sz val="9"/>
            <color indexed="81"/>
            <rFont val="Tahoma"/>
            <charset val="1"/>
          </rPr>
          <t>Stability=,Expiration=12/16/2018</t>
        </r>
      </text>
    </comment>
    <comment ref="BU156" authorId="0" shapeId="0" xr:uid="{00000000-0006-0000-0300-0000B7240000}">
      <text>
        <r>
          <rPr>
            <sz val="9"/>
            <color indexed="81"/>
            <rFont val="Tahoma"/>
            <charset val="1"/>
          </rPr>
          <t>Stability=,Expiration=11/18/2018</t>
        </r>
      </text>
    </comment>
  </commentList>
</comments>
</file>

<file path=xl/sharedStrings.xml><?xml version="1.0" encoding="utf-8"?>
<sst xmlns="http://schemas.openxmlformats.org/spreadsheetml/2006/main" count="570" uniqueCount="84">
  <si>
    <t>RV</t>
  </si>
  <si>
    <t>90ML</t>
  </si>
  <si>
    <t xml:space="preserve"> 55ML</t>
  </si>
  <si>
    <t>20ML</t>
  </si>
  <si>
    <t>Caps</t>
  </si>
  <si>
    <t>WBA</t>
  </si>
  <si>
    <t>AlkWash</t>
  </si>
  <si>
    <t>AcidWash</t>
  </si>
  <si>
    <t>SamCups</t>
  </si>
  <si>
    <t>Septum</t>
  </si>
  <si>
    <t>TrigSoln</t>
  </si>
  <si>
    <t>PreTrig</t>
  </si>
  <si>
    <t>ProbeCond</t>
  </si>
  <si>
    <t>ConcWash</t>
  </si>
  <si>
    <t>ARM</t>
  </si>
  <si>
    <t>Det A</t>
  </si>
  <si>
    <t>Det B</t>
  </si>
  <si>
    <t>ICT Ref</t>
  </si>
  <si>
    <t>ICT Clean</t>
  </si>
  <si>
    <t>AsssayDil</t>
  </si>
  <si>
    <t>AlkP</t>
  </si>
  <si>
    <t>ALT</t>
  </si>
  <si>
    <t>Amm</t>
  </si>
  <si>
    <t>AST</t>
  </si>
  <si>
    <t>BilD</t>
  </si>
  <si>
    <t>BilT (3840/8)</t>
  </si>
  <si>
    <t>CK</t>
  </si>
  <si>
    <t>CO2(7500/10)</t>
  </si>
  <si>
    <t>CRP</t>
  </si>
  <si>
    <t>Glu (15000/10)</t>
  </si>
  <si>
    <t>Phos</t>
  </si>
  <si>
    <t>Urea</t>
  </si>
  <si>
    <t>AlbG</t>
  </si>
  <si>
    <t>CaC (11440/10)</t>
  </si>
  <si>
    <t>Crea (7500/10)</t>
  </si>
  <si>
    <t>ICTD5</t>
  </si>
  <si>
    <t>TP</t>
  </si>
  <si>
    <t>Mg</t>
  </si>
  <si>
    <t>BNP</t>
  </si>
  <si>
    <t>CKMB</t>
  </si>
  <si>
    <t>HIV</t>
  </si>
  <si>
    <t>TSH (100)</t>
  </si>
  <si>
    <t>TnI</t>
  </si>
  <si>
    <t>Reagent</t>
  </si>
  <si>
    <t>Stability</t>
  </si>
  <si>
    <t>Expiration</t>
  </si>
  <si>
    <t xml:space="preserve"> </t>
  </si>
  <si>
    <t>HILRef</t>
  </si>
  <si>
    <t>Saline</t>
  </si>
  <si>
    <t>iVanc</t>
  </si>
  <si>
    <t>Wedge/count</t>
  </si>
  <si>
    <t>Count/Vol</t>
  </si>
  <si>
    <t>Date</t>
  </si>
  <si>
    <t>Bili Calibrator</t>
  </si>
  <si>
    <t>CO2 Calibrator</t>
  </si>
  <si>
    <t>CRP Calibrator</t>
  </si>
  <si>
    <t>FE/Mg Calibrator</t>
  </si>
  <si>
    <t>ICT Serum Calibrator</t>
  </si>
  <si>
    <t>ICT Urine Calibrator</t>
  </si>
  <si>
    <t>MCC Calibrator</t>
  </si>
  <si>
    <t>BNP Calibrator</t>
  </si>
  <si>
    <t>CKMB Calibrator</t>
  </si>
  <si>
    <t>HIV Calibrator</t>
  </si>
  <si>
    <t>TnI Calibrator</t>
  </si>
  <si>
    <t>TSH Calibrator</t>
  </si>
  <si>
    <t>HIV Control</t>
  </si>
  <si>
    <t>Biorad Card 14X</t>
  </si>
  <si>
    <t>Biorad UrChem 39X</t>
  </si>
  <si>
    <t>Biorad Urinalysis</t>
  </si>
  <si>
    <t>Biorad Chem 69X</t>
  </si>
  <si>
    <t>Biorad Imm 59X</t>
  </si>
  <si>
    <t>Biorad IAP 36X</t>
  </si>
  <si>
    <t>Specimen cups</t>
  </si>
  <si>
    <t>Empty Wedge 90ml</t>
  </si>
  <si>
    <t>iVanc Calibrator</t>
  </si>
  <si>
    <t>CRP Calibrator HS</t>
  </si>
  <si>
    <t>Biorad Eth/Amm ctrl</t>
  </si>
  <si>
    <t>B-hCG STAT</t>
  </si>
  <si>
    <t>B-hCG</t>
  </si>
  <si>
    <t>New lot expiration</t>
  </si>
  <si>
    <t>B-hCG Calibrator</t>
  </si>
  <si>
    <t>Column1</t>
  </si>
  <si>
    <t>do recount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</si>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</sst>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 applyAlignment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2" xfId="0" applyFill="1" applyBorder="1" applyAlignment="1"/>
    <xf numFmtId="0" fontId="0" fillId="2" borderId="9" xfId="0" applyFill="1" applyBorder="1"/>
    <xf numFmtId="0" fontId="0" fillId="2" borderId="10" xfId="0" applyFill="1" applyBorder="1"/>
    <xf numFmtId="0" fontId="0" fillId="0" borderId="11" xfId="0" applyBorder="1"/>
    <xf numFmtId="0" fontId="0" fillId="2" borderId="12" xfId="0" applyFill="1" applyBorder="1"/>
    <xf numFmtId="0" fontId="0" fillId="0" borderId="13" xfId="0" applyBorder="1"/>
    <xf numFmtId="0" fontId="0" fillId="0" borderId="0" xfId="0" applyBorder="1"/>
    <xf numFmtId="14" fontId="0" fillId="0" borderId="0" xfId="0" applyNumberFormat="1" applyBorder="1"/>
    <xf numFmtId="14" fontId="0" fillId="0" borderId="0" xfId="0" applyNumberFormat="1"/>
    <xf numFmtId="14" fontId="0" fillId="0" borderId="11" xfId="0" applyNumberFormat="1" applyBorder="1"/>
    <xf numFmtId="0" fontId="0" fillId="0" borderId="14" xfId="0" applyBorder="1"/>
    <xf numFmtId="0" fontId="0" fillId="0" borderId="15" xfId="0" applyBorder="1"/>
    <xf numFmtId="14" fontId="0" fillId="0" borderId="14" xfId="0" applyNumberFormat="1" applyBorder="1"/>
    <xf numFmtId="14" fontId="0" fillId="0" borderId="15" xfId="0" applyNumberFormat="1" applyBorder="1"/>
    <xf numFmtId="0" fontId="0" fillId="0" borderId="16" xfId="0" applyBorder="1"/>
    <xf numFmtId="0" fontId="0" fillId="2" borderId="18" xfId="0" applyFill="1" applyBorder="1"/>
    <xf numFmtId="0" fontId="0" fillId="2" borderId="17" xfId="0" applyFill="1" applyBorder="1"/>
    <xf numFmtId="0" fontId="0" fillId="0" borderId="19" xfId="0" applyBorder="1"/>
  </cellXfs>
  <cellStyles count="1">
    <cellStyle name="Normal" xfId="0" builtinId="0"/>
  </cellStyles>
  <dxfs count="2">
    <dxf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AlbG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4.085859</c:v>
          </c:tx>
          <c:marker>
            <c:symbol val="none"/>
          </c:marker>
          <c:trendline>
            <c:name>0 Date: 9/25/2018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history'!$B$2:$B$82</c:f>
              <c:numCache>
                <c:formatCode>General</c:formatCode>
                <c:ptCount val="81"/>
                <c:pt idx="0">
                  <c:v>195</c:v>
                </c:pt>
                <c:pt idx="1">
                  <c:v>192</c:v>
                </c:pt>
                <c:pt idx="2">
                  <c:v>178</c:v>
                </c:pt>
                <c:pt idx="3">
                  <c:v>154</c:v>
                </c:pt>
                <c:pt idx="4">
                  <c:v>145</c:v>
                </c:pt>
                <c:pt idx="5">
                  <c:v>124</c:v>
                </c:pt>
                <c:pt idx="6">
                  <c:v>116</c:v>
                </c:pt>
                <c:pt idx="7">
                  <c:v>108</c:v>
                </c:pt>
                <c:pt idx="8">
                  <c:v>98</c:v>
                </c:pt>
                <c:pt idx="9">
                  <c:v>83</c:v>
                </c:pt>
                <c:pt idx="10">
                  <c:v>65</c:v>
                </c:pt>
                <c:pt idx="11">
                  <c:v>254</c:v>
                </c:pt>
                <c:pt idx="12">
                  <c:v>248</c:v>
                </c:pt>
                <c:pt idx="13">
                  <c:v>235</c:v>
                </c:pt>
                <c:pt idx="14">
                  <c:v>227</c:v>
                </c:pt>
                <c:pt idx="15">
                  <c:v>223</c:v>
                </c:pt>
                <c:pt idx="16">
                  <c:v>205</c:v>
                </c:pt>
                <c:pt idx="17">
                  <c:v>190</c:v>
                </c:pt>
                <c:pt idx="18">
                  <c:v>174</c:v>
                </c:pt>
                <c:pt idx="19">
                  <c:v>167</c:v>
                </c:pt>
                <c:pt idx="20">
                  <c:v>160</c:v>
                </c:pt>
                <c:pt idx="21">
                  <c:v>149</c:v>
                </c:pt>
                <c:pt idx="22">
                  <c:v>141</c:v>
                </c:pt>
                <c:pt idx="23">
                  <c:v>132</c:v>
                </c:pt>
                <c:pt idx="24">
                  <c:v>120</c:v>
                </c:pt>
                <c:pt idx="25">
                  <c:v>111</c:v>
                </c:pt>
                <c:pt idx="26">
                  <c:v>104</c:v>
                </c:pt>
                <c:pt idx="27">
                  <c:v>98</c:v>
                </c:pt>
                <c:pt idx="28">
                  <c:v>262</c:v>
                </c:pt>
                <c:pt idx="29">
                  <c:v>251</c:v>
                </c:pt>
                <c:pt idx="30">
                  <c:v>245</c:v>
                </c:pt>
                <c:pt idx="31">
                  <c:v>237</c:v>
                </c:pt>
                <c:pt idx="32">
                  <c:v>229</c:v>
                </c:pt>
                <c:pt idx="33">
                  <c:v>214</c:v>
                </c:pt>
                <c:pt idx="34">
                  <c:v>203</c:v>
                </c:pt>
                <c:pt idx="35">
                  <c:v>195</c:v>
                </c:pt>
                <c:pt idx="36">
                  <c:v>187</c:v>
                </c:pt>
                <c:pt idx="37">
                  <c:v>179</c:v>
                </c:pt>
                <c:pt idx="38">
                  <c:v>176</c:v>
                </c:pt>
                <c:pt idx="39">
                  <c:v>157</c:v>
                </c:pt>
                <c:pt idx="40">
                  <c:v>140</c:v>
                </c:pt>
                <c:pt idx="41">
                  <c:v>136</c:v>
                </c:pt>
                <c:pt idx="42">
                  <c:v>116</c:v>
                </c:pt>
                <c:pt idx="43">
                  <c:v>107</c:v>
                </c:pt>
                <c:pt idx="44">
                  <c:v>62</c:v>
                </c:pt>
                <c:pt idx="45">
                  <c:v>48</c:v>
                </c:pt>
                <c:pt idx="46">
                  <c:v>247</c:v>
                </c:pt>
                <c:pt idx="47">
                  <c:v>244</c:v>
                </c:pt>
                <c:pt idx="48">
                  <c:v>229</c:v>
                </c:pt>
                <c:pt idx="49">
                  <c:v>220</c:v>
                </c:pt>
                <c:pt idx="50">
                  <c:v>209</c:v>
                </c:pt>
                <c:pt idx="51">
                  <c:v>201</c:v>
                </c:pt>
                <c:pt idx="52">
                  <c:v>191</c:v>
                </c:pt>
                <c:pt idx="53">
                  <c:v>190</c:v>
                </c:pt>
                <c:pt idx="54">
                  <c:v>174</c:v>
                </c:pt>
                <c:pt idx="55">
                  <c:v>166</c:v>
                </c:pt>
                <c:pt idx="56">
                  <c:v>156</c:v>
                </c:pt>
                <c:pt idx="57">
                  <c:v>139</c:v>
                </c:pt>
                <c:pt idx="58">
                  <c:v>129</c:v>
                </c:pt>
                <c:pt idx="59">
                  <c:v>125</c:v>
                </c:pt>
                <c:pt idx="60">
                  <c:v>105</c:v>
                </c:pt>
                <c:pt idx="61">
                  <c:v>96</c:v>
                </c:pt>
                <c:pt idx="62">
                  <c:v>93</c:v>
                </c:pt>
                <c:pt idx="63">
                  <c:v>257</c:v>
                </c:pt>
                <c:pt idx="64">
                  <c:v>249</c:v>
                </c:pt>
                <c:pt idx="65">
                  <c:v>245</c:v>
                </c:pt>
                <c:pt idx="66">
                  <c:v>231</c:v>
                </c:pt>
                <c:pt idx="67">
                  <c:v>215</c:v>
                </c:pt>
                <c:pt idx="68">
                  <c:v>201</c:v>
                </c:pt>
                <c:pt idx="69">
                  <c:v>194</c:v>
                </c:pt>
                <c:pt idx="70">
                  <c:v>184</c:v>
                </c:pt>
                <c:pt idx="71">
                  <c:v>183</c:v>
                </c:pt>
                <c:pt idx="72">
                  <c:v>179</c:v>
                </c:pt>
                <c:pt idx="73">
                  <c:v>156</c:v>
                </c:pt>
                <c:pt idx="74">
                  <c:v>147</c:v>
                </c:pt>
                <c:pt idx="75">
                  <c:v>134</c:v>
                </c:pt>
                <c:pt idx="76">
                  <c:v>125</c:v>
                </c:pt>
                <c:pt idx="77">
                  <c:v>119</c:v>
                </c:pt>
                <c:pt idx="78">
                  <c:v>261</c:v>
                </c:pt>
                <c:pt idx="79">
                  <c:v>251</c:v>
                </c:pt>
                <c:pt idx="80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2-49DE-A388-AAE7C8C21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51368"/>
        <c:axId val="812460552"/>
      </c:lineChart>
      <c:dateAx>
        <c:axId val="812451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60552"/>
        <c:crosses val="autoZero"/>
        <c:auto val="1"/>
        <c:lblOffset val="100"/>
        <c:baseTimeUnit val="days"/>
      </c:dateAx>
      <c:valAx>
        <c:axId val="812460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51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2.914141</c:v>
          </c:tx>
          <c:marker>
            <c:symbol val="none"/>
          </c:marker>
          <c:trendline>
            <c:name>0 Date: 10/17/2018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history'!$C$2:$C$82</c:f>
              <c:numCache>
                <c:formatCode>General</c:formatCode>
                <c:ptCount val="81"/>
                <c:pt idx="0">
                  <c:v>283</c:v>
                </c:pt>
                <c:pt idx="1">
                  <c:v>280</c:v>
                </c:pt>
                <c:pt idx="2">
                  <c:v>288</c:v>
                </c:pt>
                <c:pt idx="3">
                  <c:v>280</c:v>
                </c:pt>
                <c:pt idx="4">
                  <c:v>302</c:v>
                </c:pt>
                <c:pt idx="5">
                  <c:v>288</c:v>
                </c:pt>
                <c:pt idx="6">
                  <c:v>263</c:v>
                </c:pt>
                <c:pt idx="7">
                  <c:v>255</c:v>
                </c:pt>
                <c:pt idx="8">
                  <c:v>298</c:v>
                </c:pt>
                <c:pt idx="9">
                  <c:v>280</c:v>
                </c:pt>
                <c:pt idx="10">
                  <c:v>295</c:v>
                </c:pt>
                <c:pt idx="11">
                  <c:v>275</c:v>
                </c:pt>
                <c:pt idx="12">
                  <c:v>269</c:v>
                </c:pt>
                <c:pt idx="13">
                  <c:v>295</c:v>
                </c:pt>
                <c:pt idx="14">
                  <c:v>284</c:v>
                </c:pt>
                <c:pt idx="15">
                  <c:v>282</c:v>
                </c:pt>
                <c:pt idx="16">
                  <c:v>297</c:v>
                </c:pt>
                <c:pt idx="17">
                  <c:v>280</c:v>
                </c:pt>
                <c:pt idx="18">
                  <c:v>296</c:v>
                </c:pt>
                <c:pt idx="19">
                  <c:v>289</c:v>
                </c:pt>
                <c:pt idx="20">
                  <c:v>305</c:v>
                </c:pt>
                <c:pt idx="21">
                  <c:v>296</c:v>
                </c:pt>
                <c:pt idx="22">
                  <c:v>287</c:v>
                </c:pt>
                <c:pt idx="23">
                  <c:v>279</c:v>
                </c:pt>
                <c:pt idx="24">
                  <c:v>299</c:v>
                </c:pt>
                <c:pt idx="25">
                  <c:v>292</c:v>
                </c:pt>
                <c:pt idx="26">
                  <c:v>285</c:v>
                </c:pt>
                <c:pt idx="27">
                  <c:v>295</c:v>
                </c:pt>
                <c:pt idx="28">
                  <c:v>281</c:v>
                </c:pt>
                <c:pt idx="29">
                  <c:v>272</c:v>
                </c:pt>
                <c:pt idx="30">
                  <c:v>300</c:v>
                </c:pt>
                <c:pt idx="31">
                  <c:v>292</c:v>
                </c:pt>
                <c:pt idx="32">
                  <c:v>285</c:v>
                </c:pt>
                <c:pt idx="33">
                  <c:v>298</c:v>
                </c:pt>
                <c:pt idx="34">
                  <c:v>288</c:v>
                </c:pt>
                <c:pt idx="35">
                  <c:v>279</c:v>
                </c:pt>
                <c:pt idx="36">
                  <c:v>304</c:v>
                </c:pt>
                <c:pt idx="37">
                  <c:v>293</c:v>
                </c:pt>
                <c:pt idx="38">
                  <c:v>291</c:v>
                </c:pt>
                <c:pt idx="39">
                  <c:v>305</c:v>
                </c:pt>
                <c:pt idx="40">
                  <c:v>295</c:v>
                </c:pt>
                <c:pt idx="41">
                  <c:v>291</c:v>
                </c:pt>
                <c:pt idx="42">
                  <c:v>274</c:v>
                </c:pt>
                <c:pt idx="43">
                  <c:v>301</c:v>
                </c:pt>
                <c:pt idx="44">
                  <c:v>259</c:v>
                </c:pt>
                <c:pt idx="45">
                  <c:v>246</c:v>
                </c:pt>
                <c:pt idx="46">
                  <c:v>298</c:v>
                </c:pt>
                <c:pt idx="47">
                  <c:v>295</c:v>
                </c:pt>
                <c:pt idx="48">
                  <c:v>279</c:v>
                </c:pt>
                <c:pt idx="49">
                  <c:v>228</c:v>
                </c:pt>
                <c:pt idx="50">
                  <c:v>218</c:v>
                </c:pt>
                <c:pt idx="51">
                  <c:v>211</c:v>
                </c:pt>
                <c:pt idx="52">
                  <c:v>236</c:v>
                </c:pt>
                <c:pt idx="53">
                  <c:v>234</c:v>
                </c:pt>
                <c:pt idx="54">
                  <c:v>219</c:v>
                </c:pt>
                <c:pt idx="55">
                  <c:v>211</c:v>
                </c:pt>
                <c:pt idx="56">
                  <c:v>237</c:v>
                </c:pt>
                <c:pt idx="57">
                  <c:v>223</c:v>
                </c:pt>
                <c:pt idx="58">
                  <c:v>216</c:v>
                </c:pt>
                <c:pt idx="59">
                  <c:v>212</c:v>
                </c:pt>
                <c:pt idx="60">
                  <c:v>222</c:v>
                </c:pt>
                <c:pt idx="61">
                  <c:v>213</c:v>
                </c:pt>
                <c:pt idx="62">
                  <c:v>211</c:v>
                </c:pt>
                <c:pt idx="63">
                  <c:v>229</c:v>
                </c:pt>
                <c:pt idx="64">
                  <c:v>221</c:v>
                </c:pt>
                <c:pt idx="65">
                  <c:v>218</c:v>
                </c:pt>
                <c:pt idx="66">
                  <c:v>231</c:v>
                </c:pt>
                <c:pt idx="67">
                  <c:v>214</c:v>
                </c:pt>
                <c:pt idx="68">
                  <c:v>236</c:v>
                </c:pt>
                <c:pt idx="69">
                  <c:v>228</c:v>
                </c:pt>
                <c:pt idx="70">
                  <c:v>220</c:v>
                </c:pt>
                <c:pt idx="71">
                  <c:v>218</c:v>
                </c:pt>
                <c:pt idx="72">
                  <c:v>235</c:v>
                </c:pt>
                <c:pt idx="73">
                  <c:v>219</c:v>
                </c:pt>
                <c:pt idx="74">
                  <c:v>209</c:v>
                </c:pt>
                <c:pt idx="75">
                  <c:v>225</c:v>
                </c:pt>
                <c:pt idx="76">
                  <c:v>217</c:v>
                </c:pt>
                <c:pt idx="77">
                  <c:v>212</c:v>
                </c:pt>
                <c:pt idx="78">
                  <c:v>229</c:v>
                </c:pt>
                <c:pt idx="79">
                  <c:v>220</c:v>
                </c:pt>
                <c:pt idx="80">
                  <c:v>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85-4273-9C80-649EDCB57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615696"/>
        <c:axId val="470536248"/>
      </c:lineChart>
      <c:dateAx>
        <c:axId val="470615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70536248"/>
        <c:crosses val="autoZero"/>
        <c:auto val="1"/>
        <c:lblOffset val="100"/>
        <c:baseTimeUnit val="days"/>
      </c:dateAx>
      <c:valAx>
        <c:axId val="470536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15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4.111111</c:v>
          </c:tx>
          <c:marker>
            <c:symbol val="none"/>
          </c:marker>
          <c:trendline>
            <c:name>0 Date: 10/10/2018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history'!$D$2:$D$82</c:f>
              <c:numCache>
                <c:formatCode>General</c:formatCode>
                <c:ptCount val="81"/>
                <c:pt idx="0">
                  <c:v>344</c:v>
                </c:pt>
                <c:pt idx="1">
                  <c:v>341</c:v>
                </c:pt>
                <c:pt idx="2">
                  <c:v>371</c:v>
                </c:pt>
                <c:pt idx="3">
                  <c:v>362</c:v>
                </c:pt>
                <c:pt idx="4">
                  <c:v>352</c:v>
                </c:pt>
                <c:pt idx="5">
                  <c:v>325</c:v>
                </c:pt>
                <c:pt idx="6">
                  <c:v>296</c:v>
                </c:pt>
                <c:pt idx="7">
                  <c:v>278</c:v>
                </c:pt>
                <c:pt idx="8">
                  <c:v>388</c:v>
                </c:pt>
                <c:pt idx="9">
                  <c:v>371</c:v>
                </c:pt>
                <c:pt idx="10">
                  <c:v>350</c:v>
                </c:pt>
                <c:pt idx="11">
                  <c:v>334</c:v>
                </c:pt>
                <c:pt idx="12">
                  <c:v>326</c:v>
                </c:pt>
                <c:pt idx="13">
                  <c:v>313</c:v>
                </c:pt>
                <c:pt idx="14">
                  <c:v>305</c:v>
                </c:pt>
                <c:pt idx="15">
                  <c:v>302</c:v>
                </c:pt>
                <c:pt idx="16">
                  <c:v>283</c:v>
                </c:pt>
                <c:pt idx="17">
                  <c:v>268</c:v>
                </c:pt>
                <c:pt idx="18">
                  <c:v>375</c:v>
                </c:pt>
                <c:pt idx="19">
                  <c:v>369</c:v>
                </c:pt>
                <c:pt idx="20">
                  <c:v>361</c:v>
                </c:pt>
                <c:pt idx="21">
                  <c:v>351</c:v>
                </c:pt>
                <c:pt idx="22">
                  <c:v>343</c:v>
                </c:pt>
                <c:pt idx="23">
                  <c:v>334</c:v>
                </c:pt>
                <c:pt idx="24">
                  <c:v>321</c:v>
                </c:pt>
                <c:pt idx="25">
                  <c:v>313</c:v>
                </c:pt>
                <c:pt idx="26">
                  <c:v>306</c:v>
                </c:pt>
                <c:pt idx="27">
                  <c:v>299</c:v>
                </c:pt>
                <c:pt idx="28">
                  <c:v>284</c:v>
                </c:pt>
                <c:pt idx="29">
                  <c:v>374</c:v>
                </c:pt>
                <c:pt idx="30">
                  <c:v>369</c:v>
                </c:pt>
                <c:pt idx="31">
                  <c:v>359</c:v>
                </c:pt>
                <c:pt idx="32">
                  <c:v>352</c:v>
                </c:pt>
                <c:pt idx="33">
                  <c:v>337</c:v>
                </c:pt>
                <c:pt idx="34">
                  <c:v>326</c:v>
                </c:pt>
                <c:pt idx="35">
                  <c:v>317</c:v>
                </c:pt>
                <c:pt idx="36">
                  <c:v>310</c:v>
                </c:pt>
                <c:pt idx="37">
                  <c:v>302</c:v>
                </c:pt>
                <c:pt idx="38">
                  <c:v>299</c:v>
                </c:pt>
                <c:pt idx="39">
                  <c:v>281</c:v>
                </c:pt>
                <c:pt idx="40">
                  <c:v>380</c:v>
                </c:pt>
                <c:pt idx="41">
                  <c:v>376</c:v>
                </c:pt>
                <c:pt idx="42">
                  <c:v>359</c:v>
                </c:pt>
                <c:pt idx="43">
                  <c:v>349</c:v>
                </c:pt>
                <c:pt idx="44">
                  <c:v>305</c:v>
                </c:pt>
                <c:pt idx="45">
                  <c:v>291</c:v>
                </c:pt>
                <c:pt idx="46">
                  <c:v>280</c:v>
                </c:pt>
                <c:pt idx="47">
                  <c:v>277</c:v>
                </c:pt>
                <c:pt idx="48">
                  <c:v>261</c:v>
                </c:pt>
                <c:pt idx="49">
                  <c:v>250</c:v>
                </c:pt>
                <c:pt idx="50">
                  <c:v>240</c:v>
                </c:pt>
                <c:pt idx="51">
                  <c:v>231</c:v>
                </c:pt>
                <c:pt idx="52">
                  <c:v>372</c:v>
                </c:pt>
                <c:pt idx="53">
                  <c:v>370</c:v>
                </c:pt>
                <c:pt idx="54">
                  <c:v>354</c:v>
                </c:pt>
                <c:pt idx="55">
                  <c:v>348</c:v>
                </c:pt>
                <c:pt idx="56">
                  <c:v>336</c:v>
                </c:pt>
                <c:pt idx="57">
                  <c:v>323</c:v>
                </c:pt>
                <c:pt idx="58">
                  <c:v>313</c:v>
                </c:pt>
                <c:pt idx="59">
                  <c:v>310</c:v>
                </c:pt>
                <c:pt idx="60">
                  <c:v>291</c:v>
                </c:pt>
                <c:pt idx="61">
                  <c:v>282</c:v>
                </c:pt>
                <c:pt idx="62">
                  <c:v>278</c:v>
                </c:pt>
                <c:pt idx="63">
                  <c:v>378</c:v>
                </c:pt>
                <c:pt idx="64">
                  <c:v>370</c:v>
                </c:pt>
                <c:pt idx="65">
                  <c:v>366</c:v>
                </c:pt>
                <c:pt idx="66">
                  <c:v>351</c:v>
                </c:pt>
                <c:pt idx="67">
                  <c:v>334</c:v>
                </c:pt>
                <c:pt idx="68">
                  <c:v>320</c:v>
                </c:pt>
                <c:pt idx="69">
                  <c:v>312</c:v>
                </c:pt>
                <c:pt idx="70">
                  <c:v>304</c:v>
                </c:pt>
                <c:pt idx="71">
                  <c:v>300</c:v>
                </c:pt>
                <c:pt idx="72">
                  <c:v>298</c:v>
                </c:pt>
                <c:pt idx="73">
                  <c:v>281</c:v>
                </c:pt>
                <c:pt idx="74">
                  <c:v>272</c:v>
                </c:pt>
                <c:pt idx="75">
                  <c:v>372</c:v>
                </c:pt>
                <c:pt idx="76">
                  <c:v>362</c:v>
                </c:pt>
                <c:pt idx="77">
                  <c:v>358</c:v>
                </c:pt>
                <c:pt idx="78">
                  <c:v>326</c:v>
                </c:pt>
                <c:pt idx="79">
                  <c:v>315</c:v>
                </c:pt>
                <c:pt idx="80">
                  <c:v>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7-4FBD-8121-DE9690556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67768"/>
        <c:axId val="812460880"/>
      </c:lineChart>
      <c:dateAx>
        <c:axId val="812467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60880"/>
        <c:crosses val="autoZero"/>
        <c:auto val="1"/>
        <c:lblOffset val="100"/>
        <c:baseTimeUnit val="days"/>
      </c:dateAx>
      <c:valAx>
        <c:axId val="812460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67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5.368687</c:v>
          </c:tx>
          <c:marker>
            <c:symbol val="none"/>
          </c:marker>
          <c:trendline>
            <c:name>0 Date: 8/8/2018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history'!$E$2:$E$82</c:f>
              <c:numCache>
                <c:formatCode>General</c:formatCode>
                <c:ptCount val="81"/>
                <c:pt idx="0">
                  <c:v>49</c:v>
                </c:pt>
                <c:pt idx="1">
                  <c:v>41</c:v>
                </c:pt>
                <c:pt idx="2">
                  <c:v>10</c:v>
                </c:pt>
                <c:pt idx="3">
                  <c:v>59</c:v>
                </c:pt>
                <c:pt idx="4">
                  <c:v>44</c:v>
                </c:pt>
                <c:pt idx="5">
                  <c:v>13</c:v>
                </c:pt>
                <c:pt idx="6">
                  <c:v>62</c:v>
                </c:pt>
                <c:pt idx="7">
                  <c:v>46</c:v>
                </c:pt>
                <c:pt idx="8">
                  <c:v>23</c:v>
                </c:pt>
                <c:pt idx="9">
                  <c:v>74</c:v>
                </c:pt>
                <c:pt idx="10">
                  <c:v>43</c:v>
                </c:pt>
                <c:pt idx="11">
                  <c:v>20</c:v>
                </c:pt>
                <c:pt idx="12">
                  <c:v>12</c:v>
                </c:pt>
                <c:pt idx="13">
                  <c:v>65</c:v>
                </c:pt>
                <c:pt idx="14">
                  <c:v>50</c:v>
                </c:pt>
                <c:pt idx="15">
                  <c:v>42</c:v>
                </c:pt>
                <c:pt idx="16">
                  <c:v>12</c:v>
                </c:pt>
                <c:pt idx="17">
                  <c:v>66</c:v>
                </c:pt>
                <c:pt idx="18">
                  <c:v>35</c:v>
                </c:pt>
                <c:pt idx="19">
                  <c:v>20</c:v>
                </c:pt>
                <c:pt idx="20">
                  <c:v>73</c:v>
                </c:pt>
                <c:pt idx="21">
                  <c:v>50</c:v>
                </c:pt>
                <c:pt idx="22">
                  <c:v>35</c:v>
                </c:pt>
                <c:pt idx="23">
                  <c:v>19</c:v>
                </c:pt>
                <c:pt idx="24">
                  <c:v>73</c:v>
                </c:pt>
                <c:pt idx="25">
                  <c:v>58</c:v>
                </c:pt>
                <c:pt idx="26">
                  <c:v>43</c:v>
                </c:pt>
                <c:pt idx="27">
                  <c:v>20</c:v>
                </c:pt>
                <c:pt idx="28">
                  <c:v>71</c:v>
                </c:pt>
                <c:pt idx="29">
                  <c:v>56</c:v>
                </c:pt>
                <c:pt idx="30">
                  <c:v>33</c:v>
                </c:pt>
                <c:pt idx="31">
                  <c:v>17</c:v>
                </c:pt>
                <c:pt idx="32">
                  <c:v>10</c:v>
                </c:pt>
                <c:pt idx="33">
                  <c:v>48</c:v>
                </c:pt>
                <c:pt idx="34">
                  <c:v>33</c:v>
                </c:pt>
                <c:pt idx="35">
                  <c:v>18</c:v>
                </c:pt>
                <c:pt idx="36">
                  <c:v>74</c:v>
                </c:pt>
                <c:pt idx="37">
                  <c:v>59</c:v>
                </c:pt>
                <c:pt idx="38">
                  <c:v>51</c:v>
                </c:pt>
                <c:pt idx="39">
                  <c:v>16</c:v>
                </c:pt>
                <c:pt idx="40">
                  <c:v>75</c:v>
                </c:pt>
                <c:pt idx="41">
                  <c:v>67</c:v>
                </c:pt>
                <c:pt idx="42">
                  <c:v>36</c:v>
                </c:pt>
                <c:pt idx="43">
                  <c:v>21</c:v>
                </c:pt>
                <c:pt idx="44">
                  <c:v>74</c:v>
                </c:pt>
                <c:pt idx="45">
                  <c:v>49</c:v>
                </c:pt>
                <c:pt idx="46">
                  <c:v>29</c:v>
                </c:pt>
                <c:pt idx="47">
                  <c:v>19</c:v>
                </c:pt>
                <c:pt idx="48">
                  <c:v>67</c:v>
                </c:pt>
                <c:pt idx="49">
                  <c:v>51</c:v>
                </c:pt>
                <c:pt idx="50">
                  <c:v>36</c:v>
                </c:pt>
                <c:pt idx="51">
                  <c:v>11</c:v>
                </c:pt>
                <c:pt idx="52">
                  <c:v>57</c:v>
                </c:pt>
                <c:pt idx="53">
                  <c:v>49</c:v>
                </c:pt>
                <c:pt idx="54">
                  <c:v>18</c:v>
                </c:pt>
                <c:pt idx="55">
                  <c:v>75</c:v>
                </c:pt>
                <c:pt idx="56">
                  <c:v>60</c:v>
                </c:pt>
                <c:pt idx="57">
                  <c:v>27</c:v>
                </c:pt>
                <c:pt idx="58">
                  <c:v>19</c:v>
                </c:pt>
                <c:pt idx="59">
                  <c:v>11</c:v>
                </c:pt>
                <c:pt idx="60">
                  <c:v>51</c:v>
                </c:pt>
                <c:pt idx="61">
                  <c:v>36</c:v>
                </c:pt>
                <c:pt idx="62">
                  <c:v>28</c:v>
                </c:pt>
                <c:pt idx="63">
                  <c:v>74</c:v>
                </c:pt>
                <c:pt idx="64">
                  <c:v>59</c:v>
                </c:pt>
                <c:pt idx="65">
                  <c:v>51</c:v>
                </c:pt>
                <c:pt idx="66">
                  <c:v>20</c:v>
                </c:pt>
                <c:pt idx="67">
                  <c:v>75</c:v>
                </c:pt>
                <c:pt idx="68">
                  <c:v>57</c:v>
                </c:pt>
                <c:pt idx="69">
                  <c:v>34</c:v>
                </c:pt>
                <c:pt idx="70">
                  <c:v>19</c:v>
                </c:pt>
                <c:pt idx="71">
                  <c:v>11</c:v>
                </c:pt>
                <c:pt idx="72">
                  <c:v>74</c:v>
                </c:pt>
                <c:pt idx="73">
                  <c:v>43</c:v>
                </c:pt>
                <c:pt idx="74">
                  <c:v>20</c:v>
                </c:pt>
                <c:pt idx="75">
                  <c:v>64</c:v>
                </c:pt>
                <c:pt idx="76">
                  <c:v>49</c:v>
                </c:pt>
                <c:pt idx="77">
                  <c:v>41</c:v>
                </c:pt>
                <c:pt idx="78">
                  <c:v>19</c:v>
                </c:pt>
                <c:pt idx="79">
                  <c:v>5</c:v>
                </c:pt>
                <c:pt idx="80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A-442B-AEA1-E25DB2458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70064"/>
        <c:axId val="812461208"/>
      </c:lineChart>
      <c:dateAx>
        <c:axId val="8124700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61208"/>
        <c:crosses val="autoZero"/>
        <c:auto val="1"/>
        <c:lblOffset val="100"/>
        <c:baseTimeUnit val="days"/>
      </c:dateAx>
      <c:valAx>
        <c:axId val="812461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700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4.181818</c:v>
          </c:tx>
          <c:marker>
            <c:symbol val="none"/>
          </c:marker>
          <c:trendline>
            <c:name>0 Date: 10/8/2018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history'!$F$2:$F$82</c:f>
              <c:numCache>
                <c:formatCode>General</c:formatCode>
                <c:ptCount val="81"/>
                <c:pt idx="0">
                  <c:v>365</c:v>
                </c:pt>
                <c:pt idx="1">
                  <c:v>362</c:v>
                </c:pt>
                <c:pt idx="2">
                  <c:v>346</c:v>
                </c:pt>
                <c:pt idx="3">
                  <c:v>337</c:v>
                </c:pt>
                <c:pt idx="4">
                  <c:v>329</c:v>
                </c:pt>
                <c:pt idx="5">
                  <c:v>314</c:v>
                </c:pt>
                <c:pt idx="6">
                  <c:v>284</c:v>
                </c:pt>
                <c:pt idx="7">
                  <c:v>276</c:v>
                </c:pt>
                <c:pt idx="8">
                  <c:v>266</c:v>
                </c:pt>
                <c:pt idx="9">
                  <c:v>251</c:v>
                </c:pt>
                <c:pt idx="10">
                  <c:v>378</c:v>
                </c:pt>
                <c:pt idx="11">
                  <c:v>361</c:v>
                </c:pt>
                <c:pt idx="12">
                  <c:v>354</c:v>
                </c:pt>
                <c:pt idx="13">
                  <c:v>339</c:v>
                </c:pt>
                <c:pt idx="14">
                  <c:v>331</c:v>
                </c:pt>
                <c:pt idx="15">
                  <c:v>327</c:v>
                </c:pt>
                <c:pt idx="16">
                  <c:v>307</c:v>
                </c:pt>
                <c:pt idx="17">
                  <c:v>289</c:v>
                </c:pt>
                <c:pt idx="18">
                  <c:v>273</c:v>
                </c:pt>
                <c:pt idx="19">
                  <c:v>268</c:v>
                </c:pt>
                <c:pt idx="20">
                  <c:v>258</c:v>
                </c:pt>
                <c:pt idx="21">
                  <c:v>378</c:v>
                </c:pt>
                <c:pt idx="22">
                  <c:v>370</c:v>
                </c:pt>
                <c:pt idx="23">
                  <c:v>362</c:v>
                </c:pt>
                <c:pt idx="24">
                  <c:v>365</c:v>
                </c:pt>
                <c:pt idx="25">
                  <c:v>356</c:v>
                </c:pt>
                <c:pt idx="26">
                  <c:v>347</c:v>
                </c:pt>
                <c:pt idx="27">
                  <c:v>342</c:v>
                </c:pt>
                <c:pt idx="28">
                  <c:v>329</c:v>
                </c:pt>
                <c:pt idx="29">
                  <c:v>319</c:v>
                </c:pt>
                <c:pt idx="30">
                  <c:v>311</c:v>
                </c:pt>
                <c:pt idx="31">
                  <c:v>302</c:v>
                </c:pt>
                <c:pt idx="32">
                  <c:v>296</c:v>
                </c:pt>
                <c:pt idx="33">
                  <c:v>281</c:v>
                </c:pt>
                <c:pt idx="34">
                  <c:v>269</c:v>
                </c:pt>
                <c:pt idx="35">
                  <c:v>259</c:v>
                </c:pt>
                <c:pt idx="36">
                  <c:v>253</c:v>
                </c:pt>
                <c:pt idx="37">
                  <c:v>373</c:v>
                </c:pt>
                <c:pt idx="38">
                  <c:v>371</c:v>
                </c:pt>
                <c:pt idx="39">
                  <c:v>352</c:v>
                </c:pt>
                <c:pt idx="40">
                  <c:v>341</c:v>
                </c:pt>
                <c:pt idx="41">
                  <c:v>336</c:v>
                </c:pt>
                <c:pt idx="42">
                  <c:v>320</c:v>
                </c:pt>
                <c:pt idx="43">
                  <c:v>310</c:v>
                </c:pt>
                <c:pt idx="44">
                  <c:v>263</c:v>
                </c:pt>
                <c:pt idx="45">
                  <c:v>249</c:v>
                </c:pt>
                <c:pt idx="46">
                  <c:v>239</c:v>
                </c:pt>
                <c:pt idx="47">
                  <c:v>237</c:v>
                </c:pt>
                <c:pt idx="48">
                  <c:v>219</c:v>
                </c:pt>
                <c:pt idx="49">
                  <c:v>210</c:v>
                </c:pt>
                <c:pt idx="50">
                  <c:v>368</c:v>
                </c:pt>
                <c:pt idx="51">
                  <c:v>361</c:v>
                </c:pt>
                <c:pt idx="52">
                  <c:v>350</c:v>
                </c:pt>
                <c:pt idx="53">
                  <c:v>346</c:v>
                </c:pt>
                <c:pt idx="54">
                  <c:v>330</c:v>
                </c:pt>
                <c:pt idx="55">
                  <c:v>322</c:v>
                </c:pt>
                <c:pt idx="56">
                  <c:v>311</c:v>
                </c:pt>
                <c:pt idx="57">
                  <c:v>297</c:v>
                </c:pt>
                <c:pt idx="58">
                  <c:v>289</c:v>
                </c:pt>
                <c:pt idx="59">
                  <c:v>285</c:v>
                </c:pt>
                <c:pt idx="60">
                  <c:v>268</c:v>
                </c:pt>
                <c:pt idx="61">
                  <c:v>256</c:v>
                </c:pt>
                <c:pt idx="62">
                  <c:v>255</c:v>
                </c:pt>
                <c:pt idx="63">
                  <c:v>370</c:v>
                </c:pt>
                <c:pt idx="64">
                  <c:v>361</c:v>
                </c:pt>
                <c:pt idx="65">
                  <c:v>357</c:v>
                </c:pt>
                <c:pt idx="66">
                  <c:v>342</c:v>
                </c:pt>
                <c:pt idx="67">
                  <c:v>326</c:v>
                </c:pt>
                <c:pt idx="68">
                  <c:v>312</c:v>
                </c:pt>
                <c:pt idx="69">
                  <c:v>304</c:v>
                </c:pt>
                <c:pt idx="70">
                  <c:v>294</c:v>
                </c:pt>
                <c:pt idx="71">
                  <c:v>293</c:v>
                </c:pt>
                <c:pt idx="72">
                  <c:v>290</c:v>
                </c:pt>
                <c:pt idx="73">
                  <c:v>265</c:v>
                </c:pt>
                <c:pt idx="74">
                  <c:v>246</c:v>
                </c:pt>
                <c:pt idx="75">
                  <c:v>370</c:v>
                </c:pt>
                <c:pt idx="76">
                  <c:v>358</c:v>
                </c:pt>
                <c:pt idx="77">
                  <c:v>355</c:v>
                </c:pt>
                <c:pt idx="78">
                  <c:v>322</c:v>
                </c:pt>
                <c:pt idx="79">
                  <c:v>311</c:v>
                </c:pt>
                <c:pt idx="80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F5-4050-A2C5-34900142D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74984"/>
        <c:axId val="812478920"/>
      </c:lineChart>
      <c:dateAx>
        <c:axId val="812474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78920"/>
        <c:crosses val="autoZero"/>
        <c:auto val="1"/>
        <c:lblOffset val="100"/>
        <c:baseTimeUnit val="days"/>
      </c:dateAx>
      <c:valAx>
        <c:axId val="812478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749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2.530303</c:v>
          </c:tx>
          <c:marker>
            <c:symbol val="none"/>
          </c:marker>
          <c:trendline>
            <c:name>0 Date: 10/13/2018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history'!$G$2:$G$82</c:f>
              <c:numCache>
                <c:formatCode>General</c:formatCode>
                <c:ptCount val="81"/>
                <c:pt idx="0">
                  <c:v>152</c:v>
                </c:pt>
                <c:pt idx="1">
                  <c:v>150</c:v>
                </c:pt>
                <c:pt idx="2">
                  <c:v>141</c:v>
                </c:pt>
                <c:pt idx="3">
                  <c:v>121</c:v>
                </c:pt>
                <c:pt idx="4">
                  <c:v>188</c:v>
                </c:pt>
                <c:pt idx="5">
                  <c:v>171</c:v>
                </c:pt>
                <c:pt idx="6">
                  <c:v>168</c:v>
                </c:pt>
                <c:pt idx="7">
                  <c:v>164</c:v>
                </c:pt>
                <c:pt idx="8">
                  <c:v>157</c:v>
                </c:pt>
                <c:pt idx="9">
                  <c:v>152</c:v>
                </c:pt>
                <c:pt idx="10">
                  <c:v>134</c:v>
                </c:pt>
                <c:pt idx="11">
                  <c:v>128</c:v>
                </c:pt>
                <c:pt idx="12">
                  <c:v>127</c:v>
                </c:pt>
                <c:pt idx="13">
                  <c:v>195</c:v>
                </c:pt>
                <c:pt idx="14">
                  <c:v>191</c:v>
                </c:pt>
                <c:pt idx="15">
                  <c:v>189</c:v>
                </c:pt>
                <c:pt idx="16">
                  <c:v>181</c:v>
                </c:pt>
                <c:pt idx="17">
                  <c:v>174</c:v>
                </c:pt>
                <c:pt idx="18">
                  <c:v>157</c:v>
                </c:pt>
                <c:pt idx="19">
                  <c:v>153</c:v>
                </c:pt>
                <c:pt idx="20">
                  <c:v>149</c:v>
                </c:pt>
                <c:pt idx="21">
                  <c:v>141</c:v>
                </c:pt>
                <c:pt idx="22">
                  <c:v>137</c:v>
                </c:pt>
                <c:pt idx="23">
                  <c:v>133</c:v>
                </c:pt>
                <c:pt idx="24">
                  <c:v>175</c:v>
                </c:pt>
                <c:pt idx="25">
                  <c:v>172</c:v>
                </c:pt>
                <c:pt idx="26">
                  <c:v>168</c:v>
                </c:pt>
                <c:pt idx="27">
                  <c:v>162</c:v>
                </c:pt>
                <c:pt idx="28">
                  <c:v>152</c:v>
                </c:pt>
                <c:pt idx="29">
                  <c:v>149</c:v>
                </c:pt>
                <c:pt idx="30">
                  <c:v>133</c:v>
                </c:pt>
                <c:pt idx="31">
                  <c:v>129</c:v>
                </c:pt>
                <c:pt idx="32">
                  <c:v>128</c:v>
                </c:pt>
                <c:pt idx="33">
                  <c:v>117</c:v>
                </c:pt>
                <c:pt idx="34">
                  <c:v>113</c:v>
                </c:pt>
                <c:pt idx="35">
                  <c:v>191</c:v>
                </c:pt>
                <c:pt idx="36">
                  <c:v>186</c:v>
                </c:pt>
                <c:pt idx="37">
                  <c:v>182</c:v>
                </c:pt>
                <c:pt idx="38">
                  <c:v>181</c:v>
                </c:pt>
                <c:pt idx="39">
                  <c:v>170</c:v>
                </c:pt>
                <c:pt idx="40">
                  <c:v>158</c:v>
                </c:pt>
                <c:pt idx="41">
                  <c:v>157</c:v>
                </c:pt>
                <c:pt idx="42">
                  <c:v>149</c:v>
                </c:pt>
                <c:pt idx="43">
                  <c:v>143</c:v>
                </c:pt>
                <c:pt idx="44">
                  <c:v>108</c:v>
                </c:pt>
                <c:pt idx="45">
                  <c:v>96</c:v>
                </c:pt>
                <c:pt idx="46">
                  <c:v>196</c:v>
                </c:pt>
                <c:pt idx="47">
                  <c:v>193</c:v>
                </c:pt>
                <c:pt idx="48">
                  <c:v>186</c:v>
                </c:pt>
                <c:pt idx="49">
                  <c:v>182</c:v>
                </c:pt>
                <c:pt idx="50">
                  <c:v>177</c:v>
                </c:pt>
                <c:pt idx="51">
                  <c:v>172</c:v>
                </c:pt>
                <c:pt idx="52">
                  <c:v>159</c:v>
                </c:pt>
                <c:pt idx="53">
                  <c:v>157</c:v>
                </c:pt>
                <c:pt idx="54">
                  <c:v>149</c:v>
                </c:pt>
                <c:pt idx="55">
                  <c:v>143</c:v>
                </c:pt>
                <c:pt idx="56">
                  <c:v>139</c:v>
                </c:pt>
                <c:pt idx="57">
                  <c:v>200</c:v>
                </c:pt>
                <c:pt idx="58">
                  <c:v>198</c:v>
                </c:pt>
                <c:pt idx="59">
                  <c:v>195</c:v>
                </c:pt>
                <c:pt idx="60">
                  <c:v>187</c:v>
                </c:pt>
                <c:pt idx="61">
                  <c:v>183</c:v>
                </c:pt>
                <c:pt idx="62">
                  <c:v>182</c:v>
                </c:pt>
                <c:pt idx="63">
                  <c:v>173</c:v>
                </c:pt>
                <c:pt idx="64">
                  <c:v>161</c:v>
                </c:pt>
                <c:pt idx="65">
                  <c:v>158</c:v>
                </c:pt>
                <c:pt idx="66">
                  <c:v>150</c:v>
                </c:pt>
                <c:pt idx="67">
                  <c:v>130</c:v>
                </c:pt>
                <c:pt idx="68">
                  <c:v>125</c:v>
                </c:pt>
                <c:pt idx="69">
                  <c:v>118</c:v>
                </c:pt>
                <c:pt idx="70">
                  <c:v>191</c:v>
                </c:pt>
                <c:pt idx="71">
                  <c:v>189</c:v>
                </c:pt>
                <c:pt idx="72">
                  <c:v>187</c:v>
                </c:pt>
                <c:pt idx="73">
                  <c:v>171</c:v>
                </c:pt>
                <c:pt idx="74">
                  <c:v>166</c:v>
                </c:pt>
                <c:pt idx="75">
                  <c:v>157</c:v>
                </c:pt>
                <c:pt idx="76">
                  <c:v>153</c:v>
                </c:pt>
                <c:pt idx="77">
                  <c:v>150</c:v>
                </c:pt>
                <c:pt idx="78">
                  <c:v>207</c:v>
                </c:pt>
                <c:pt idx="79">
                  <c:v>201</c:v>
                </c:pt>
                <c:pt idx="80">
                  <c:v>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57-4716-8E79-F5DA443C4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75312"/>
        <c:axId val="812479904"/>
      </c:lineChart>
      <c:dateAx>
        <c:axId val="812475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79904"/>
        <c:crosses val="autoZero"/>
        <c:auto val="1"/>
        <c:lblOffset val="100"/>
        <c:baseTimeUnit val="days"/>
      </c:dateAx>
      <c:valAx>
        <c:axId val="812479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753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BilT (3840/8)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4.005051</c:v>
          </c:tx>
          <c:marker>
            <c:symbol val="none"/>
          </c:marker>
          <c:trendline>
            <c:name>0 Date: 9/18/2018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history'!$H$2:$H$82</c:f>
              <c:numCache>
                <c:formatCode>General</c:formatCode>
                <c:ptCount val="81"/>
                <c:pt idx="0">
                  <c:v>218</c:v>
                </c:pt>
                <c:pt idx="1">
                  <c:v>207</c:v>
                </c:pt>
                <c:pt idx="2">
                  <c:v>194</c:v>
                </c:pt>
                <c:pt idx="3">
                  <c:v>172</c:v>
                </c:pt>
                <c:pt idx="4">
                  <c:v>259</c:v>
                </c:pt>
                <c:pt idx="5">
                  <c:v>240</c:v>
                </c:pt>
                <c:pt idx="6">
                  <c:v>233</c:v>
                </c:pt>
                <c:pt idx="7">
                  <c:v>226</c:v>
                </c:pt>
                <c:pt idx="8">
                  <c:v>217</c:v>
                </c:pt>
                <c:pt idx="9">
                  <c:v>203</c:v>
                </c:pt>
                <c:pt idx="10">
                  <c:v>179</c:v>
                </c:pt>
                <c:pt idx="11">
                  <c:v>255</c:v>
                </c:pt>
                <c:pt idx="12">
                  <c:v>249</c:v>
                </c:pt>
                <c:pt idx="13">
                  <c:v>237</c:v>
                </c:pt>
                <c:pt idx="14">
                  <c:v>230</c:v>
                </c:pt>
                <c:pt idx="15">
                  <c:v>227</c:v>
                </c:pt>
                <c:pt idx="16">
                  <c:v>211</c:v>
                </c:pt>
                <c:pt idx="17">
                  <c:v>190</c:v>
                </c:pt>
                <c:pt idx="18">
                  <c:v>173</c:v>
                </c:pt>
                <c:pt idx="19">
                  <c:v>260</c:v>
                </c:pt>
                <c:pt idx="20">
                  <c:v>253</c:v>
                </c:pt>
                <c:pt idx="21">
                  <c:v>244</c:v>
                </c:pt>
                <c:pt idx="22">
                  <c:v>202</c:v>
                </c:pt>
                <c:pt idx="23">
                  <c:v>195</c:v>
                </c:pt>
                <c:pt idx="24">
                  <c:v>184</c:v>
                </c:pt>
                <c:pt idx="25">
                  <c:v>176</c:v>
                </c:pt>
                <c:pt idx="26">
                  <c:v>170</c:v>
                </c:pt>
                <c:pt idx="27">
                  <c:v>164</c:v>
                </c:pt>
                <c:pt idx="28">
                  <c:v>255</c:v>
                </c:pt>
                <c:pt idx="29">
                  <c:v>247</c:v>
                </c:pt>
                <c:pt idx="30">
                  <c:v>241</c:v>
                </c:pt>
                <c:pt idx="31">
                  <c:v>233</c:v>
                </c:pt>
                <c:pt idx="32">
                  <c:v>227</c:v>
                </c:pt>
                <c:pt idx="33">
                  <c:v>203</c:v>
                </c:pt>
                <c:pt idx="34">
                  <c:v>194</c:v>
                </c:pt>
                <c:pt idx="35">
                  <c:v>186</c:v>
                </c:pt>
                <c:pt idx="36">
                  <c:v>179</c:v>
                </c:pt>
                <c:pt idx="37">
                  <c:v>256</c:v>
                </c:pt>
                <c:pt idx="38">
                  <c:v>242</c:v>
                </c:pt>
                <c:pt idx="39">
                  <c:v>227</c:v>
                </c:pt>
                <c:pt idx="40">
                  <c:v>211</c:v>
                </c:pt>
                <c:pt idx="41">
                  <c:v>207</c:v>
                </c:pt>
                <c:pt idx="42">
                  <c:v>191</c:v>
                </c:pt>
                <c:pt idx="43">
                  <c:v>183</c:v>
                </c:pt>
                <c:pt idx="44">
                  <c:v>142</c:v>
                </c:pt>
                <c:pt idx="45">
                  <c:v>130</c:v>
                </c:pt>
                <c:pt idx="46">
                  <c:v>230</c:v>
                </c:pt>
                <c:pt idx="47">
                  <c:v>227</c:v>
                </c:pt>
                <c:pt idx="48">
                  <c:v>212</c:v>
                </c:pt>
                <c:pt idx="49">
                  <c:v>203</c:v>
                </c:pt>
                <c:pt idx="50">
                  <c:v>193</c:v>
                </c:pt>
                <c:pt idx="51">
                  <c:v>184</c:v>
                </c:pt>
                <c:pt idx="52">
                  <c:v>258</c:v>
                </c:pt>
                <c:pt idx="53">
                  <c:v>255</c:v>
                </c:pt>
                <c:pt idx="54">
                  <c:v>241</c:v>
                </c:pt>
                <c:pt idx="55">
                  <c:v>234</c:v>
                </c:pt>
                <c:pt idx="56">
                  <c:v>224</c:v>
                </c:pt>
                <c:pt idx="57">
                  <c:v>204</c:v>
                </c:pt>
                <c:pt idx="58">
                  <c:v>194</c:v>
                </c:pt>
                <c:pt idx="59">
                  <c:v>191</c:v>
                </c:pt>
                <c:pt idx="60">
                  <c:v>175</c:v>
                </c:pt>
                <c:pt idx="61">
                  <c:v>253</c:v>
                </c:pt>
                <c:pt idx="62">
                  <c:v>250</c:v>
                </c:pt>
                <c:pt idx="63">
                  <c:v>243</c:v>
                </c:pt>
                <c:pt idx="64">
                  <c:v>235</c:v>
                </c:pt>
                <c:pt idx="65">
                  <c:v>232</c:v>
                </c:pt>
                <c:pt idx="66">
                  <c:v>219</c:v>
                </c:pt>
                <c:pt idx="67">
                  <c:v>196</c:v>
                </c:pt>
                <c:pt idx="68">
                  <c:v>183</c:v>
                </c:pt>
                <c:pt idx="69">
                  <c:v>175</c:v>
                </c:pt>
                <c:pt idx="70">
                  <c:v>256</c:v>
                </c:pt>
                <c:pt idx="71">
                  <c:v>254</c:v>
                </c:pt>
                <c:pt idx="72">
                  <c:v>251</c:v>
                </c:pt>
                <c:pt idx="73">
                  <c:v>227</c:v>
                </c:pt>
                <c:pt idx="74">
                  <c:v>219</c:v>
                </c:pt>
                <c:pt idx="75">
                  <c:v>207</c:v>
                </c:pt>
                <c:pt idx="76">
                  <c:v>199</c:v>
                </c:pt>
                <c:pt idx="77">
                  <c:v>194</c:v>
                </c:pt>
                <c:pt idx="78">
                  <c:v>231</c:v>
                </c:pt>
                <c:pt idx="79">
                  <c:v>220</c:v>
                </c:pt>
                <c:pt idx="80">
                  <c:v>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FE-4A12-B6D7-D380CBA55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90728"/>
        <c:axId val="812481872"/>
      </c:lineChart>
      <c:dateAx>
        <c:axId val="812490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81872"/>
        <c:crosses val="autoZero"/>
        <c:auto val="1"/>
        <c:lblOffset val="100"/>
        <c:baseTimeUnit val="days"/>
      </c:dateAx>
      <c:valAx>
        <c:axId val="812481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907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CaC (11440/10)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16.17172</c:v>
          </c:tx>
          <c:marker>
            <c:symbol val="none"/>
          </c:marker>
          <c:trendline>
            <c:name>0 Date: 7/30/2018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history'!$I$2:$I$82</c:f>
              <c:numCache>
                <c:formatCode>General</c:formatCode>
                <c:ptCount val="81"/>
                <c:pt idx="0">
                  <c:v>294</c:v>
                </c:pt>
                <c:pt idx="1">
                  <c:v>276</c:v>
                </c:pt>
                <c:pt idx="2">
                  <c:v>222</c:v>
                </c:pt>
                <c:pt idx="3">
                  <c:v>143</c:v>
                </c:pt>
                <c:pt idx="4">
                  <c:v>94</c:v>
                </c:pt>
                <c:pt idx="5">
                  <c:v>47</c:v>
                </c:pt>
                <c:pt idx="6">
                  <c:v>13</c:v>
                </c:pt>
                <c:pt idx="7">
                  <c:v>296</c:v>
                </c:pt>
                <c:pt idx="8">
                  <c:v>262</c:v>
                </c:pt>
                <c:pt idx="9">
                  <c:v>185</c:v>
                </c:pt>
                <c:pt idx="10">
                  <c:v>127</c:v>
                </c:pt>
                <c:pt idx="11">
                  <c:v>48</c:v>
                </c:pt>
                <c:pt idx="12">
                  <c:v>311</c:v>
                </c:pt>
                <c:pt idx="13">
                  <c:v>272</c:v>
                </c:pt>
                <c:pt idx="14">
                  <c:v>215</c:v>
                </c:pt>
                <c:pt idx="15">
                  <c:v>187</c:v>
                </c:pt>
                <c:pt idx="16">
                  <c:v>108</c:v>
                </c:pt>
                <c:pt idx="17">
                  <c:v>29</c:v>
                </c:pt>
                <c:pt idx="18">
                  <c:v>258</c:v>
                </c:pt>
                <c:pt idx="19">
                  <c:v>197</c:v>
                </c:pt>
                <c:pt idx="20">
                  <c:v>136</c:v>
                </c:pt>
                <c:pt idx="21">
                  <c:v>96</c:v>
                </c:pt>
                <c:pt idx="22">
                  <c:v>52</c:v>
                </c:pt>
                <c:pt idx="23">
                  <c:v>12</c:v>
                </c:pt>
                <c:pt idx="24">
                  <c:v>303</c:v>
                </c:pt>
                <c:pt idx="25">
                  <c:v>257</c:v>
                </c:pt>
                <c:pt idx="26">
                  <c:v>221</c:v>
                </c:pt>
                <c:pt idx="27">
                  <c:v>200</c:v>
                </c:pt>
                <c:pt idx="28">
                  <c:v>141</c:v>
                </c:pt>
                <c:pt idx="29">
                  <c:v>83</c:v>
                </c:pt>
                <c:pt idx="30">
                  <c:v>286</c:v>
                </c:pt>
                <c:pt idx="31">
                  <c:v>240</c:v>
                </c:pt>
                <c:pt idx="32">
                  <c:v>209</c:v>
                </c:pt>
                <c:pt idx="33">
                  <c:v>156</c:v>
                </c:pt>
                <c:pt idx="34">
                  <c:v>104</c:v>
                </c:pt>
                <c:pt idx="35">
                  <c:v>56</c:v>
                </c:pt>
                <c:pt idx="36">
                  <c:v>312</c:v>
                </c:pt>
                <c:pt idx="37">
                  <c:v>256</c:v>
                </c:pt>
                <c:pt idx="38">
                  <c:v>231</c:v>
                </c:pt>
                <c:pt idx="39">
                  <c:v>167</c:v>
                </c:pt>
                <c:pt idx="40">
                  <c:v>111</c:v>
                </c:pt>
                <c:pt idx="41">
                  <c:v>86</c:v>
                </c:pt>
                <c:pt idx="42">
                  <c:v>310</c:v>
                </c:pt>
                <c:pt idx="43">
                  <c:v>259</c:v>
                </c:pt>
                <c:pt idx="44">
                  <c:v>172</c:v>
                </c:pt>
                <c:pt idx="45">
                  <c:v>145</c:v>
                </c:pt>
                <c:pt idx="46">
                  <c:v>111</c:v>
                </c:pt>
                <c:pt idx="47">
                  <c:v>83</c:v>
                </c:pt>
                <c:pt idx="48">
                  <c:v>27</c:v>
                </c:pt>
                <c:pt idx="49">
                  <c:v>280</c:v>
                </c:pt>
                <c:pt idx="50">
                  <c:v>221</c:v>
                </c:pt>
                <c:pt idx="51">
                  <c:v>187</c:v>
                </c:pt>
                <c:pt idx="52">
                  <c:v>140</c:v>
                </c:pt>
                <c:pt idx="53">
                  <c:v>107</c:v>
                </c:pt>
                <c:pt idx="54">
                  <c:v>50</c:v>
                </c:pt>
                <c:pt idx="55">
                  <c:v>319</c:v>
                </c:pt>
                <c:pt idx="56">
                  <c:v>251</c:v>
                </c:pt>
                <c:pt idx="57">
                  <c:v>213</c:v>
                </c:pt>
                <c:pt idx="58">
                  <c:v>183</c:v>
                </c:pt>
                <c:pt idx="59">
                  <c:v>146</c:v>
                </c:pt>
                <c:pt idx="60">
                  <c:v>81</c:v>
                </c:pt>
                <c:pt idx="61">
                  <c:v>299</c:v>
                </c:pt>
                <c:pt idx="62">
                  <c:v>265</c:v>
                </c:pt>
                <c:pt idx="63">
                  <c:v>209</c:v>
                </c:pt>
                <c:pt idx="64">
                  <c:v>165</c:v>
                </c:pt>
                <c:pt idx="65">
                  <c:v>141</c:v>
                </c:pt>
                <c:pt idx="66">
                  <c:v>93</c:v>
                </c:pt>
                <c:pt idx="67">
                  <c:v>53</c:v>
                </c:pt>
                <c:pt idx="68">
                  <c:v>279</c:v>
                </c:pt>
                <c:pt idx="69">
                  <c:v>239</c:v>
                </c:pt>
                <c:pt idx="70">
                  <c:v>196</c:v>
                </c:pt>
                <c:pt idx="71">
                  <c:v>175</c:v>
                </c:pt>
                <c:pt idx="72">
                  <c:v>151</c:v>
                </c:pt>
                <c:pt idx="73">
                  <c:v>110</c:v>
                </c:pt>
                <c:pt idx="74">
                  <c:v>77</c:v>
                </c:pt>
                <c:pt idx="75">
                  <c:v>38</c:v>
                </c:pt>
                <c:pt idx="76">
                  <c:v>276</c:v>
                </c:pt>
                <c:pt idx="77">
                  <c:v>239</c:v>
                </c:pt>
                <c:pt idx="78">
                  <c:v>144</c:v>
                </c:pt>
                <c:pt idx="79">
                  <c:v>89</c:v>
                </c:pt>
                <c:pt idx="80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5-45A7-9E4E-DADA83444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90728"/>
        <c:axId val="812491056"/>
      </c:lineChart>
      <c:dateAx>
        <c:axId val="812490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91056"/>
        <c:crosses val="autoZero"/>
        <c:auto val="1"/>
        <c:lblOffset val="100"/>
        <c:baseTimeUnit val="days"/>
      </c:dateAx>
      <c:valAx>
        <c:axId val="812491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907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2.611111</c:v>
          </c:tx>
          <c:marker>
            <c:symbol val="none"/>
          </c:marker>
          <c:trendline>
            <c:name>0 Date: 9/30/2018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history'!$J$2:$J$82</c:f>
              <c:numCache>
                <c:formatCode>General</c:formatCode>
                <c:ptCount val="81"/>
                <c:pt idx="0">
                  <c:v>233</c:v>
                </c:pt>
                <c:pt idx="1">
                  <c:v>231</c:v>
                </c:pt>
                <c:pt idx="2">
                  <c:v>222</c:v>
                </c:pt>
                <c:pt idx="3">
                  <c:v>218</c:v>
                </c:pt>
                <c:pt idx="4">
                  <c:v>213</c:v>
                </c:pt>
                <c:pt idx="5">
                  <c:v>202</c:v>
                </c:pt>
                <c:pt idx="6">
                  <c:v>180</c:v>
                </c:pt>
                <c:pt idx="7">
                  <c:v>173</c:v>
                </c:pt>
                <c:pt idx="8">
                  <c:v>168</c:v>
                </c:pt>
                <c:pt idx="9">
                  <c:v>253</c:v>
                </c:pt>
                <c:pt idx="10">
                  <c:v>241</c:v>
                </c:pt>
                <c:pt idx="11">
                  <c:v>233</c:v>
                </c:pt>
                <c:pt idx="12">
                  <c:v>231</c:v>
                </c:pt>
                <c:pt idx="13">
                  <c:v>224</c:v>
                </c:pt>
                <c:pt idx="14">
                  <c:v>220</c:v>
                </c:pt>
                <c:pt idx="15">
                  <c:v>218</c:v>
                </c:pt>
                <c:pt idx="16">
                  <c:v>208</c:v>
                </c:pt>
                <c:pt idx="17">
                  <c:v>201</c:v>
                </c:pt>
                <c:pt idx="18">
                  <c:v>192</c:v>
                </c:pt>
                <c:pt idx="19">
                  <c:v>188</c:v>
                </c:pt>
                <c:pt idx="20">
                  <c:v>261</c:v>
                </c:pt>
                <c:pt idx="21">
                  <c:v>251</c:v>
                </c:pt>
                <c:pt idx="22">
                  <c:v>235</c:v>
                </c:pt>
                <c:pt idx="23">
                  <c:v>230</c:v>
                </c:pt>
                <c:pt idx="24">
                  <c:v>223</c:v>
                </c:pt>
                <c:pt idx="25">
                  <c:v>219</c:v>
                </c:pt>
                <c:pt idx="26">
                  <c:v>215</c:v>
                </c:pt>
                <c:pt idx="27">
                  <c:v>208</c:v>
                </c:pt>
                <c:pt idx="28">
                  <c:v>198</c:v>
                </c:pt>
                <c:pt idx="29">
                  <c:v>234</c:v>
                </c:pt>
                <c:pt idx="30">
                  <c:v>217</c:v>
                </c:pt>
                <c:pt idx="31">
                  <c:v>212</c:v>
                </c:pt>
                <c:pt idx="32">
                  <c:v>210</c:v>
                </c:pt>
                <c:pt idx="33">
                  <c:v>200</c:v>
                </c:pt>
                <c:pt idx="34">
                  <c:v>197</c:v>
                </c:pt>
                <c:pt idx="35">
                  <c:v>193</c:v>
                </c:pt>
                <c:pt idx="36">
                  <c:v>187</c:v>
                </c:pt>
                <c:pt idx="37">
                  <c:v>184</c:v>
                </c:pt>
                <c:pt idx="38">
                  <c:v>182</c:v>
                </c:pt>
                <c:pt idx="39">
                  <c:v>174</c:v>
                </c:pt>
                <c:pt idx="40">
                  <c:v>168</c:v>
                </c:pt>
                <c:pt idx="41">
                  <c:v>166</c:v>
                </c:pt>
                <c:pt idx="42">
                  <c:v>240</c:v>
                </c:pt>
                <c:pt idx="43">
                  <c:v>234</c:v>
                </c:pt>
                <c:pt idx="44">
                  <c:v>199</c:v>
                </c:pt>
                <c:pt idx="45">
                  <c:v>187</c:v>
                </c:pt>
                <c:pt idx="46">
                  <c:v>183</c:v>
                </c:pt>
                <c:pt idx="47">
                  <c:v>181</c:v>
                </c:pt>
                <c:pt idx="48">
                  <c:v>174</c:v>
                </c:pt>
                <c:pt idx="49">
                  <c:v>169</c:v>
                </c:pt>
                <c:pt idx="50">
                  <c:v>165</c:v>
                </c:pt>
                <c:pt idx="51">
                  <c:v>159</c:v>
                </c:pt>
                <c:pt idx="52">
                  <c:v>155</c:v>
                </c:pt>
                <c:pt idx="53">
                  <c:v>151</c:v>
                </c:pt>
                <c:pt idx="54">
                  <c:v>231</c:v>
                </c:pt>
                <c:pt idx="55">
                  <c:v>222</c:v>
                </c:pt>
                <c:pt idx="56">
                  <c:v>217</c:v>
                </c:pt>
                <c:pt idx="57">
                  <c:v>207</c:v>
                </c:pt>
                <c:pt idx="58">
                  <c:v>206</c:v>
                </c:pt>
                <c:pt idx="59">
                  <c:v>204</c:v>
                </c:pt>
                <c:pt idx="60">
                  <c:v>190</c:v>
                </c:pt>
                <c:pt idx="61">
                  <c:v>185</c:v>
                </c:pt>
                <c:pt idx="62">
                  <c:v>183</c:v>
                </c:pt>
                <c:pt idx="63">
                  <c:v>176</c:v>
                </c:pt>
                <c:pt idx="64">
                  <c:v>172</c:v>
                </c:pt>
                <c:pt idx="65">
                  <c:v>170</c:v>
                </c:pt>
                <c:pt idx="66">
                  <c:v>162</c:v>
                </c:pt>
                <c:pt idx="67">
                  <c:v>259</c:v>
                </c:pt>
                <c:pt idx="68">
                  <c:v>246</c:v>
                </c:pt>
                <c:pt idx="69">
                  <c:v>236</c:v>
                </c:pt>
                <c:pt idx="70">
                  <c:v>232</c:v>
                </c:pt>
                <c:pt idx="71">
                  <c:v>230</c:v>
                </c:pt>
                <c:pt idx="72">
                  <c:v>228</c:v>
                </c:pt>
                <c:pt idx="73">
                  <c:v>237</c:v>
                </c:pt>
                <c:pt idx="74">
                  <c:v>220</c:v>
                </c:pt>
                <c:pt idx="75">
                  <c:v>204</c:v>
                </c:pt>
                <c:pt idx="76">
                  <c:v>200</c:v>
                </c:pt>
                <c:pt idx="77">
                  <c:v>199</c:v>
                </c:pt>
                <c:pt idx="78">
                  <c:v>177</c:v>
                </c:pt>
                <c:pt idx="79">
                  <c:v>174</c:v>
                </c:pt>
                <c:pt idx="80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E-46FD-A5EA-A0A85758A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35952"/>
        <c:axId val="812434968"/>
      </c:lineChart>
      <c:dateAx>
        <c:axId val="812435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34968"/>
        <c:crosses val="autoZero"/>
        <c:auto val="1"/>
        <c:lblOffset val="100"/>
        <c:baseTimeUnit val="days"/>
      </c:dateAx>
      <c:valAx>
        <c:axId val="812434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359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17.57071</c:v>
          </c:tx>
          <c:marker>
            <c:symbol val="none"/>
          </c:marker>
          <c:trendline>
            <c:name>0 Date: 8/7/2018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history'!$K$2:$K$82</c:f>
              <c:numCache>
                <c:formatCode>General</c:formatCode>
                <c:ptCount val="81"/>
                <c:pt idx="0">
                  <c:v>680</c:v>
                </c:pt>
                <c:pt idx="1">
                  <c:v>659</c:v>
                </c:pt>
                <c:pt idx="2">
                  <c:v>606</c:v>
                </c:pt>
                <c:pt idx="3">
                  <c:v>544</c:v>
                </c:pt>
                <c:pt idx="4">
                  <c:v>738</c:v>
                </c:pt>
                <c:pt idx="5">
                  <c:v>694</c:v>
                </c:pt>
                <c:pt idx="6">
                  <c:v>654</c:v>
                </c:pt>
                <c:pt idx="7">
                  <c:v>609</c:v>
                </c:pt>
                <c:pt idx="8">
                  <c:v>569</c:v>
                </c:pt>
                <c:pt idx="9">
                  <c:v>269</c:v>
                </c:pt>
                <c:pt idx="10">
                  <c:v>211</c:v>
                </c:pt>
                <c:pt idx="11">
                  <c:v>122</c:v>
                </c:pt>
                <c:pt idx="12">
                  <c:v>92</c:v>
                </c:pt>
                <c:pt idx="13">
                  <c:v>278</c:v>
                </c:pt>
                <c:pt idx="14">
                  <c:v>306</c:v>
                </c:pt>
                <c:pt idx="15">
                  <c:v>277</c:v>
                </c:pt>
                <c:pt idx="16">
                  <c:v>200</c:v>
                </c:pt>
                <c:pt idx="17">
                  <c:v>110</c:v>
                </c:pt>
                <c:pt idx="18">
                  <c:v>44</c:v>
                </c:pt>
                <c:pt idx="19">
                  <c:v>282</c:v>
                </c:pt>
                <c:pt idx="20">
                  <c:v>217</c:v>
                </c:pt>
                <c:pt idx="21">
                  <c:v>175</c:v>
                </c:pt>
                <c:pt idx="22">
                  <c:v>125</c:v>
                </c:pt>
                <c:pt idx="23">
                  <c:v>78</c:v>
                </c:pt>
                <c:pt idx="24">
                  <c:v>306</c:v>
                </c:pt>
                <c:pt idx="25">
                  <c:v>258</c:v>
                </c:pt>
                <c:pt idx="26">
                  <c:v>221</c:v>
                </c:pt>
                <c:pt idx="27">
                  <c:v>199</c:v>
                </c:pt>
                <c:pt idx="28">
                  <c:v>136</c:v>
                </c:pt>
                <c:pt idx="29">
                  <c:v>74</c:v>
                </c:pt>
                <c:pt idx="30">
                  <c:v>293</c:v>
                </c:pt>
                <c:pt idx="31">
                  <c:v>248</c:v>
                </c:pt>
                <c:pt idx="32">
                  <c:v>216</c:v>
                </c:pt>
                <c:pt idx="33">
                  <c:v>148</c:v>
                </c:pt>
                <c:pt idx="34">
                  <c:v>97</c:v>
                </c:pt>
                <c:pt idx="35">
                  <c:v>47</c:v>
                </c:pt>
                <c:pt idx="36">
                  <c:v>307</c:v>
                </c:pt>
                <c:pt idx="37">
                  <c:v>251</c:v>
                </c:pt>
                <c:pt idx="38">
                  <c:v>225</c:v>
                </c:pt>
                <c:pt idx="39">
                  <c:v>152</c:v>
                </c:pt>
                <c:pt idx="40">
                  <c:v>94</c:v>
                </c:pt>
                <c:pt idx="41">
                  <c:v>68</c:v>
                </c:pt>
                <c:pt idx="42">
                  <c:v>297</c:v>
                </c:pt>
                <c:pt idx="43">
                  <c:v>245</c:v>
                </c:pt>
                <c:pt idx="44">
                  <c:v>153</c:v>
                </c:pt>
                <c:pt idx="45">
                  <c:v>122</c:v>
                </c:pt>
                <c:pt idx="46">
                  <c:v>68</c:v>
                </c:pt>
                <c:pt idx="47">
                  <c:v>42</c:v>
                </c:pt>
                <c:pt idx="48">
                  <c:v>270</c:v>
                </c:pt>
                <c:pt idx="49">
                  <c:v>199</c:v>
                </c:pt>
                <c:pt idx="50">
                  <c:v>137</c:v>
                </c:pt>
                <c:pt idx="51">
                  <c:v>104</c:v>
                </c:pt>
                <c:pt idx="52">
                  <c:v>58</c:v>
                </c:pt>
                <c:pt idx="53">
                  <c:v>318</c:v>
                </c:pt>
                <c:pt idx="54">
                  <c:v>228</c:v>
                </c:pt>
                <c:pt idx="55">
                  <c:v>175</c:v>
                </c:pt>
                <c:pt idx="56">
                  <c:v>104</c:v>
                </c:pt>
                <c:pt idx="57">
                  <c:v>65</c:v>
                </c:pt>
                <c:pt idx="58">
                  <c:v>315</c:v>
                </c:pt>
                <c:pt idx="59">
                  <c:v>300</c:v>
                </c:pt>
                <c:pt idx="60">
                  <c:v>235</c:v>
                </c:pt>
                <c:pt idx="61">
                  <c:v>173</c:v>
                </c:pt>
                <c:pt idx="62">
                  <c:v>127</c:v>
                </c:pt>
                <c:pt idx="63">
                  <c:v>68</c:v>
                </c:pt>
                <c:pt idx="64">
                  <c:v>280</c:v>
                </c:pt>
                <c:pt idx="65">
                  <c:v>254</c:v>
                </c:pt>
                <c:pt idx="66">
                  <c:v>207</c:v>
                </c:pt>
                <c:pt idx="67">
                  <c:v>157</c:v>
                </c:pt>
                <c:pt idx="68">
                  <c:v>81</c:v>
                </c:pt>
                <c:pt idx="69">
                  <c:v>44</c:v>
                </c:pt>
                <c:pt idx="70">
                  <c:v>282</c:v>
                </c:pt>
                <c:pt idx="71">
                  <c:v>260</c:v>
                </c:pt>
                <c:pt idx="72">
                  <c:v>236</c:v>
                </c:pt>
                <c:pt idx="73">
                  <c:v>195</c:v>
                </c:pt>
                <c:pt idx="74">
                  <c:v>158</c:v>
                </c:pt>
                <c:pt idx="75">
                  <c:v>116</c:v>
                </c:pt>
                <c:pt idx="76">
                  <c:v>273</c:v>
                </c:pt>
                <c:pt idx="77">
                  <c:v>235</c:v>
                </c:pt>
                <c:pt idx="78">
                  <c:v>293</c:v>
                </c:pt>
                <c:pt idx="79">
                  <c:v>237</c:v>
                </c:pt>
                <c:pt idx="80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8C-4B86-8860-4B012EC23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45792"/>
        <c:axId val="812442512"/>
      </c:lineChart>
      <c:dateAx>
        <c:axId val="812445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42512"/>
        <c:crosses val="autoZero"/>
        <c:auto val="1"/>
        <c:lblOffset val="100"/>
        <c:baseTimeUnit val="days"/>
      </c:dateAx>
      <c:valAx>
        <c:axId val="812442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457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Crea 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9.19697</c:v>
          </c:tx>
          <c:marker>
            <c:symbol val="none"/>
          </c:marker>
          <c:trendline>
            <c:name>0 Date: 8/31/2018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history'!$L$2:$L$82</c:f>
              <c:numCache>
                <c:formatCode>General</c:formatCode>
                <c:ptCount val="81"/>
                <c:pt idx="0">
                  <c:v>307</c:v>
                </c:pt>
                <c:pt idx="1">
                  <c:v>287</c:v>
                </c:pt>
                <c:pt idx="2">
                  <c:v>310</c:v>
                </c:pt>
                <c:pt idx="3">
                  <c:v>234</c:v>
                </c:pt>
                <c:pt idx="4">
                  <c:v>178</c:v>
                </c:pt>
                <c:pt idx="5">
                  <c:v>318</c:v>
                </c:pt>
                <c:pt idx="6">
                  <c:v>274</c:v>
                </c:pt>
                <c:pt idx="7">
                  <c:v>299</c:v>
                </c:pt>
                <c:pt idx="8">
                  <c:v>256</c:v>
                </c:pt>
                <c:pt idx="9">
                  <c:v>284</c:v>
                </c:pt>
                <c:pt idx="10">
                  <c:v>336</c:v>
                </c:pt>
                <c:pt idx="11">
                  <c:v>297</c:v>
                </c:pt>
                <c:pt idx="12">
                  <c:v>266</c:v>
                </c:pt>
                <c:pt idx="13">
                  <c:v>332</c:v>
                </c:pt>
                <c:pt idx="14">
                  <c:v>269</c:v>
                </c:pt>
                <c:pt idx="15">
                  <c:v>237</c:v>
                </c:pt>
                <c:pt idx="16">
                  <c:v>300</c:v>
                </c:pt>
                <c:pt idx="17">
                  <c:v>311</c:v>
                </c:pt>
                <c:pt idx="18">
                  <c:v>341</c:v>
                </c:pt>
                <c:pt idx="19">
                  <c:v>275</c:v>
                </c:pt>
                <c:pt idx="20">
                  <c:v>309</c:v>
                </c:pt>
                <c:pt idx="21">
                  <c:v>262</c:v>
                </c:pt>
                <c:pt idx="22">
                  <c:v>318</c:v>
                </c:pt>
                <c:pt idx="23">
                  <c:v>269</c:v>
                </c:pt>
                <c:pt idx="24">
                  <c:v>341</c:v>
                </c:pt>
                <c:pt idx="25">
                  <c:v>290</c:v>
                </c:pt>
                <c:pt idx="26">
                  <c:v>339</c:v>
                </c:pt>
                <c:pt idx="27">
                  <c:v>348</c:v>
                </c:pt>
                <c:pt idx="28">
                  <c:v>282</c:v>
                </c:pt>
                <c:pt idx="29">
                  <c:v>360</c:v>
                </c:pt>
                <c:pt idx="30">
                  <c:v>322</c:v>
                </c:pt>
                <c:pt idx="31">
                  <c:v>329</c:v>
                </c:pt>
                <c:pt idx="32">
                  <c:v>296</c:v>
                </c:pt>
                <c:pt idx="33">
                  <c:v>351</c:v>
                </c:pt>
                <c:pt idx="34">
                  <c:v>294</c:v>
                </c:pt>
                <c:pt idx="35">
                  <c:v>363</c:v>
                </c:pt>
                <c:pt idx="36">
                  <c:v>334</c:v>
                </c:pt>
                <c:pt idx="37">
                  <c:v>352</c:v>
                </c:pt>
                <c:pt idx="38">
                  <c:v>326</c:v>
                </c:pt>
                <c:pt idx="39">
                  <c:v>351</c:v>
                </c:pt>
                <c:pt idx="40">
                  <c:v>353</c:v>
                </c:pt>
                <c:pt idx="41">
                  <c:v>325</c:v>
                </c:pt>
                <c:pt idx="42">
                  <c:v>342</c:v>
                </c:pt>
                <c:pt idx="43">
                  <c:v>329</c:v>
                </c:pt>
                <c:pt idx="44">
                  <c:v>233</c:v>
                </c:pt>
                <c:pt idx="45">
                  <c:v>351</c:v>
                </c:pt>
                <c:pt idx="46">
                  <c:v>312</c:v>
                </c:pt>
                <c:pt idx="47">
                  <c:v>281</c:v>
                </c:pt>
                <c:pt idx="48">
                  <c:v>314</c:v>
                </c:pt>
                <c:pt idx="49">
                  <c:v>318</c:v>
                </c:pt>
                <c:pt idx="50">
                  <c:v>251</c:v>
                </c:pt>
                <c:pt idx="51">
                  <c:v>342</c:v>
                </c:pt>
                <c:pt idx="52">
                  <c:v>290</c:v>
                </c:pt>
                <c:pt idx="53">
                  <c:v>371</c:v>
                </c:pt>
                <c:pt idx="54">
                  <c:v>280</c:v>
                </c:pt>
                <c:pt idx="55">
                  <c:v>318</c:v>
                </c:pt>
                <c:pt idx="56">
                  <c:v>244</c:v>
                </c:pt>
                <c:pt idx="57">
                  <c:v>334</c:v>
                </c:pt>
                <c:pt idx="58">
                  <c:v>300</c:v>
                </c:pt>
                <c:pt idx="59">
                  <c:v>351</c:v>
                </c:pt>
                <c:pt idx="60">
                  <c:v>353</c:v>
                </c:pt>
                <c:pt idx="61">
                  <c:v>287</c:v>
                </c:pt>
                <c:pt idx="62">
                  <c:v>248</c:v>
                </c:pt>
                <c:pt idx="63">
                  <c:v>292</c:v>
                </c:pt>
                <c:pt idx="64">
                  <c:v>320</c:v>
                </c:pt>
                <c:pt idx="65">
                  <c:v>291</c:v>
                </c:pt>
                <c:pt idx="66">
                  <c:v>339</c:v>
                </c:pt>
                <c:pt idx="67">
                  <c:v>285</c:v>
                </c:pt>
                <c:pt idx="68">
                  <c:v>304</c:v>
                </c:pt>
                <c:pt idx="69">
                  <c:v>257</c:v>
                </c:pt>
                <c:pt idx="70">
                  <c:v>335</c:v>
                </c:pt>
                <c:pt idx="71">
                  <c:v>310</c:v>
                </c:pt>
                <c:pt idx="72">
                  <c:v>283</c:v>
                </c:pt>
                <c:pt idx="73">
                  <c:v>341</c:v>
                </c:pt>
                <c:pt idx="74">
                  <c:v>298</c:v>
                </c:pt>
                <c:pt idx="75">
                  <c:v>320</c:v>
                </c:pt>
                <c:pt idx="76">
                  <c:v>349</c:v>
                </c:pt>
                <c:pt idx="77">
                  <c:v>309</c:v>
                </c:pt>
                <c:pt idx="78">
                  <c:v>327</c:v>
                </c:pt>
                <c:pt idx="79">
                  <c:v>267</c:v>
                </c:pt>
                <c:pt idx="80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6-4369-8825-DFEDAFF64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40544"/>
        <c:axId val="812443824"/>
      </c:lineChart>
      <c:dateAx>
        <c:axId val="812440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43824"/>
        <c:crosses val="autoZero"/>
        <c:auto val="1"/>
        <c:lblOffset val="100"/>
        <c:baseTimeUnit val="days"/>
      </c:dateAx>
      <c:valAx>
        <c:axId val="812443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40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5.035354</c:v>
          </c:tx>
          <c:marker>
            <c:symbol val="none"/>
          </c:marker>
          <c:trendline>
            <c:name>0 Date: 8/17/2018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history'!$M$2:$M$82</c:f>
              <c:numCache>
                <c:formatCode>General</c:formatCode>
                <c:ptCount val="81"/>
                <c:pt idx="0">
                  <c:v>75</c:v>
                </c:pt>
                <c:pt idx="1">
                  <c:v>71</c:v>
                </c:pt>
                <c:pt idx="2">
                  <c:v>60</c:v>
                </c:pt>
                <c:pt idx="3">
                  <c:v>52</c:v>
                </c:pt>
                <c:pt idx="4">
                  <c:v>286</c:v>
                </c:pt>
                <c:pt idx="5">
                  <c:v>276</c:v>
                </c:pt>
                <c:pt idx="6">
                  <c:v>268</c:v>
                </c:pt>
                <c:pt idx="7">
                  <c:v>260</c:v>
                </c:pt>
                <c:pt idx="8">
                  <c:v>247</c:v>
                </c:pt>
                <c:pt idx="9">
                  <c:v>231</c:v>
                </c:pt>
                <c:pt idx="10">
                  <c:v>204</c:v>
                </c:pt>
                <c:pt idx="11">
                  <c:v>185</c:v>
                </c:pt>
                <c:pt idx="12">
                  <c:v>182</c:v>
                </c:pt>
                <c:pt idx="13">
                  <c:v>168</c:v>
                </c:pt>
                <c:pt idx="14">
                  <c:v>162</c:v>
                </c:pt>
                <c:pt idx="15">
                  <c:v>155</c:v>
                </c:pt>
                <c:pt idx="16">
                  <c:v>128</c:v>
                </c:pt>
                <c:pt idx="17">
                  <c:v>106</c:v>
                </c:pt>
                <c:pt idx="18">
                  <c:v>91</c:v>
                </c:pt>
                <c:pt idx="19">
                  <c:v>75</c:v>
                </c:pt>
                <c:pt idx="20">
                  <c:v>64</c:v>
                </c:pt>
                <c:pt idx="21">
                  <c:v>40</c:v>
                </c:pt>
                <c:pt idx="22">
                  <c:v>36</c:v>
                </c:pt>
                <c:pt idx="23">
                  <c:v>29</c:v>
                </c:pt>
                <c:pt idx="24">
                  <c:v>23</c:v>
                </c:pt>
                <c:pt idx="25">
                  <c:v>11</c:v>
                </c:pt>
                <c:pt idx="26">
                  <c:v>282</c:v>
                </c:pt>
                <c:pt idx="27">
                  <c:v>272</c:v>
                </c:pt>
                <c:pt idx="28">
                  <c:v>260</c:v>
                </c:pt>
                <c:pt idx="29">
                  <c:v>256</c:v>
                </c:pt>
                <c:pt idx="30">
                  <c:v>244</c:v>
                </c:pt>
                <c:pt idx="31">
                  <c:v>231</c:v>
                </c:pt>
                <c:pt idx="32">
                  <c:v>225</c:v>
                </c:pt>
                <c:pt idx="33">
                  <c:v>199</c:v>
                </c:pt>
                <c:pt idx="34">
                  <c:v>185</c:v>
                </c:pt>
                <c:pt idx="35">
                  <c:v>177</c:v>
                </c:pt>
                <c:pt idx="36">
                  <c:v>162</c:v>
                </c:pt>
                <c:pt idx="37">
                  <c:v>152</c:v>
                </c:pt>
                <c:pt idx="38">
                  <c:v>148</c:v>
                </c:pt>
                <c:pt idx="39">
                  <c:v>117</c:v>
                </c:pt>
                <c:pt idx="40">
                  <c:v>92</c:v>
                </c:pt>
                <c:pt idx="41">
                  <c:v>85</c:v>
                </c:pt>
                <c:pt idx="42">
                  <c:v>69</c:v>
                </c:pt>
                <c:pt idx="43">
                  <c:v>59</c:v>
                </c:pt>
                <c:pt idx="44">
                  <c:v>50</c:v>
                </c:pt>
                <c:pt idx="45">
                  <c:v>36</c:v>
                </c:pt>
                <c:pt idx="46">
                  <c:v>268</c:v>
                </c:pt>
                <c:pt idx="47">
                  <c:v>261</c:v>
                </c:pt>
                <c:pt idx="48">
                  <c:v>248</c:v>
                </c:pt>
                <c:pt idx="49">
                  <c:v>240</c:v>
                </c:pt>
                <c:pt idx="50">
                  <c:v>231</c:v>
                </c:pt>
                <c:pt idx="51">
                  <c:v>220</c:v>
                </c:pt>
                <c:pt idx="52">
                  <c:v>195</c:v>
                </c:pt>
                <c:pt idx="53">
                  <c:v>193</c:v>
                </c:pt>
                <c:pt idx="54">
                  <c:v>176</c:v>
                </c:pt>
                <c:pt idx="55">
                  <c:v>167</c:v>
                </c:pt>
                <c:pt idx="56">
                  <c:v>156</c:v>
                </c:pt>
                <c:pt idx="57">
                  <c:v>141</c:v>
                </c:pt>
                <c:pt idx="58">
                  <c:v>122</c:v>
                </c:pt>
                <c:pt idx="59">
                  <c:v>117</c:v>
                </c:pt>
                <c:pt idx="60">
                  <c:v>99</c:v>
                </c:pt>
                <c:pt idx="61">
                  <c:v>86</c:v>
                </c:pt>
                <c:pt idx="62">
                  <c:v>83</c:v>
                </c:pt>
                <c:pt idx="63">
                  <c:v>67</c:v>
                </c:pt>
                <c:pt idx="64">
                  <c:v>55</c:v>
                </c:pt>
                <c:pt idx="65">
                  <c:v>38</c:v>
                </c:pt>
                <c:pt idx="66">
                  <c:v>22</c:v>
                </c:pt>
                <c:pt idx="67">
                  <c:v>13</c:v>
                </c:pt>
                <c:pt idx="68">
                  <c:v>7</c:v>
                </c:pt>
                <c:pt idx="69">
                  <c:v>297</c:v>
                </c:pt>
                <c:pt idx="70">
                  <c:v>289</c:v>
                </c:pt>
                <c:pt idx="71">
                  <c:v>285</c:v>
                </c:pt>
                <c:pt idx="72">
                  <c:v>268</c:v>
                </c:pt>
                <c:pt idx="73">
                  <c:v>241</c:v>
                </c:pt>
                <c:pt idx="74">
                  <c:v>228</c:v>
                </c:pt>
                <c:pt idx="75">
                  <c:v>209</c:v>
                </c:pt>
                <c:pt idx="76">
                  <c:v>194</c:v>
                </c:pt>
                <c:pt idx="77">
                  <c:v>189</c:v>
                </c:pt>
                <c:pt idx="78">
                  <c:v>122</c:v>
                </c:pt>
                <c:pt idx="79">
                  <c:v>113</c:v>
                </c:pt>
                <c:pt idx="8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74-4EAD-B1DE-B34C95BB1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700488"/>
        <c:axId val="469700160"/>
      </c:lineChart>
      <c:dateAx>
        <c:axId val="469700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69700160"/>
        <c:crosses val="autoZero"/>
        <c:auto val="1"/>
        <c:lblOffset val="100"/>
        <c:baseTimeUnit val="days"/>
      </c:dateAx>
      <c:valAx>
        <c:axId val="469700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9700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Glu (15000/10)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15.31313</c:v>
          </c:tx>
          <c:marker>
            <c:symbol val="none"/>
          </c:marker>
          <c:trendline>
            <c:name>0 Date: 8/7/2018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history'!$N$2:$N$82</c:f>
              <c:numCache>
                <c:formatCode>General</c:formatCode>
                <c:ptCount val="81"/>
                <c:pt idx="0">
                  <c:v>101</c:v>
                </c:pt>
                <c:pt idx="1">
                  <c:v>82</c:v>
                </c:pt>
                <c:pt idx="2">
                  <c:v>31</c:v>
                </c:pt>
                <c:pt idx="3">
                  <c:v>272</c:v>
                </c:pt>
                <c:pt idx="4">
                  <c:v>220</c:v>
                </c:pt>
                <c:pt idx="5">
                  <c:v>176</c:v>
                </c:pt>
                <c:pt idx="6">
                  <c:v>136</c:v>
                </c:pt>
                <c:pt idx="7">
                  <c:v>92</c:v>
                </c:pt>
                <c:pt idx="8">
                  <c:v>56</c:v>
                </c:pt>
                <c:pt idx="9">
                  <c:v>281</c:v>
                </c:pt>
                <c:pt idx="10">
                  <c:v>219</c:v>
                </c:pt>
                <c:pt idx="11">
                  <c:v>129</c:v>
                </c:pt>
                <c:pt idx="12">
                  <c:v>100</c:v>
                </c:pt>
                <c:pt idx="13">
                  <c:v>60</c:v>
                </c:pt>
                <c:pt idx="14">
                  <c:v>7</c:v>
                </c:pt>
                <c:pt idx="15">
                  <c:v>283</c:v>
                </c:pt>
                <c:pt idx="16">
                  <c:v>201</c:v>
                </c:pt>
                <c:pt idx="17">
                  <c:v>113</c:v>
                </c:pt>
                <c:pt idx="18">
                  <c:v>43</c:v>
                </c:pt>
                <c:pt idx="19">
                  <c:v>262</c:v>
                </c:pt>
                <c:pt idx="20">
                  <c:v>200</c:v>
                </c:pt>
                <c:pt idx="21">
                  <c:v>161</c:v>
                </c:pt>
                <c:pt idx="22">
                  <c:v>111</c:v>
                </c:pt>
                <c:pt idx="23">
                  <c:v>66</c:v>
                </c:pt>
                <c:pt idx="24">
                  <c:v>41</c:v>
                </c:pt>
                <c:pt idx="25">
                  <c:v>293</c:v>
                </c:pt>
                <c:pt idx="26">
                  <c:v>256</c:v>
                </c:pt>
                <c:pt idx="27">
                  <c:v>235</c:v>
                </c:pt>
                <c:pt idx="28">
                  <c:v>174</c:v>
                </c:pt>
                <c:pt idx="29">
                  <c:v>113</c:v>
                </c:pt>
                <c:pt idx="30">
                  <c:v>83</c:v>
                </c:pt>
                <c:pt idx="31">
                  <c:v>38</c:v>
                </c:pt>
                <c:pt idx="32">
                  <c:v>10</c:v>
                </c:pt>
                <c:pt idx="33">
                  <c:v>254</c:v>
                </c:pt>
                <c:pt idx="34">
                  <c:v>203</c:v>
                </c:pt>
                <c:pt idx="35">
                  <c:v>149</c:v>
                </c:pt>
                <c:pt idx="36">
                  <c:v>127</c:v>
                </c:pt>
                <c:pt idx="37">
                  <c:v>70</c:v>
                </c:pt>
                <c:pt idx="38">
                  <c:v>46</c:v>
                </c:pt>
                <c:pt idx="39">
                  <c:v>285</c:v>
                </c:pt>
                <c:pt idx="40">
                  <c:v>227</c:v>
                </c:pt>
                <c:pt idx="41">
                  <c:v>202</c:v>
                </c:pt>
                <c:pt idx="42">
                  <c:v>130</c:v>
                </c:pt>
                <c:pt idx="43">
                  <c:v>79</c:v>
                </c:pt>
                <c:pt idx="44">
                  <c:v>283</c:v>
                </c:pt>
                <c:pt idx="45">
                  <c:v>256</c:v>
                </c:pt>
                <c:pt idx="46">
                  <c:v>212</c:v>
                </c:pt>
                <c:pt idx="47">
                  <c:v>182</c:v>
                </c:pt>
                <c:pt idx="48">
                  <c:v>117</c:v>
                </c:pt>
                <c:pt idx="49">
                  <c:v>56</c:v>
                </c:pt>
                <c:pt idx="50">
                  <c:v>282</c:v>
                </c:pt>
                <c:pt idx="51">
                  <c:v>249</c:v>
                </c:pt>
                <c:pt idx="52">
                  <c:v>202</c:v>
                </c:pt>
                <c:pt idx="53">
                  <c:v>166</c:v>
                </c:pt>
                <c:pt idx="54">
                  <c:v>92</c:v>
                </c:pt>
                <c:pt idx="55">
                  <c:v>33</c:v>
                </c:pt>
                <c:pt idx="56">
                  <c:v>258</c:v>
                </c:pt>
                <c:pt idx="57">
                  <c:v>219</c:v>
                </c:pt>
                <c:pt idx="58">
                  <c:v>187</c:v>
                </c:pt>
                <c:pt idx="59">
                  <c:v>151</c:v>
                </c:pt>
                <c:pt idx="60">
                  <c:v>88</c:v>
                </c:pt>
                <c:pt idx="61">
                  <c:v>290</c:v>
                </c:pt>
                <c:pt idx="62">
                  <c:v>255</c:v>
                </c:pt>
                <c:pt idx="63">
                  <c:v>197</c:v>
                </c:pt>
                <c:pt idx="64">
                  <c:v>153</c:v>
                </c:pt>
                <c:pt idx="65">
                  <c:v>128</c:v>
                </c:pt>
                <c:pt idx="66">
                  <c:v>81</c:v>
                </c:pt>
                <c:pt idx="67">
                  <c:v>34</c:v>
                </c:pt>
                <c:pt idx="68">
                  <c:v>254</c:v>
                </c:pt>
                <c:pt idx="69">
                  <c:v>214</c:v>
                </c:pt>
                <c:pt idx="70">
                  <c:v>171</c:v>
                </c:pt>
                <c:pt idx="71">
                  <c:v>150</c:v>
                </c:pt>
                <c:pt idx="72">
                  <c:v>126</c:v>
                </c:pt>
                <c:pt idx="73">
                  <c:v>86</c:v>
                </c:pt>
                <c:pt idx="74">
                  <c:v>50</c:v>
                </c:pt>
                <c:pt idx="75">
                  <c:v>283</c:v>
                </c:pt>
                <c:pt idx="76">
                  <c:v>218</c:v>
                </c:pt>
                <c:pt idx="77">
                  <c:v>181</c:v>
                </c:pt>
                <c:pt idx="78">
                  <c:v>269</c:v>
                </c:pt>
                <c:pt idx="79">
                  <c:v>213</c:v>
                </c:pt>
                <c:pt idx="80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7-476F-A479-8B3D8A845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005304"/>
        <c:axId val="746009896"/>
      </c:lineChart>
      <c:dateAx>
        <c:axId val="746005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46009896"/>
        <c:crosses val="autoZero"/>
        <c:auto val="1"/>
        <c:lblOffset val="100"/>
        <c:baseTimeUnit val="days"/>
      </c:dateAx>
      <c:valAx>
        <c:axId val="746009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005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HILRef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15.0505</c:v>
          </c:tx>
          <c:marker>
            <c:symbol val="none"/>
          </c:marker>
          <c:trendline>
            <c:name>0 Date: 8/13/2018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history'!$O$2:$O$82</c:f>
              <c:numCache>
                <c:formatCode>General</c:formatCode>
                <c:ptCount val="81"/>
                <c:pt idx="0">
                  <c:v>383</c:v>
                </c:pt>
                <c:pt idx="1">
                  <c:v>366</c:v>
                </c:pt>
                <c:pt idx="2">
                  <c:v>319</c:v>
                </c:pt>
                <c:pt idx="3">
                  <c:v>270</c:v>
                </c:pt>
                <c:pt idx="4">
                  <c:v>219</c:v>
                </c:pt>
                <c:pt idx="5">
                  <c:v>191</c:v>
                </c:pt>
                <c:pt idx="6">
                  <c:v>442</c:v>
                </c:pt>
                <c:pt idx="7">
                  <c:v>400</c:v>
                </c:pt>
                <c:pt idx="8">
                  <c:v>370</c:v>
                </c:pt>
                <c:pt idx="9">
                  <c:v>287</c:v>
                </c:pt>
                <c:pt idx="10">
                  <c:v>234</c:v>
                </c:pt>
                <c:pt idx="11">
                  <c:v>140</c:v>
                </c:pt>
                <c:pt idx="12">
                  <c:v>111</c:v>
                </c:pt>
                <c:pt idx="13">
                  <c:v>451</c:v>
                </c:pt>
                <c:pt idx="14">
                  <c:v>393</c:v>
                </c:pt>
                <c:pt idx="15">
                  <c:v>364</c:v>
                </c:pt>
                <c:pt idx="16">
                  <c:v>290</c:v>
                </c:pt>
                <c:pt idx="17">
                  <c:v>441</c:v>
                </c:pt>
                <c:pt idx="18">
                  <c:v>374</c:v>
                </c:pt>
                <c:pt idx="19">
                  <c:v>312</c:v>
                </c:pt>
                <c:pt idx="20">
                  <c:v>249</c:v>
                </c:pt>
                <c:pt idx="21">
                  <c:v>212</c:v>
                </c:pt>
                <c:pt idx="22">
                  <c:v>408</c:v>
                </c:pt>
                <c:pt idx="23">
                  <c:v>363</c:v>
                </c:pt>
                <c:pt idx="24">
                  <c:v>343</c:v>
                </c:pt>
                <c:pt idx="25">
                  <c:v>298</c:v>
                </c:pt>
                <c:pt idx="26">
                  <c:v>436</c:v>
                </c:pt>
                <c:pt idx="27">
                  <c:v>419</c:v>
                </c:pt>
                <c:pt idx="28">
                  <c:v>344</c:v>
                </c:pt>
                <c:pt idx="29">
                  <c:v>274</c:v>
                </c:pt>
                <c:pt idx="30">
                  <c:v>432</c:v>
                </c:pt>
                <c:pt idx="31">
                  <c:v>387</c:v>
                </c:pt>
                <c:pt idx="32">
                  <c:v>356</c:v>
                </c:pt>
                <c:pt idx="33">
                  <c:v>306</c:v>
                </c:pt>
                <c:pt idx="34">
                  <c:v>255</c:v>
                </c:pt>
                <c:pt idx="35">
                  <c:v>418</c:v>
                </c:pt>
                <c:pt idx="36">
                  <c:v>401</c:v>
                </c:pt>
                <c:pt idx="37">
                  <c:v>346</c:v>
                </c:pt>
                <c:pt idx="38">
                  <c:v>324</c:v>
                </c:pt>
                <c:pt idx="39">
                  <c:v>265</c:v>
                </c:pt>
                <c:pt idx="40">
                  <c:v>441</c:v>
                </c:pt>
                <c:pt idx="41">
                  <c:v>417</c:v>
                </c:pt>
                <c:pt idx="42">
                  <c:v>350</c:v>
                </c:pt>
                <c:pt idx="43">
                  <c:v>300</c:v>
                </c:pt>
                <c:pt idx="44">
                  <c:v>431</c:v>
                </c:pt>
                <c:pt idx="45">
                  <c:v>418</c:v>
                </c:pt>
                <c:pt idx="46">
                  <c:v>384</c:v>
                </c:pt>
                <c:pt idx="47">
                  <c:v>356</c:v>
                </c:pt>
                <c:pt idx="48">
                  <c:v>288</c:v>
                </c:pt>
                <c:pt idx="49">
                  <c:v>217</c:v>
                </c:pt>
                <c:pt idx="50">
                  <c:v>429</c:v>
                </c:pt>
                <c:pt idx="51">
                  <c:v>403</c:v>
                </c:pt>
                <c:pt idx="52">
                  <c:v>352</c:v>
                </c:pt>
                <c:pt idx="53">
                  <c:v>319</c:v>
                </c:pt>
                <c:pt idx="54">
                  <c:v>258</c:v>
                </c:pt>
                <c:pt idx="55">
                  <c:v>204</c:v>
                </c:pt>
                <c:pt idx="56">
                  <c:v>134</c:v>
                </c:pt>
                <c:pt idx="57">
                  <c:v>432</c:v>
                </c:pt>
                <c:pt idx="58">
                  <c:v>403</c:v>
                </c:pt>
                <c:pt idx="59">
                  <c:v>366</c:v>
                </c:pt>
                <c:pt idx="60">
                  <c:v>304</c:v>
                </c:pt>
                <c:pt idx="61">
                  <c:v>237</c:v>
                </c:pt>
                <c:pt idx="62">
                  <c:v>201</c:v>
                </c:pt>
                <c:pt idx="63">
                  <c:v>390</c:v>
                </c:pt>
                <c:pt idx="64">
                  <c:v>349</c:v>
                </c:pt>
                <c:pt idx="65">
                  <c:v>322</c:v>
                </c:pt>
                <c:pt idx="66">
                  <c:v>270</c:v>
                </c:pt>
                <c:pt idx="67">
                  <c:v>208</c:v>
                </c:pt>
                <c:pt idx="68">
                  <c:v>426</c:v>
                </c:pt>
                <c:pt idx="69">
                  <c:v>389</c:v>
                </c:pt>
                <c:pt idx="70">
                  <c:v>347</c:v>
                </c:pt>
                <c:pt idx="71">
                  <c:v>326</c:v>
                </c:pt>
                <c:pt idx="72">
                  <c:v>422</c:v>
                </c:pt>
                <c:pt idx="73">
                  <c:v>395</c:v>
                </c:pt>
                <c:pt idx="74">
                  <c:v>363</c:v>
                </c:pt>
                <c:pt idx="75">
                  <c:v>326</c:v>
                </c:pt>
                <c:pt idx="76">
                  <c:v>260</c:v>
                </c:pt>
                <c:pt idx="77">
                  <c:v>221</c:v>
                </c:pt>
                <c:pt idx="78">
                  <c:v>360</c:v>
                </c:pt>
                <c:pt idx="79">
                  <c:v>308</c:v>
                </c:pt>
                <c:pt idx="8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C-4D07-840D-461839B3A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61208"/>
        <c:axId val="812477280"/>
      </c:lineChart>
      <c:dateAx>
        <c:axId val="812461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77280"/>
        <c:crosses val="autoZero"/>
        <c:auto val="1"/>
        <c:lblOffset val="100"/>
        <c:baseTimeUnit val="days"/>
      </c:dateAx>
      <c:valAx>
        <c:axId val="812477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612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9.30303</c:v>
          </c:tx>
          <c:marker>
            <c:symbol val="none"/>
          </c:marker>
          <c:trendline>
            <c:name>0 Date: 8/14/2018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history'!$P$2:$P$82</c:f>
              <c:numCache>
                <c:formatCode>General</c:formatCode>
                <c:ptCount val="81"/>
                <c:pt idx="0">
                  <c:v>107</c:v>
                </c:pt>
                <c:pt idx="1">
                  <c:v>97</c:v>
                </c:pt>
                <c:pt idx="2">
                  <c:v>56</c:v>
                </c:pt>
                <c:pt idx="3">
                  <c:v>11</c:v>
                </c:pt>
                <c:pt idx="4">
                  <c:v>139</c:v>
                </c:pt>
                <c:pt idx="5">
                  <c:v>99</c:v>
                </c:pt>
                <c:pt idx="6">
                  <c:v>77</c:v>
                </c:pt>
                <c:pt idx="7">
                  <c:v>55</c:v>
                </c:pt>
                <c:pt idx="8">
                  <c:v>23</c:v>
                </c:pt>
                <c:pt idx="9">
                  <c:v>176</c:v>
                </c:pt>
                <c:pt idx="10">
                  <c:v>135</c:v>
                </c:pt>
                <c:pt idx="11">
                  <c:v>99</c:v>
                </c:pt>
                <c:pt idx="12">
                  <c:v>89</c:v>
                </c:pt>
                <c:pt idx="13">
                  <c:v>56</c:v>
                </c:pt>
                <c:pt idx="14">
                  <c:v>31</c:v>
                </c:pt>
                <c:pt idx="15">
                  <c:v>18</c:v>
                </c:pt>
                <c:pt idx="16">
                  <c:v>150</c:v>
                </c:pt>
                <c:pt idx="17">
                  <c:v>119</c:v>
                </c:pt>
                <c:pt idx="18">
                  <c:v>77</c:v>
                </c:pt>
                <c:pt idx="19">
                  <c:v>56</c:v>
                </c:pt>
                <c:pt idx="20">
                  <c:v>27</c:v>
                </c:pt>
                <c:pt idx="21">
                  <c:v>189</c:v>
                </c:pt>
                <c:pt idx="22">
                  <c:v>167</c:v>
                </c:pt>
                <c:pt idx="23">
                  <c:v>146</c:v>
                </c:pt>
                <c:pt idx="24">
                  <c:v>114</c:v>
                </c:pt>
                <c:pt idx="25">
                  <c:v>92</c:v>
                </c:pt>
                <c:pt idx="26">
                  <c:v>69</c:v>
                </c:pt>
                <c:pt idx="27">
                  <c:v>35</c:v>
                </c:pt>
                <c:pt idx="28">
                  <c:v>8</c:v>
                </c:pt>
                <c:pt idx="29">
                  <c:v>183</c:v>
                </c:pt>
                <c:pt idx="30">
                  <c:v>142</c:v>
                </c:pt>
                <c:pt idx="31">
                  <c:v>120</c:v>
                </c:pt>
                <c:pt idx="32">
                  <c:v>108</c:v>
                </c:pt>
                <c:pt idx="33">
                  <c:v>60</c:v>
                </c:pt>
                <c:pt idx="34">
                  <c:v>36</c:v>
                </c:pt>
                <c:pt idx="35">
                  <c:v>14</c:v>
                </c:pt>
                <c:pt idx="36">
                  <c:v>157</c:v>
                </c:pt>
                <c:pt idx="37">
                  <c:v>137</c:v>
                </c:pt>
                <c:pt idx="38">
                  <c:v>127</c:v>
                </c:pt>
                <c:pt idx="39">
                  <c:v>85</c:v>
                </c:pt>
                <c:pt idx="40">
                  <c:v>65</c:v>
                </c:pt>
                <c:pt idx="41">
                  <c:v>55</c:v>
                </c:pt>
                <c:pt idx="42">
                  <c:v>13</c:v>
                </c:pt>
                <c:pt idx="43">
                  <c:v>169</c:v>
                </c:pt>
                <c:pt idx="44">
                  <c:v>119</c:v>
                </c:pt>
                <c:pt idx="45">
                  <c:v>83</c:v>
                </c:pt>
                <c:pt idx="46">
                  <c:v>61</c:v>
                </c:pt>
                <c:pt idx="47">
                  <c:v>50</c:v>
                </c:pt>
                <c:pt idx="48">
                  <c:v>179</c:v>
                </c:pt>
                <c:pt idx="49">
                  <c:v>158</c:v>
                </c:pt>
                <c:pt idx="50">
                  <c:v>138</c:v>
                </c:pt>
                <c:pt idx="51">
                  <c:v>108</c:v>
                </c:pt>
                <c:pt idx="52">
                  <c:v>88</c:v>
                </c:pt>
                <c:pt idx="53">
                  <c:v>77</c:v>
                </c:pt>
                <c:pt idx="54">
                  <c:v>35</c:v>
                </c:pt>
                <c:pt idx="55">
                  <c:v>180</c:v>
                </c:pt>
                <c:pt idx="56">
                  <c:v>160</c:v>
                </c:pt>
                <c:pt idx="57">
                  <c:v>119</c:v>
                </c:pt>
                <c:pt idx="58">
                  <c:v>109</c:v>
                </c:pt>
                <c:pt idx="59">
                  <c:v>100</c:v>
                </c:pt>
                <c:pt idx="60">
                  <c:v>58</c:v>
                </c:pt>
                <c:pt idx="61">
                  <c:v>35</c:v>
                </c:pt>
                <c:pt idx="62">
                  <c:v>171</c:v>
                </c:pt>
                <c:pt idx="63">
                  <c:v>126</c:v>
                </c:pt>
                <c:pt idx="64">
                  <c:v>106</c:v>
                </c:pt>
                <c:pt idx="65">
                  <c:v>96</c:v>
                </c:pt>
                <c:pt idx="66">
                  <c:v>55</c:v>
                </c:pt>
                <c:pt idx="67">
                  <c:v>30</c:v>
                </c:pt>
                <c:pt idx="68">
                  <c:v>178</c:v>
                </c:pt>
                <c:pt idx="69">
                  <c:v>149</c:v>
                </c:pt>
                <c:pt idx="70">
                  <c:v>130</c:v>
                </c:pt>
                <c:pt idx="71">
                  <c:v>120</c:v>
                </c:pt>
                <c:pt idx="72">
                  <c:v>109</c:v>
                </c:pt>
                <c:pt idx="73">
                  <c:v>70</c:v>
                </c:pt>
                <c:pt idx="74">
                  <c:v>40</c:v>
                </c:pt>
                <c:pt idx="75">
                  <c:v>179</c:v>
                </c:pt>
                <c:pt idx="76">
                  <c:v>160</c:v>
                </c:pt>
                <c:pt idx="77">
                  <c:v>150</c:v>
                </c:pt>
                <c:pt idx="78">
                  <c:v>34</c:v>
                </c:pt>
                <c:pt idx="79">
                  <c:v>11</c:v>
                </c:pt>
                <c:pt idx="8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48-4DBE-A850-4D281D3BF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009240"/>
        <c:axId val="746005960"/>
      </c:lineChart>
      <c:dateAx>
        <c:axId val="746009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46005960"/>
        <c:crosses val="autoZero"/>
        <c:auto val="1"/>
        <c:lblOffset val="100"/>
        <c:baseTimeUnit val="days"/>
      </c:dateAx>
      <c:valAx>
        <c:axId val="746005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0092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ICTD5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39.83249</c:v>
          </c:tx>
          <c:marker>
            <c:symbol val="none"/>
          </c:marker>
          <c:trendline>
            <c:name>0 Date: 7/31/2018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history'!$Q$2:$Q$82</c:f>
              <c:numCache>
                <c:formatCode>General</c:formatCode>
                <c:ptCount val="81"/>
                <c:pt idx="0">
                  <c:v>52</c:v>
                </c:pt>
                <c:pt idx="1">
                  <c:v>1085</c:v>
                </c:pt>
                <c:pt idx="2">
                  <c:v>937</c:v>
                </c:pt>
                <c:pt idx="3">
                  <c:v>821</c:v>
                </c:pt>
                <c:pt idx="4">
                  <c:v>726</c:v>
                </c:pt>
                <c:pt idx="5">
                  <c:v>607</c:v>
                </c:pt>
                <c:pt idx="6">
                  <c:v>521</c:v>
                </c:pt>
                <c:pt idx="7">
                  <c:v>429</c:v>
                </c:pt>
                <c:pt idx="8">
                  <c:v>313</c:v>
                </c:pt>
                <c:pt idx="9">
                  <c:v>158</c:v>
                </c:pt>
                <c:pt idx="10">
                  <c:v>1058</c:v>
                </c:pt>
                <c:pt idx="11">
                  <c:v>905</c:v>
                </c:pt>
                <c:pt idx="12">
                  <c:v>851</c:v>
                </c:pt>
                <c:pt idx="13">
                  <c:v>736</c:v>
                </c:pt>
                <c:pt idx="14">
                  <c:v>629</c:v>
                </c:pt>
                <c:pt idx="15">
                  <c:v>576</c:v>
                </c:pt>
                <c:pt idx="16">
                  <c:v>394</c:v>
                </c:pt>
                <c:pt idx="17">
                  <c:v>232</c:v>
                </c:pt>
                <c:pt idx="18">
                  <c:v>57</c:v>
                </c:pt>
                <c:pt idx="19">
                  <c:v>1064</c:v>
                </c:pt>
                <c:pt idx="20">
                  <c:v>953</c:v>
                </c:pt>
                <c:pt idx="21">
                  <c:v>836</c:v>
                </c:pt>
                <c:pt idx="22">
                  <c:v>737</c:v>
                </c:pt>
                <c:pt idx="23">
                  <c:v>645</c:v>
                </c:pt>
                <c:pt idx="24">
                  <c:v>532</c:v>
                </c:pt>
                <c:pt idx="25">
                  <c:v>441</c:v>
                </c:pt>
                <c:pt idx="26">
                  <c:v>351</c:v>
                </c:pt>
                <c:pt idx="27">
                  <c:v>244</c:v>
                </c:pt>
                <c:pt idx="28">
                  <c:v>133</c:v>
                </c:pt>
                <c:pt idx="29">
                  <c:v>1120</c:v>
                </c:pt>
                <c:pt idx="30">
                  <c:v>1021</c:v>
                </c:pt>
                <c:pt idx="31">
                  <c:v>926</c:v>
                </c:pt>
                <c:pt idx="32">
                  <c:v>876</c:v>
                </c:pt>
                <c:pt idx="33">
                  <c:v>731</c:v>
                </c:pt>
                <c:pt idx="34">
                  <c:v>616</c:v>
                </c:pt>
                <c:pt idx="35">
                  <c:v>513</c:v>
                </c:pt>
                <c:pt idx="36">
                  <c:v>410</c:v>
                </c:pt>
                <c:pt idx="37">
                  <c:v>312</c:v>
                </c:pt>
                <c:pt idx="38">
                  <c:v>261</c:v>
                </c:pt>
                <c:pt idx="39">
                  <c:v>91</c:v>
                </c:pt>
                <c:pt idx="40">
                  <c:v>1115</c:v>
                </c:pt>
                <c:pt idx="41">
                  <c:v>1068</c:v>
                </c:pt>
                <c:pt idx="42">
                  <c:v>911</c:v>
                </c:pt>
                <c:pt idx="43">
                  <c:v>814</c:v>
                </c:pt>
                <c:pt idx="44">
                  <c:v>678</c:v>
                </c:pt>
                <c:pt idx="45">
                  <c:v>566</c:v>
                </c:pt>
                <c:pt idx="46">
                  <c:v>489</c:v>
                </c:pt>
                <c:pt idx="47">
                  <c:v>428</c:v>
                </c:pt>
                <c:pt idx="48">
                  <c:v>262</c:v>
                </c:pt>
                <c:pt idx="49">
                  <c:v>150</c:v>
                </c:pt>
                <c:pt idx="50">
                  <c:v>54</c:v>
                </c:pt>
                <c:pt idx="51">
                  <c:v>1070</c:v>
                </c:pt>
                <c:pt idx="52">
                  <c:v>975</c:v>
                </c:pt>
                <c:pt idx="53">
                  <c:v>921</c:v>
                </c:pt>
                <c:pt idx="54">
                  <c:v>762</c:v>
                </c:pt>
                <c:pt idx="55">
                  <c:v>652</c:v>
                </c:pt>
                <c:pt idx="56">
                  <c:v>541</c:v>
                </c:pt>
                <c:pt idx="57">
                  <c:v>402</c:v>
                </c:pt>
                <c:pt idx="58">
                  <c:v>347</c:v>
                </c:pt>
                <c:pt idx="59">
                  <c:v>286</c:v>
                </c:pt>
                <c:pt idx="60">
                  <c:v>114</c:v>
                </c:pt>
                <c:pt idx="61">
                  <c:v>1019</c:v>
                </c:pt>
                <c:pt idx="62">
                  <c:v>964</c:v>
                </c:pt>
                <c:pt idx="63">
                  <c:v>812</c:v>
                </c:pt>
                <c:pt idx="64">
                  <c:v>724</c:v>
                </c:pt>
                <c:pt idx="65">
                  <c:v>679</c:v>
                </c:pt>
                <c:pt idx="66">
                  <c:v>535</c:v>
                </c:pt>
                <c:pt idx="67">
                  <c:v>440</c:v>
                </c:pt>
                <c:pt idx="68">
                  <c:v>329</c:v>
                </c:pt>
                <c:pt idx="69">
                  <c:v>1066</c:v>
                </c:pt>
                <c:pt idx="70">
                  <c:v>975</c:v>
                </c:pt>
                <c:pt idx="71">
                  <c:v>931</c:v>
                </c:pt>
                <c:pt idx="72">
                  <c:v>888</c:v>
                </c:pt>
                <c:pt idx="73">
                  <c:v>775</c:v>
                </c:pt>
                <c:pt idx="74">
                  <c:v>674</c:v>
                </c:pt>
                <c:pt idx="75">
                  <c:v>1010</c:v>
                </c:pt>
                <c:pt idx="76">
                  <c:v>895</c:v>
                </c:pt>
                <c:pt idx="77">
                  <c:v>837</c:v>
                </c:pt>
                <c:pt idx="78">
                  <c:v>347</c:v>
                </c:pt>
                <c:pt idx="79">
                  <c:v>244</c:v>
                </c:pt>
                <c:pt idx="80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5A-49E6-B060-EA154A547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95936"/>
        <c:axId val="804792984"/>
      </c:lineChart>
      <c:dateAx>
        <c:axId val="804795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92984"/>
        <c:crosses val="autoZero"/>
        <c:auto val="1"/>
        <c:lblOffset val="100"/>
        <c:baseTimeUnit val="days"/>
      </c:dateAx>
      <c:valAx>
        <c:axId val="804792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959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Phos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6.454545</c:v>
          </c:tx>
          <c:marker>
            <c:symbol val="none"/>
          </c:marker>
          <c:trendline>
            <c:name>0 Date: 2/15/2019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history'!$R$2:$R$82</c:f>
              <c:numCache>
                <c:formatCode>General</c:formatCode>
                <c:ptCount val="81"/>
                <c:pt idx="0">
                  <c:v>1323</c:v>
                </c:pt>
                <c:pt idx="1">
                  <c:v>1321</c:v>
                </c:pt>
                <c:pt idx="2">
                  <c:v>1309</c:v>
                </c:pt>
                <c:pt idx="3">
                  <c:v>1265</c:v>
                </c:pt>
                <c:pt idx="4">
                  <c:v>1258</c:v>
                </c:pt>
                <c:pt idx="5">
                  <c:v>1248</c:v>
                </c:pt>
                <c:pt idx="6">
                  <c:v>1246</c:v>
                </c:pt>
                <c:pt idx="7">
                  <c:v>1241</c:v>
                </c:pt>
                <c:pt idx="8">
                  <c:v>1234</c:v>
                </c:pt>
                <c:pt idx="9">
                  <c:v>1225</c:v>
                </c:pt>
                <c:pt idx="10">
                  <c:v>1213</c:v>
                </c:pt>
                <c:pt idx="11">
                  <c:v>1206</c:v>
                </c:pt>
                <c:pt idx="12">
                  <c:v>1201</c:v>
                </c:pt>
                <c:pt idx="13">
                  <c:v>1183</c:v>
                </c:pt>
                <c:pt idx="14">
                  <c:v>1180</c:v>
                </c:pt>
                <c:pt idx="15">
                  <c:v>1178</c:v>
                </c:pt>
                <c:pt idx="16">
                  <c:v>1169</c:v>
                </c:pt>
                <c:pt idx="17">
                  <c:v>1162</c:v>
                </c:pt>
                <c:pt idx="18">
                  <c:v>1150</c:v>
                </c:pt>
                <c:pt idx="19">
                  <c:v>1147</c:v>
                </c:pt>
                <c:pt idx="20">
                  <c:v>1140</c:v>
                </c:pt>
                <c:pt idx="21">
                  <c:v>1363</c:v>
                </c:pt>
                <c:pt idx="22">
                  <c:v>1354</c:v>
                </c:pt>
                <c:pt idx="23">
                  <c:v>1354</c:v>
                </c:pt>
                <c:pt idx="24">
                  <c:v>1347</c:v>
                </c:pt>
                <c:pt idx="25">
                  <c:v>1342</c:v>
                </c:pt>
                <c:pt idx="26">
                  <c:v>1337</c:v>
                </c:pt>
                <c:pt idx="27">
                  <c:v>1330</c:v>
                </c:pt>
                <c:pt idx="28">
                  <c:v>1321</c:v>
                </c:pt>
                <c:pt idx="29">
                  <c:v>1314</c:v>
                </c:pt>
                <c:pt idx="30">
                  <c:v>1312</c:v>
                </c:pt>
                <c:pt idx="31">
                  <c:v>1312</c:v>
                </c:pt>
                <c:pt idx="32">
                  <c:v>1307</c:v>
                </c:pt>
                <c:pt idx="33">
                  <c:v>1295</c:v>
                </c:pt>
                <c:pt idx="34">
                  <c:v>1293</c:v>
                </c:pt>
                <c:pt idx="35">
                  <c:v>1288</c:v>
                </c:pt>
                <c:pt idx="36">
                  <c:v>1281</c:v>
                </c:pt>
                <c:pt idx="37">
                  <c:v>1274</c:v>
                </c:pt>
                <c:pt idx="38">
                  <c:v>1272</c:v>
                </c:pt>
                <c:pt idx="39">
                  <c:v>1258</c:v>
                </c:pt>
                <c:pt idx="40">
                  <c:v>1244</c:v>
                </c:pt>
                <c:pt idx="41">
                  <c:v>1241</c:v>
                </c:pt>
                <c:pt idx="42">
                  <c:v>1230</c:v>
                </c:pt>
                <c:pt idx="43">
                  <c:v>1227</c:v>
                </c:pt>
                <c:pt idx="44">
                  <c:v>1190</c:v>
                </c:pt>
                <c:pt idx="45">
                  <c:v>1180</c:v>
                </c:pt>
                <c:pt idx="46">
                  <c:v>1176</c:v>
                </c:pt>
                <c:pt idx="47">
                  <c:v>1173</c:v>
                </c:pt>
                <c:pt idx="48">
                  <c:v>1403</c:v>
                </c:pt>
                <c:pt idx="49">
                  <c:v>1398</c:v>
                </c:pt>
                <c:pt idx="50">
                  <c:v>1391</c:v>
                </c:pt>
                <c:pt idx="51">
                  <c:v>1387</c:v>
                </c:pt>
                <c:pt idx="52">
                  <c:v>1382</c:v>
                </c:pt>
                <c:pt idx="53">
                  <c:v>1380</c:v>
                </c:pt>
                <c:pt idx="54">
                  <c:v>1370</c:v>
                </c:pt>
                <c:pt idx="55">
                  <c:v>1366</c:v>
                </c:pt>
                <c:pt idx="56">
                  <c:v>1363</c:v>
                </c:pt>
                <c:pt idx="57">
                  <c:v>1347</c:v>
                </c:pt>
                <c:pt idx="58">
                  <c:v>1347</c:v>
                </c:pt>
                <c:pt idx="59">
                  <c:v>1342</c:v>
                </c:pt>
                <c:pt idx="60">
                  <c:v>1328</c:v>
                </c:pt>
                <c:pt idx="61">
                  <c:v>1323</c:v>
                </c:pt>
                <c:pt idx="62">
                  <c:v>1323</c:v>
                </c:pt>
                <c:pt idx="63">
                  <c:v>1314</c:v>
                </c:pt>
                <c:pt idx="64">
                  <c:v>1309</c:v>
                </c:pt>
                <c:pt idx="65">
                  <c:v>1305</c:v>
                </c:pt>
                <c:pt idx="66">
                  <c:v>1288</c:v>
                </c:pt>
                <c:pt idx="67">
                  <c:v>1279</c:v>
                </c:pt>
                <c:pt idx="68">
                  <c:v>1274</c:v>
                </c:pt>
                <c:pt idx="69">
                  <c:v>1267</c:v>
                </c:pt>
                <c:pt idx="70">
                  <c:v>1262</c:v>
                </c:pt>
                <c:pt idx="71">
                  <c:v>1260</c:v>
                </c:pt>
                <c:pt idx="72">
                  <c:v>1258</c:v>
                </c:pt>
                <c:pt idx="73">
                  <c:v>1244</c:v>
                </c:pt>
                <c:pt idx="74">
                  <c:v>1234</c:v>
                </c:pt>
                <c:pt idx="75">
                  <c:v>592</c:v>
                </c:pt>
                <c:pt idx="76">
                  <c:v>1403</c:v>
                </c:pt>
                <c:pt idx="77">
                  <c:v>1398</c:v>
                </c:pt>
                <c:pt idx="78">
                  <c:v>1316</c:v>
                </c:pt>
                <c:pt idx="79">
                  <c:v>1312</c:v>
                </c:pt>
                <c:pt idx="80">
                  <c:v>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CB-45EC-82E1-8DB77F60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98560"/>
        <c:axId val="804795936"/>
      </c:lineChart>
      <c:dateAx>
        <c:axId val="804798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95936"/>
        <c:crosses val="autoZero"/>
        <c:auto val="1"/>
        <c:lblOffset val="100"/>
        <c:baseTimeUnit val="days"/>
      </c:dateAx>
      <c:valAx>
        <c:axId val="804795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985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Saline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4.969697</c:v>
          </c:tx>
          <c:marker>
            <c:symbol val="none"/>
          </c:marker>
          <c:trendline>
            <c:name>0 Date: 1/5/2019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history'!$S$2:$S$82</c:f>
              <c:numCache>
                <c:formatCode>General</c:formatCode>
                <c:ptCount val="81"/>
                <c:pt idx="0">
                  <c:v>830</c:v>
                </c:pt>
                <c:pt idx="1">
                  <c:v>827</c:v>
                </c:pt>
                <c:pt idx="2">
                  <c:v>817</c:v>
                </c:pt>
                <c:pt idx="3">
                  <c:v>779</c:v>
                </c:pt>
                <c:pt idx="4">
                  <c:v>774</c:v>
                </c:pt>
                <c:pt idx="5">
                  <c:v>759</c:v>
                </c:pt>
                <c:pt idx="6">
                  <c:v>753</c:v>
                </c:pt>
                <c:pt idx="7">
                  <c:v>745</c:v>
                </c:pt>
                <c:pt idx="8">
                  <c:v>733</c:v>
                </c:pt>
                <c:pt idx="9">
                  <c:v>722</c:v>
                </c:pt>
                <c:pt idx="10">
                  <c:v>711</c:v>
                </c:pt>
                <c:pt idx="11">
                  <c:v>699</c:v>
                </c:pt>
                <c:pt idx="12">
                  <c:v>696</c:v>
                </c:pt>
                <c:pt idx="13">
                  <c:v>681</c:v>
                </c:pt>
                <c:pt idx="14">
                  <c:v>675</c:v>
                </c:pt>
                <c:pt idx="15">
                  <c:v>672</c:v>
                </c:pt>
                <c:pt idx="16">
                  <c:v>659</c:v>
                </c:pt>
                <c:pt idx="17">
                  <c:v>837</c:v>
                </c:pt>
                <c:pt idx="18">
                  <c:v>823</c:v>
                </c:pt>
                <c:pt idx="19">
                  <c:v>818</c:v>
                </c:pt>
                <c:pt idx="20">
                  <c:v>811</c:v>
                </c:pt>
                <c:pt idx="21">
                  <c:v>801</c:v>
                </c:pt>
                <c:pt idx="22">
                  <c:v>794</c:v>
                </c:pt>
                <c:pt idx="23">
                  <c:v>790</c:v>
                </c:pt>
                <c:pt idx="24">
                  <c:v>779</c:v>
                </c:pt>
                <c:pt idx="25">
                  <c:v>774</c:v>
                </c:pt>
                <c:pt idx="26">
                  <c:v>834</c:v>
                </c:pt>
                <c:pt idx="27">
                  <c:v>826</c:v>
                </c:pt>
                <c:pt idx="28">
                  <c:v>818</c:v>
                </c:pt>
                <c:pt idx="29">
                  <c:v>807</c:v>
                </c:pt>
                <c:pt idx="30">
                  <c:v>798</c:v>
                </c:pt>
                <c:pt idx="31">
                  <c:v>794</c:v>
                </c:pt>
                <c:pt idx="32">
                  <c:v>791</c:v>
                </c:pt>
                <c:pt idx="33">
                  <c:v>791</c:v>
                </c:pt>
                <c:pt idx="34">
                  <c:v>764</c:v>
                </c:pt>
                <c:pt idx="35">
                  <c:v>799</c:v>
                </c:pt>
                <c:pt idx="36">
                  <c:v>410</c:v>
                </c:pt>
                <c:pt idx="37">
                  <c:v>780</c:v>
                </c:pt>
                <c:pt idx="38">
                  <c:v>779</c:v>
                </c:pt>
                <c:pt idx="39">
                  <c:v>767</c:v>
                </c:pt>
                <c:pt idx="40">
                  <c:v>757</c:v>
                </c:pt>
                <c:pt idx="41">
                  <c:v>754</c:v>
                </c:pt>
                <c:pt idx="42">
                  <c:v>825</c:v>
                </c:pt>
                <c:pt idx="43">
                  <c:v>813</c:v>
                </c:pt>
                <c:pt idx="44">
                  <c:v>815</c:v>
                </c:pt>
                <c:pt idx="45">
                  <c:v>805</c:v>
                </c:pt>
                <c:pt idx="46">
                  <c:v>799</c:v>
                </c:pt>
                <c:pt idx="47">
                  <c:v>796</c:v>
                </c:pt>
                <c:pt idx="48">
                  <c:v>784</c:v>
                </c:pt>
                <c:pt idx="49">
                  <c:v>778</c:v>
                </c:pt>
                <c:pt idx="50">
                  <c:v>857</c:v>
                </c:pt>
                <c:pt idx="51">
                  <c:v>848</c:v>
                </c:pt>
                <c:pt idx="52">
                  <c:v>843</c:v>
                </c:pt>
                <c:pt idx="53">
                  <c:v>841</c:v>
                </c:pt>
                <c:pt idx="54">
                  <c:v>830</c:v>
                </c:pt>
                <c:pt idx="55">
                  <c:v>822</c:v>
                </c:pt>
                <c:pt idx="56">
                  <c:v>818</c:v>
                </c:pt>
                <c:pt idx="57">
                  <c:v>805</c:v>
                </c:pt>
                <c:pt idx="58">
                  <c:v>801</c:v>
                </c:pt>
                <c:pt idx="59">
                  <c:v>798</c:v>
                </c:pt>
                <c:pt idx="60">
                  <c:v>779</c:v>
                </c:pt>
                <c:pt idx="61">
                  <c:v>774</c:v>
                </c:pt>
                <c:pt idx="62">
                  <c:v>771</c:v>
                </c:pt>
                <c:pt idx="63">
                  <c:v>819</c:v>
                </c:pt>
                <c:pt idx="64">
                  <c:v>815</c:v>
                </c:pt>
                <c:pt idx="65">
                  <c:v>810</c:v>
                </c:pt>
                <c:pt idx="66">
                  <c:v>797</c:v>
                </c:pt>
                <c:pt idx="67">
                  <c:v>788</c:v>
                </c:pt>
                <c:pt idx="68">
                  <c:v>857</c:v>
                </c:pt>
                <c:pt idx="69">
                  <c:v>847</c:v>
                </c:pt>
                <c:pt idx="70">
                  <c:v>840</c:v>
                </c:pt>
                <c:pt idx="71">
                  <c:v>838</c:v>
                </c:pt>
                <c:pt idx="72">
                  <c:v>833</c:v>
                </c:pt>
                <c:pt idx="73">
                  <c:v>809</c:v>
                </c:pt>
                <c:pt idx="74">
                  <c:v>799</c:v>
                </c:pt>
                <c:pt idx="75">
                  <c:v>779</c:v>
                </c:pt>
                <c:pt idx="76">
                  <c:v>773</c:v>
                </c:pt>
                <c:pt idx="77">
                  <c:v>771</c:v>
                </c:pt>
                <c:pt idx="78">
                  <c:v>818</c:v>
                </c:pt>
                <c:pt idx="79">
                  <c:v>813</c:v>
                </c:pt>
                <c:pt idx="80">
                  <c:v>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49-46B6-AF2E-6A8E570AC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005304"/>
        <c:axId val="746009896"/>
      </c:lineChart>
      <c:dateAx>
        <c:axId val="746005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46009896"/>
        <c:crosses val="autoZero"/>
        <c:auto val="1"/>
        <c:lblOffset val="100"/>
        <c:baseTimeUnit val="days"/>
      </c:dateAx>
      <c:valAx>
        <c:axId val="746009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005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4.338384</c:v>
          </c:tx>
          <c:marker>
            <c:symbol val="none"/>
          </c:marker>
          <c:trendline>
            <c:name>0 Date: 10/6/2018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history'!$T$2:$T$82</c:f>
              <c:numCache>
                <c:formatCode>General</c:formatCode>
                <c:ptCount val="81"/>
                <c:pt idx="0">
                  <c:v>380</c:v>
                </c:pt>
                <c:pt idx="1">
                  <c:v>377</c:v>
                </c:pt>
                <c:pt idx="2">
                  <c:v>359</c:v>
                </c:pt>
                <c:pt idx="3">
                  <c:v>330</c:v>
                </c:pt>
                <c:pt idx="4">
                  <c:v>322</c:v>
                </c:pt>
                <c:pt idx="5">
                  <c:v>301</c:v>
                </c:pt>
                <c:pt idx="6">
                  <c:v>292</c:v>
                </c:pt>
                <c:pt idx="7">
                  <c:v>283</c:v>
                </c:pt>
                <c:pt idx="8">
                  <c:v>274</c:v>
                </c:pt>
                <c:pt idx="9">
                  <c:v>395</c:v>
                </c:pt>
                <c:pt idx="10">
                  <c:v>373</c:v>
                </c:pt>
                <c:pt idx="11">
                  <c:v>354</c:v>
                </c:pt>
                <c:pt idx="12">
                  <c:v>346</c:v>
                </c:pt>
                <c:pt idx="13">
                  <c:v>333</c:v>
                </c:pt>
                <c:pt idx="14">
                  <c:v>325</c:v>
                </c:pt>
                <c:pt idx="15">
                  <c:v>321</c:v>
                </c:pt>
                <c:pt idx="16">
                  <c:v>301</c:v>
                </c:pt>
                <c:pt idx="17">
                  <c:v>285</c:v>
                </c:pt>
                <c:pt idx="18">
                  <c:v>375</c:v>
                </c:pt>
                <c:pt idx="19">
                  <c:v>369</c:v>
                </c:pt>
                <c:pt idx="20">
                  <c:v>360</c:v>
                </c:pt>
                <c:pt idx="21">
                  <c:v>350</c:v>
                </c:pt>
                <c:pt idx="22">
                  <c:v>341</c:v>
                </c:pt>
                <c:pt idx="23">
                  <c:v>332</c:v>
                </c:pt>
                <c:pt idx="24">
                  <c:v>319</c:v>
                </c:pt>
                <c:pt idx="25">
                  <c:v>311</c:v>
                </c:pt>
                <c:pt idx="26">
                  <c:v>304</c:v>
                </c:pt>
                <c:pt idx="27">
                  <c:v>378</c:v>
                </c:pt>
                <c:pt idx="28">
                  <c:v>362</c:v>
                </c:pt>
                <c:pt idx="29">
                  <c:v>352</c:v>
                </c:pt>
                <c:pt idx="30">
                  <c:v>346</c:v>
                </c:pt>
                <c:pt idx="31">
                  <c:v>337</c:v>
                </c:pt>
                <c:pt idx="32">
                  <c:v>329</c:v>
                </c:pt>
                <c:pt idx="33">
                  <c:v>313</c:v>
                </c:pt>
                <c:pt idx="34">
                  <c:v>302</c:v>
                </c:pt>
                <c:pt idx="35">
                  <c:v>293</c:v>
                </c:pt>
                <c:pt idx="36">
                  <c:v>389</c:v>
                </c:pt>
                <c:pt idx="37">
                  <c:v>370</c:v>
                </c:pt>
                <c:pt idx="38">
                  <c:v>366</c:v>
                </c:pt>
                <c:pt idx="39">
                  <c:v>347</c:v>
                </c:pt>
                <c:pt idx="40">
                  <c:v>330</c:v>
                </c:pt>
                <c:pt idx="41">
                  <c:v>325</c:v>
                </c:pt>
                <c:pt idx="42">
                  <c:v>307</c:v>
                </c:pt>
                <c:pt idx="43">
                  <c:v>297</c:v>
                </c:pt>
                <c:pt idx="44">
                  <c:v>251</c:v>
                </c:pt>
                <c:pt idx="45">
                  <c:v>236</c:v>
                </c:pt>
                <c:pt idx="46">
                  <c:v>377</c:v>
                </c:pt>
                <c:pt idx="47">
                  <c:v>373</c:v>
                </c:pt>
                <c:pt idx="48">
                  <c:v>355</c:v>
                </c:pt>
                <c:pt idx="49">
                  <c:v>346</c:v>
                </c:pt>
                <c:pt idx="50">
                  <c:v>334</c:v>
                </c:pt>
                <c:pt idx="51">
                  <c:v>325</c:v>
                </c:pt>
                <c:pt idx="52">
                  <c:v>315</c:v>
                </c:pt>
                <c:pt idx="53">
                  <c:v>312</c:v>
                </c:pt>
                <c:pt idx="54">
                  <c:v>296</c:v>
                </c:pt>
                <c:pt idx="55">
                  <c:v>289</c:v>
                </c:pt>
                <c:pt idx="56">
                  <c:v>382</c:v>
                </c:pt>
                <c:pt idx="57">
                  <c:v>366</c:v>
                </c:pt>
                <c:pt idx="58">
                  <c:v>355</c:v>
                </c:pt>
                <c:pt idx="59">
                  <c:v>352</c:v>
                </c:pt>
                <c:pt idx="60">
                  <c:v>331</c:v>
                </c:pt>
                <c:pt idx="61">
                  <c:v>322</c:v>
                </c:pt>
                <c:pt idx="62">
                  <c:v>319</c:v>
                </c:pt>
                <c:pt idx="63">
                  <c:v>309</c:v>
                </c:pt>
                <c:pt idx="64">
                  <c:v>300</c:v>
                </c:pt>
                <c:pt idx="65">
                  <c:v>296</c:v>
                </c:pt>
                <c:pt idx="66">
                  <c:v>378</c:v>
                </c:pt>
                <c:pt idx="67">
                  <c:v>361</c:v>
                </c:pt>
                <c:pt idx="68">
                  <c:v>345</c:v>
                </c:pt>
                <c:pt idx="69">
                  <c:v>337</c:v>
                </c:pt>
                <c:pt idx="70">
                  <c:v>326</c:v>
                </c:pt>
                <c:pt idx="71">
                  <c:v>324</c:v>
                </c:pt>
                <c:pt idx="72">
                  <c:v>321</c:v>
                </c:pt>
                <c:pt idx="73">
                  <c:v>296</c:v>
                </c:pt>
                <c:pt idx="74">
                  <c:v>287</c:v>
                </c:pt>
                <c:pt idx="75">
                  <c:v>375</c:v>
                </c:pt>
                <c:pt idx="76">
                  <c:v>365</c:v>
                </c:pt>
                <c:pt idx="77">
                  <c:v>359</c:v>
                </c:pt>
                <c:pt idx="78">
                  <c:v>324</c:v>
                </c:pt>
                <c:pt idx="79">
                  <c:v>313</c:v>
                </c:pt>
                <c:pt idx="80">
                  <c:v>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FF-47F7-9FBC-A870315E4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113616"/>
        <c:axId val="638114600"/>
      </c:lineChart>
      <c:dateAx>
        <c:axId val="638113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8114600"/>
        <c:crosses val="autoZero"/>
        <c:auto val="1"/>
        <c:lblOffset val="100"/>
        <c:baseTimeUnit val="days"/>
      </c:dateAx>
      <c:valAx>
        <c:axId val="638114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81136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Urea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19.06061</c:v>
          </c:tx>
          <c:marker>
            <c:symbol val="none"/>
          </c:marker>
          <c:trendline>
            <c:name>0 Date: 10/24/2018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history'!$U$2:$U$82</c:f>
              <c:numCache>
                <c:formatCode>General</c:formatCode>
                <c:ptCount val="81"/>
                <c:pt idx="0">
                  <c:v>1650</c:v>
                </c:pt>
                <c:pt idx="1">
                  <c:v>1621</c:v>
                </c:pt>
                <c:pt idx="2">
                  <c:v>1568</c:v>
                </c:pt>
                <c:pt idx="3">
                  <c:v>1501</c:v>
                </c:pt>
                <c:pt idx="4">
                  <c:v>1437</c:v>
                </c:pt>
                <c:pt idx="5">
                  <c:v>1390</c:v>
                </c:pt>
                <c:pt idx="6">
                  <c:v>1344</c:v>
                </c:pt>
                <c:pt idx="7">
                  <c:v>1300</c:v>
                </c:pt>
                <c:pt idx="8">
                  <c:v>1251</c:v>
                </c:pt>
                <c:pt idx="9">
                  <c:v>1658</c:v>
                </c:pt>
                <c:pt idx="10">
                  <c:v>1587</c:v>
                </c:pt>
                <c:pt idx="11">
                  <c:v>1504</c:v>
                </c:pt>
                <c:pt idx="12">
                  <c:v>1477</c:v>
                </c:pt>
                <c:pt idx="13">
                  <c:v>1424</c:v>
                </c:pt>
                <c:pt idx="14">
                  <c:v>1371</c:v>
                </c:pt>
                <c:pt idx="15">
                  <c:v>1340</c:v>
                </c:pt>
                <c:pt idx="16">
                  <c:v>1247</c:v>
                </c:pt>
                <c:pt idx="17">
                  <c:v>1147</c:v>
                </c:pt>
                <c:pt idx="18">
                  <c:v>1697</c:v>
                </c:pt>
                <c:pt idx="19">
                  <c:v>1639</c:v>
                </c:pt>
                <c:pt idx="20">
                  <c:v>1564</c:v>
                </c:pt>
                <c:pt idx="21">
                  <c:v>1525</c:v>
                </c:pt>
                <c:pt idx="22">
                  <c:v>1475</c:v>
                </c:pt>
                <c:pt idx="23">
                  <c:v>1421</c:v>
                </c:pt>
                <c:pt idx="24">
                  <c:v>1390</c:v>
                </c:pt>
                <c:pt idx="25">
                  <c:v>1347</c:v>
                </c:pt>
                <c:pt idx="26">
                  <c:v>1294</c:v>
                </c:pt>
                <c:pt idx="27">
                  <c:v>1750</c:v>
                </c:pt>
                <c:pt idx="28">
                  <c:v>1690</c:v>
                </c:pt>
                <c:pt idx="29">
                  <c:v>1634</c:v>
                </c:pt>
                <c:pt idx="30">
                  <c:v>1594</c:v>
                </c:pt>
                <c:pt idx="31">
                  <c:v>1548</c:v>
                </c:pt>
                <c:pt idx="32">
                  <c:v>1515</c:v>
                </c:pt>
                <c:pt idx="33">
                  <c:v>1451</c:v>
                </c:pt>
                <c:pt idx="34">
                  <c:v>1393</c:v>
                </c:pt>
                <c:pt idx="35">
                  <c:v>1340</c:v>
                </c:pt>
                <c:pt idx="36">
                  <c:v>1300</c:v>
                </c:pt>
                <c:pt idx="37">
                  <c:v>1236</c:v>
                </c:pt>
                <c:pt idx="38">
                  <c:v>1687</c:v>
                </c:pt>
                <c:pt idx="39">
                  <c:v>1618</c:v>
                </c:pt>
                <c:pt idx="40">
                  <c:v>1562</c:v>
                </c:pt>
                <c:pt idx="41">
                  <c:v>1541</c:v>
                </c:pt>
                <c:pt idx="42">
                  <c:v>1641</c:v>
                </c:pt>
                <c:pt idx="43">
                  <c:v>1587</c:v>
                </c:pt>
                <c:pt idx="44">
                  <c:v>1494</c:v>
                </c:pt>
                <c:pt idx="45">
                  <c:v>1457</c:v>
                </c:pt>
                <c:pt idx="46">
                  <c:v>1422</c:v>
                </c:pt>
                <c:pt idx="47">
                  <c:v>1390</c:v>
                </c:pt>
                <c:pt idx="48">
                  <c:v>1314</c:v>
                </c:pt>
                <c:pt idx="49">
                  <c:v>1251</c:v>
                </c:pt>
                <c:pt idx="50">
                  <c:v>1190</c:v>
                </c:pt>
                <c:pt idx="51">
                  <c:v>1143</c:v>
                </c:pt>
                <c:pt idx="52">
                  <c:v>1697</c:v>
                </c:pt>
                <c:pt idx="53">
                  <c:v>1663</c:v>
                </c:pt>
                <c:pt idx="54">
                  <c:v>1597</c:v>
                </c:pt>
                <c:pt idx="55">
                  <c:v>1544</c:v>
                </c:pt>
                <c:pt idx="56">
                  <c:v>1477</c:v>
                </c:pt>
                <c:pt idx="57">
                  <c:v>1431</c:v>
                </c:pt>
                <c:pt idx="58">
                  <c:v>1398</c:v>
                </c:pt>
                <c:pt idx="59">
                  <c:v>1363</c:v>
                </c:pt>
                <c:pt idx="60">
                  <c:v>1289</c:v>
                </c:pt>
                <c:pt idx="61">
                  <c:v>1234</c:v>
                </c:pt>
                <c:pt idx="62">
                  <c:v>1198</c:v>
                </c:pt>
                <c:pt idx="63">
                  <c:v>1638</c:v>
                </c:pt>
                <c:pt idx="64">
                  <c:v>1591</c:v>
                </c:pt>
                <c:pt idx="65">
                  <c:v>1573</c:v>
                </c:pt>
                <c:pt idx="66">
                  <c:v>1522</c:v>
                </c:pt>
                <c:pt idx="67">
                  <c:v>1483</c:v>
                </c:pt>
                <c:pt idx="68">
                  <c:v>1414</c:v>
                </c:pt>
                <c:pt idx="69">
                  <c:v>1376</c:v>
                </c:pt>
                <c:pt idx="70">
                  <c:v>1345</c:v>
                </c:pt>
                <c:pt idx="71">
                  <c:v>1321</c:v>
                </c:pt>
                <c:pt idx="72">
                  <c:v>1287</c:v>
                </c:pt>
                <c:pt idx="73">
                  <c:v>1660</c:v>
                </c:pt>
                <c:pt idx="74">
                  <c:v>1621</c:v>
                </c:pt>
                <c:pt idx="75">
                  <c:v>1570</c:v>
                </c:pt>
                <c:pt idx="76">
                  <c:v>1515</c:v>
                </c:pt>
                <c:pt idx="77">
                  <c:v>1477</c:v>
                </c:pt>
                <c:pt idx="78">
                  <c:v>1262</c:v>
                </c:pt>
                <c:pt idx="79">
                  <c:v>1207</c:v>
                </c:pt>
                <c:pt idx="80">
                  <c:v>1697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29-4060-B7DA-9565A29C5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800200"/>
        <c:axId val="804800528"/>
      </c:lineChart>
      <c:dateAx>
        <c:axId val="804800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800528"/>
        <c:crosses val="autoZero"/>
        <c:auto val="1"/>
        <c:lblOffset val="100"/>
        <c:baseTimeUnit val="days"/>
      </c:dateAx>
      <c:valAx>
        <c:axId val="804800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800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BNP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3.558376</c:v>
          </c:tx>
          <c:marker>
            <c:symbol val="none"/>
          </c:marker>
          <c:trendline>
            <c:name>0 Date: 8/4/2018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history'!$V$2:$V$82</c:f>
              <c:numCache>
                <c:formatCode>General</c:formatCode>
                <c:ptCount val="81"/>
                <c:pt idx="0">
                  <c:v>8</c:v>
                </c:pt>
                <c:pt idx="1">
                  <c:v>94</c:v>
                </c:pt>
                <c:pt idx="2">
                  <c:v>55</c:v>
                </c:pt>
                <c:pt idx="3">
                  <c:v>47</c:v>
                </c:pt>
                <c:pt idx="4">
                  <c:v>26</c:v>
                </c:pt>
                <c:pt idx="5">
                  <c:v>17</c:v>
                </c:pt>
                <c:pt idx="6">
                  <c:v>94</c:v>
                </c:pt>
                <c:pt idx="7">
                  <c:v>87</c:v>
                </c:pt>
                <c:pt idx="8">
                  <c:v>75</c:v>
                </c:pt>
                <c:pt idx="9">
                  <c:v>65</c:v>
                </c:pt>
                <c:pt idx="10">
                  <c:v>50</c:v>
                </c:pt>
                <c:pt idx="11">
                  <c:v>30</c:v>
                </c:pt>
                <c:pt idx="12">
                  <c:v>27</c:v>
                </c:pt>
                <c:pt idx="13">
                  <c:v>16</c:v>
                </c:pt>
                <c:pt idx="14">
                  <c:v>7</c:v>
                </c:pt>
                <c:pt idx="15">
                  <c:v>4</c:v>
                </c:pt>
                <c:pt idx="16">
                  <c:v>88</c:v>
                </c:pt>
                <c:pt idx="17">
                  <c:v>78</c:v>
                </c:pt>
                <c:pt idx="18">
                  <c:v>66</c:v>
                </c:pt>
                <c:pt idx="19">
                  <c:v>59</c:v>
                </c:pt>
                <c:pt idx="20">
                  <c:v>53</c:v>
                </c:pt>
                <c:pt idx="21">
                  <c:v>44</c:v>
                </c:pt>
                <c:pt idx="22">
                  <c:v>37</c:v>
                </c:pt>
                <c:pt idx="23">
                  <c:v>31</c:v>
                </c:pt>
                <c:pt idx="24">
                  <c:v>22</c:v>
                </c:pt>
                <c:pt idx="25">
                  <c:v>16</c:v>
                </c:pt>
                <c:pt idx="26">
                  <c:v>10</c:v>
                </c:pt>
                <c:pt idx="27">
                  <c:v>91</c:v>
                </c:pt>
                <c:pt idx="28">
                  <c:v>84</c:v>
                </c:pt>
                <c:pt idx="29">
                  <c:v>77</c:v>
                </c:pt>
                <c:pt idx="30">
                  <c:v>59</c:v>
                </c:pt>
                <c:pt idx="31">
                  <c:v>33</c:v>
                </c:pt>
                <c:pt idx="32">
                  <c:v>25</c:v>
                </c:pt>
                <c:pt idx="33">
                  <c:v>12</c:v>
                </c:pt>
                <c:pt idx="34">
                  <c:v>97</c:v>
                </c:pt>
                <c:pt idx="35">
                  <c:v>91</c:v>
                </c:pt>
                <c:pt idx="36">
                  <c:v>54</c:v>
                </c:pt>
                <c:pt idx="37">
                  <c:v>48</c:v>
                </c:pt>
                <c:pt idx="38">
                  <c:v>45</c:v>
                </c:pt>
                <c:pt idx="39">
                  <c:v>33</c:v>
                </c:pt>
                <c:pt idx="40">
                  <c:v>27</c:v>
                </c:pt>
                <c:pt idx="41">
                  <c:v>23</c:v>
                </c:pt>
                <c:pt idx="42">
                  <c:v>80</c:v>
                </c:pt>
                <c:pt idx="43">
                  <c:v>74</c:v>
                </c:pt>
                <c:pt idx="44">
                  <c:v>67</c:v>
                </c:pt>
                <c:pt idx="45">
                  <c:v>54</c:v>
                </c:pt>
                <c:pt idx="46">
                  <c:v>48</c:v>
                </c:pt>
                <c:pt idx="47">
                  <c:v>45</c:v>
                </c:pt>
                <c:pt idx="48">
                  <c:v>21</c:v>
                </c:pt>
                <c:pt idx="49">
                  <c:v>14</c:v>
                </c:pt>
                <c:pt idx="50">
                  <c:v>8</c:v>
                </c:pt>
                <c:pt idx="51">
                  <c:v>97</c:v>
                </c:pt>
                <c:pt idx="52">
                  <c:v>89</c:v>
                </c:pt>
                <c:pt idx="53">
                  <c:v>85</c:v>
                </c:pt>
                <c:pt idx="54">
                  <c:v>73</c:v>
                </c:pt>
                <c:pt idx="55">
                  <c:v>66</c:v>
                </c:pt>
                <c:pt idx="56">
                  <c:v>59</c:v>
                </c:pt>
                <c:pt idx="57">
                  <c:v>46</c:v>
                </c:pt>
                <c:pt idx="58">
                  <c:v>43</c:v>
                </c:pt>
                <c:pt idx="59">
                  <c:v>40</c:v>
                </c:pt>
                <c:pt idx="60">
                  <c:v>27</c:v>
                </c:pt>
                <c:pt idx="61">
                  <c:v>20</c:v>
                </c:pt>
                <c:pt idx="62">
                  <c:v>81</c:v>
                </c:pt>
                <c:pt idx="63">
                  <c:v>69</c:v>
                </c:pt>
                <c:pt idx="64">
                  <c:v>63</c:v>
                </c:pt>
                <c:pt idx="65">
                  <c:v>59</c:v>
                </c:pt>
                <c:pt idx="66">
                  <c:v>9</c:v>
                </c:pt>
                <c:pt idx="67">
                  <c:v>3</c:v>
                </c:pt>
                <c:pt idx="68">
                  <c:v>65</c:v>
                </c:pt>
                <c:pt idx="69">
                  <c:v>55</c:v>
                </c:pt>
                <c:pt idx="70">
                  <c:v>49</c:v>
                </c:pt>
                <c:pt idx="71">
                  <c:v>46</c:v>
                </c:pt>
                <c:pt idx="72">
                  <c:v>43</c:v>
                </c:pt>
                <c:pt idx="73">
                  <c:v>32</c:v>
                </c:pt>
                <c:pt idx="74">
                  <c:v>23</c:v>
                </c:pt>
                <c:pt idx="75">
                  <c:v>11</c:v>
                </c:pt>
                <c:pt idx="76">
                  <c:v>5</c:v>
                </c:pt>
                <c:pt idx="77">
                  <c:v>2</c:v>
                </c:pt>
                <c:pt idx="78">
                  <c:v>43</c:v>
                </c:pt>
                <c:pt idx="79">
                  <c:v>36</c:v>
                </c:pt>
                <c:pt idx="8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3E-47EB-B8DB-9E2B13B8F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82488"/>
        <c:axId val="804795936"/>
      </c:lineChart>
      <c:dateAx>
        <c:axId val="804782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95936"/>
        <c:crosses val="autoZero"/>
        <c:auto val="1"/>
        <c:lblOffset val="100"/>
        <c:baseTimeUnit val="days"/>
      </c:dateAx>
      <c:valAx>
        <c:axId val="804795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82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4.030303</c:v>
          </c:tx>
          <c:marker>
            <c:symbol val="none"/>
          </c:marker>
          <c:trendline>
            <c:name>0 Date: 8/5/2018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history'!$X$2:$X$82</c:f>
              <c:numCache>
                <c:formatCode>General</c:formatCode>
                <c:ptCount val="81"/>
                <c:pt idx="0">
                  <c:v>44</c:v>
                </c:pt>
                <c:pt idx="1">
                  <c:v>39</c:v>
                </c:pt>
                <c:pt idx="2">
                  <c:v>17</c:v>
                </c:pt>
                <c:pt idx="3">
                  <c:v>7</c:v>
                </c:pt>
                <c:pt idx="4">
                  <c:v>80</c:v>
                </c:pt>
                <c:pt idx="5">
                  <c:v>65</c:v>
                </c:pt>
                <c:pt idx="6">
                  <c:v>50</c:v>
                </c:pt>
                <c:pt idx="7">
                  <c:v>40</c:v>
                </c:pt>
                <c:pt idx="8">
                  <c:v>25</c:v>
                </c:pt>
                <c:pt idx="9">
                  <c:v>10</c:v>
                </c:pt>
                <c:pt idx="10">
                  <c:v>90</c:v>
                </c:pt>
                <c:pt idx="11">
                  <c:v>75</c:v>
                </c:pt>
                <c:pt idx="12">
                  <c:v>70</c:v>
                </c:pt>
                <c:pt idx="13">
                  <c:v>55</c:v>
                </c:pt>
                <c:pt idx="14">
                  <c:v>45</c:v>
                </c:pt>
                <c:pt idx="15">
                  <c:v>40</c:v>
                </c:pt>
                <c:pt idx="16">
                  <c:v>20</c:v>
                </c:pt>
                <c:pt idx="17">
                  <c:v>5</c:v>
                </c:pt>
                <c:pt idx="18">
                  <c:v>69</c:v>
                </c:pt>
                <c:pt idx="19">
                  <c:v>59</c:v>
                </c:pt>
                <c:pt idx="20">
                  <c:v>49</c:v>
                </c:pt>
                <c:pt idx="21">
                  <c:v>34</c:v>
                </c:pt>
                <c:pt idx="22">
                  <c:v>24</c:v>
                </c:pt>
                <c:pt idx="23">
                  <c:v>14</c:v>
                </c:pt>
                <c:pt idx="24">
                  <c:v>95</c:v>
                </c:pt>
                <c:pt idx="25">
                  <c:v>85</c:v>
                </c:pt>
                <c:pt idx="26">
                  <c:v>75</c:v>
                </c:pt>
                <c:pt idx="27">
                  <c:v>60</c:v>
                </c:pt>
                <c:pt idx="28">
                  <c:v>50</c:v>
                </c:pt>
                <c:pt idx="29">
                  <c:v>40</c:v>
                </c:pt>
                <c:pt idx="30">
                  <c:v>25</c:v>
                </c:pt>
                <c:pt idx="31">
                  <c:v>14</c:v>
                </c:pt>
                <c:pt idx="32">
                  <c:v>9</c:v>
                </c:pt>
                <c:pt idx="33">
                  <c:v>83</c:v>
                </c:pt>
                <c:pt idx="34">
                  <c:v>72</c:v>
                </c:pt>
                <c:pt idx="35">
                  <c:v>62</c:v>
                </c:pt>
                <c:pt idx="36">
                  <c:v>47</c:v>
                </c:pt>
                <c:pt idx="37">
                  <c:v>37</c:v>
                </c:pt>
                <c:pt idx="38">
                  <c:v>32</c:v>
                </c:pt>
                <c:pt idx="39">
                  <c:v>11</c:v>
                </c:pt>
                <c:pt idx="40">
                  <c:v>95</c:v>
                </c:pt>
                <c:pt idx="41">
                  <c:v>90</c:v>
                </c:pt>
                <c:pt idx="42">
                  <c:v>70</c:v>
                </c:pt>
                <c:pt idx="43">
                  <c:v>60</c:v>
                </c:pt>
                <c:pt idx="44">
                  <c:v>50</c:v>
                </c:pt>
                <c:pt idx="45">
                  <c:v>35</c:v>
                </c:pt>
                <c:pt idx="46">
                  <c:v>24</c:v>
                </c:pt>
                <c:pt idx="47">
                  <c:v>19</c:v>
                </c:pt>
                <c:pt idx="48">
                  <c:v>82</c:v>
                </c:pt>
                <c:pt idx="49">
                  <c:v>72</c:v>
                </c:pt>
                <c:pt idx="50">
                  <c:v>62</c:v>
                </c:pt>
                <c:pt idx="51">
                  <c:v>47</c:v>
                </c:pt>
                <c:pt idx="52">
                  <c:v>37</c:v>
                </c:pt>
                <c:pt idx="53">
                  <c:v>32</c:v>
                </c:pt>
                <c:pt idx="54">
                  <c:v>12</c:v>
                </c:pt>
                <c:pt idx="55">
                  <c:v>90</c:v>
                </c:pt>
                <c:pt idx="56">
                  <c:v>80</c:v>
                </c:pt>
                <c:pt idx="57">
                  <c:v>59</c:v>
                </c:pt>
                <c:pt idx="58">
                  <c:v>54</c:v>
                </c:pt>
                <c:pt idx="59">
                  <c:v>49</c:v>
                </c:pt>
                <c:pt idx="60">
                  <c:v>26</c:v>
                </c:pt>
                <c:pt idx="61">
                  <c:v>16</c:v>
                </c:pt>
                <c:pt idx="62">
                  <c:v>11</c:v>
                </c:pt>
                <c:pt idx="63">
                  <c:v>82</c:v>
                </c:pt>
                <c:pt idx="64">
                  <c:v>74</c:v>
                </c:pt>
                <c:pt idx="65">
                  <c:v>70</c:v>
                </c:pt>
                <c:pt idx="66">
                  <c:v>50</c:v>
                </c:pt>
                <c:pt idx="67">
                  <c:v>39</c:v>
                </c:pt>
                <c:pt idx="68">
                  <c:v>29</c:v>
                </c:pt>
                <c:pt idx="69">
                  <c:v>14</c:v>
                </c:pt>
                <c:pt idx="70">
                  <c:v>4</c:v>
                </c:pt>
                <c:pt idx="71">
                  <c:v>95</c:v>
                </c:pt>
                <c:pt idx="72">
                  <c:v>90</c:v>
                </c:pt>
                <c:pt idx="73">
                  <c:v>75</c:v>
                </c:pt>
                <c:pt idx="74">
                  <c:v>60</c:v>
                </c:pt>
                <c:pt idx="75">
                  <c:v>40</c:v>
                </c:pt>
                <c:pt idx="76">
                  <c:v>30</c:v>
                </c:pt>
                <c:pt idx="77">
                  <c:v>25</c:v>
                </c:pt>
                <c:pt idx="78">
                  <c:v>55</c:v>
                </c:pt>
                <c:pt idx="79">
                  <c:v>45</c:v>
                </c:pt>
                <c:pt idx="80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F2-4C8D-B10E-4FF92C62E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95936"/>
        <c:axId val="804796264"/>
      </c:lineChart>
      <c:dateAx>
        <c:axId val="804795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96264"/>
        <c:crosses val="autoZero"/>
        <c:auto val="1"/>
        <c:lblOffset val="100"/>
        <c:baseTimeUnit val="days"/>
      </c:dateAx>
      <c:valAx>
        <c:axId val="804796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959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TSH (100)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3.292929</c:v>
          </c:tx>
          <c:marker>
            <c:symbol val="none"/>
          </c:marker>
          <c:trendline>
            <c:name>0 Date: 8/6/2018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history'!$Y$2:$Y$82</c:f>
              <c:numCache>
                <c:formatCode>General</c:formatCode>
                <c:ptCount val="81"/>
                <c:pt idx="0">
                  <c:v>80</c:v>
                </c:pt>
                <c:pt idx="1">
                  <c:v>75</c:v>
                </c:pt>
                <c:pt idx="2">
                  <c:v>63</c:v>
                </c:pt>
                <c:pt idx="3">
                  <c:v>57</c:v>
                </c:pt>
                <c:pt idx="4">
                  <c:v>51</c:v>
                </c:pt>
                <c:pt idx="5">
                  <c:v>42</c:v>
                </c:pt>
                <c:pt idx="6">
                  <c:v>35</c:v>
                </c:pt>
                <c:pt idx="7">
                  <c:v>14</c:v>
                </c:pt>
                <c:pt idx="8">
                  <c:v>94</c:v>
                </c:pt>
                <c:pt idx="9">
                  <c:v>84</c:v>
                </c:pt>
                <c:pt idx="10">
                  <c:v>57</c:v>
                </c:pt>
                <c:pt idx="11">
                  <c:v>14</c:v>
                </c:pt>
                <c:pt idx="12">
                  <c:v>87</c:v>
                </c:pt>
                <c:pt idx="13">
                  <c:v>62</c:v>
                </c:pt>
                <c:pt idx="14">
                  <c:v>50</c:v>
                </c:pt>
                <c:pt idx="15">
                  <c:v>47</c:v>
                </c:pt>
                <c:pt idx="16">
                  <c:v>31</c:v>
                </c:pt>
                <c:pt idx="17">
                  <c:v>22</c:v>
                </c:pt>
                <c:pt idx="18">
                  <c:v>93</c:v>
                </c:pt>
                <c:pt idx="19">
                  <c:v>84</c:v>
                </c:pt>
                <c:pt idx="20">
                  <c:v>78</c:v>
                </c:pt>
                <c:pt idx="21">
                  <c:v>69</c:v>
                </c:pt>
                <c:pt idx="22">
                  <c:v>60</c:v>
                </c:pt>
                <c:pt idx="23">
                  <c:v>54</c:v>
                </c:pt>
                <c:pt idx="24">
                  <c:v>45</c:v>
                </c:pt>
                <c:pt idx="25">
                  <c:v>39</c:v>
                </c:pt>
                <c:pt idx="26">
                  <c:v>33</c:v>
                </c:pt>
                <c:pt idx="27">
                  <c:v>20</c:v>
                </c:pt>
                <c:pt idx="28">
                  <c:v>79</c:v>
                </c:pt>
                <c:pt idx="29">
                  <c:v>72</c:v>
                </c:pt>
                <c:pt idx="30">
                  <c:v>63</c:v>
                </c:pt>
                <c:pt idx="31">
                  <c:v>57</c:v>
                </c:pt>
                <c:pt idx="32">
                  <c:v>54</c:v>
                </c:pt>
                <c:pt idx="33">
                  <c:v>42</c:v>
                </c:pt>
                <c:pt idx="34">
                  <c:v>35</c:v>
                </c:pt>
                <c:pt idx="35">
                  <c:v>29</c:v>
                </c:pt>
                <c:pt idx="36">
                  <c:v>93</c:v>
                </c:pt>
                <c:pt idx="37">
                  <c:v>87</c:v>
                </c:pt>
                <c:pt idx="38">
                  <c:v>84</c:v>
                </c:pt>
                <c:pt idx="39">
                  <c:v>71</c:v>
                </c:pt>
                <c:pt idx="40">
                  <c:v>65</c:v>
                </c:pt>
                <c:pt idx="41">
                  <c:v>62</c:v>
                </c:pt>
                <c:pt idx="42">
                  <c:v>49</c:v>
                </c:pt>
                <c:pt idx="43">
                  <c:v>43</c:v>
                </c:pt>
                <c:pt idx="44">
                  <c:v>37</c:v>
                </c:pt>
                <c:pt idx="45">
                  <c:v>90</c:v>
                </c:pt>
                <c:pt idx="46">
                  <c:v>84</c:v>
                </c:pt>
                <c:pt idx="47">
                  <c:v>80</c:v>
                </c:pt>
                <c:pt idx="48">
                  <c:v>63</c:v>
                </c:pt>
                <c:pt idx="49">
                  <c:v>57</c:v>
                </c:pt>
                <c:pt idx="50">
                  <c:v>51</c:v>
                </c:pt>
                <c:pt idx="51">
                  <c:v>42</c:v>
                </c:pt>
                <c:pt idx="52">
                  <c:v>36</c:v>
                </c:pt>
                <c:pt idx="53">
                  <c:v>30</c:v>
                </c:pt>
                <c:pt idx="54">
                  <c:v>16</c:v>
                </c:pt>
                <c:pt idx="55">
                  <c:v>80</c:v>
                </c:pt>
                <c:pt idx="56">
                  <c:v>74</c:v>
                </c:pt>
                <c:pt idx="57">
                  <c:v>61</c:v>
                </c:pt>
                <c:pt idx="58">
                  <c:v>58</c:v>
                </c:pt>
                <c:pt idx="59">
                  <c:v>55</c:v>
                </c:pt>
                <c:pt idx="60">
                  <c:v>43</c:v>
                </c:pt>
                <c:pt idx="61">
                  <c:v>36</c:v>
                </c:pt>
                <c:pt idx="62">
                  <c:v>33</c:v>
                </c:pt>
                <c:pt idx="63">
                  <c:v>18</c:v>
                </c:pt>
                <c:pt idx="64">
                  <c:v>12</c:v>
                </c:pt>
                <c:pt idx="65">
                  <c:v>8</c:v>
                </c:pt>
                <c:pt idx="66">
                  <c:v>63</c:v>
                </c:pt>
                <c:pt idx="67">
                  <c:v>51</c:v>
                </c:pt>
                <c:pt idx="68">
                  <c:v>43</c:v>
                </c:pt>
                <c:pt idx="69">
                  <c:v>34</c:v>
                </c:pt>
                <c:pt idx="70">
                  <c:v>28</c:v>
                </c:pt>
                <c:pt idx="71">
                  <c:v>25</c:v>
                </c:pt>
                <c:pt idx="72">
                  <c:v>22</c:v>
                </c:pt>
                <c:pt idx="73">
                  <c:v>13</c:v>
                </c:pt>
                <c:pt idx="74">
                  <c:v>3</c:v>
                </c:pt>
                <c:pt idx="75">
                  <c:v>88</c:v>
                </c:pt>
                <c:pt idx="76">
                  <c:v>82</c:v>
                </c:pt>
                <c:pt idx="77">
                  <c:v>79</c:v>
                </c:pt>
                <c:pt idx="78">
                  <c:v>45</c:v>
                </c:pt>
                <c:pt idx="79">
                  <c:v>38</c:v>
                </c:pt>
                <c:pt idx="8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5-4C8C-BD2D-CF296D2D4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86096"/>
        <c:axId val="804789704"/>
      </c:lineChart>
      <c:dateAx>
        <c:axId val="804786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89704"/>
        <c:crosses val="autoZero"/>
        <c:auto val="1"/>
        <c:lblOffset val="100"/>
        <c:baseTimeUnit val="days"/>
      </c:dateAx>
      <c:valAx>
        <c:axId val="804789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860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TnI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3.13198</c:v>
          </c:tx>
          <c:marker>
            <c:symbol val="none"/>
          </c:marker>
          <c:trendline>
            <c:name>0 Date: 8/15/2018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history'!$Z$2:$Z$82</c:f>
              <c:numCache>
                <c:formatCode>General</c:formatCode>
                <c:ptCount val="81"/>
                <c:pt idx="0">
                  <c:v>13</c:v>
                </c:pt>
                <c:pt idx="1">
                  <c:v>98</c:v>
                </c:pt>
                <c:pt idx="2">
                  <c:v>59</c:v>
                </c:pt>
                <c:pt idx="3">
                  <c:v>53</c:v>
                </c:pt>
                <c:pt idx="4">
                  <c:v>36</c:v>
                </c:pt>
                <c:pt idx="5">
                  <c:v>26</c:v>
                </c:pt>
                <c:pt idx="6">
                  <c:v>10</c:v>
                </c:pt>
                <c:pt idx="7">
                  <c:v>4</c:v>
                </c:pt>
                <c:pt idx="8">
                  <c:v>65</c:v>
                </c:pt>
                <c:pt idx="9">
                  <c:v>56</c:v>
                </c:pt>
                <c:pt idx="10">
                  <c:v>44</c:v>
                </c:pt>
                <c:pt idx="11">
                  <c:v>32</c:v>
                </c:pt>
                <c:pt idx="12">
                  <c:v>29</c:v>
                </c:pt>
                <c:pt idx="13">
                  <c:v>19</c:v>
                </c:pt>
                <c:pt idx="14">
                  <c:v>93</c:v>
                </c:pt>
                <c:pt idx="15">
                  <c:v>89</c:v>
                </c:pt>
                <c:pt idx="16">
                  <c:v>76</c:v>
                </c:pt>
                <c:pt idx="17">
                  <c:v>65</c:v>
                </c:pt>
                <c:pt idx="18">
                  <c:v>36</c:v>
                </c:pt>
                <c:pt idx="19">
                  <c:v>30</c:v>
                </c:pt>
                <c:pt idx="20">
                  <c:v>24</c:v>
                </c:pt>
                <c:pt idx="21">
                  <c:v>13</c:v>
                </c:pt>
                <c:pt idx="22">
                  <c:v>5</c:v>
                </c:pt>
                <c:pt idx="23">
                  <c:v>76</c:v>
                </c:pt>
                <c:pt idx="24">
                  <c:v>67</c:v>
                </c:pt>
                <c:pt idx="25">
                  <c:v>61</c:v>
                </c:pt>
                <c:pt idx="26">
                  <c:v>55</c:v>
                </c:pt>
                <c:pt idx="27">
                  <c:v>45</c:v>
                </c:pt>
                <c:pt idx="28">
                  <c:v>39</c:v>
                </c:pt>
                <c:pt idx="29">
                  <c:v>28</c:v>
                </c:pt>
                <c:pt idx="30">
                  <c:v>79</c:v>
                </c:pt>
                <c:pt idx="31">
                  <c:v>73</c:v>
                </c:pt>
                <c:pt idx="32">
                  <c:v>70</c:v>
                </c:pt>
                <c:pt idx="33">
                  <c:v>58</c:v>
                </c:pt>
                <c:pt idx="34">
                  <c:v>51</c:v>
                </c:pt>
                <c:pt idx="35">
                  <c:v>45</c:v>
                </c:pt>
                <c:pt idx="36">
                  <c:v>36</c:v>
                </c:pt>
                <c:pt idx="37">
                  <c:v>30</c:v>
                </c:pt>
                <c:pt idx="38">
                  <c:v>27</c:v>
                </c:pt>
                <c:pt idx="39">
                  <c:v>12</c:v>
                </c:pt>
                <c:pt idx="40">
                  <c:v>6</c:v>
                </c:pt>
                <c:pt idx="41">
                  <c:v>3</c:v>
                </c:pt>
                <c:pt idx="42">
                  <c:v>60</c:v>
                </c:pt>
                <c:pt idx="43">
                  <c:v>54</c:v>
                </c:pt>
                <c:pt idx="44">
                  <c:v>48</c:v>
                </c:pt>
                <c:pt idx="45">
                  <c:v>39</c:v>
                </c:pt>
                <c:pt idx="46">
                  <c:v>33</c:v>
                </c:pt>
                <c:pt idx="47">
                  <c:v>30</c:v>
                </c:pt>
                <c:pt idx="48">
                  <c:v>14</c:v>
                </c:pt>
                <c:pt idx="49">
                  <c:v>1</c:v>
                </c:pt>
                <c:pt idx="50">
                  <c:v>91</c:v>
                </c:pt>
                <c:pt idx="51">
                  <c:v>82</c:v>
                </c:pt>
                <c:pt idx="52">
                  <c:v>73</c:v>
                </c:pt>
                <c:pt idx="53">
                  <c:v>69</c:v>
                </c:pt>
                <c:pt idx="54">
                  <c:v>55</c:v>
                </c:pt>
                <c:pt idx="55">
                  <c:v>48</c:v>
                </c:pt>
                <c:pt idx="56">
                  <c:v>42</c:v>
                </c:pt>
                <c:pt idx="57">
                  <c:v>29</c:v>
                </c:pt>
                <c:pt idx="58">
                  <c:v>26</c:v>
                </c:pt>
                <c:pt idx="59">
                  <c:v>23</c:v>
                </c:pt>
                <c:pt idx="60">
                  <c:v>9</c:v>
                </c:pt>
                <c:pt idx="61">
                  <c:v>67</c:v>
                </c:pt>
                <c:pt idx="62">
                  <c:v>64</c:v>
                </c:pt>
                <c:pt idx="63">
                  <c:v>47</c:v>
                </c:pt>
                <c:pt idx="64">
                  <c:v>41</c:v>
                </c:pt>
                <c:pt idx="65">
                  <c:v>38</c:v>
                </c:pt>
                <c:pt idx="66">
                  <c:v>23</c:v>
                </c:pt>
                <c:pt idx="67">
                  <c:v>16</c:v>
                </c:pt>
                <c:pt idx="68">
                  <c:v>10</c:v>
                </c:pt>
                <c:pt idx="69">
                  <c:v>96</c:v>
                </c:pt>
                <c:pt idx="70">
                  <c:v>90</c:v>
                </c:pt>
                <c:pt idx="71">
                  <c:v>87</c:v>
                </c:pt>
                <c:pt idx="72">
                  <c:v>83</c:v>
                </c:pt>
                <c:pt idx="73">
                  <c:v>72</c:v>
                </c:pt>
                <c:pt idx="74">
                  <c:v>63</c:v>
                </c:pt>
                <c:pt idx="75">
                  <c:v>51</c:v>
                </c:pt>
                <c:pt idx="76">
                  <c:v>45</c:v>
                </c:pt>
                <c:pt idx="77">
                  <c:v>42</c:v>
                </c:pt>
                <c:pt idx="78">
                  <c:v>73</c:v>
                </c:pt>
                <c:pt idx="79">
                  <c:v>66</c:v>
                </c:pt>
                <c:pt idx="8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31-4326-9E83-FDD334F4A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971136"/>
        <c:axId val="467957032"/>
      </c:lineChart>
      <c:dateAx>
        <c:axId val="467971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67957032"/>
        <c:crosses val="autoZero"/>
        <c:auto val="1"/>
        <c:lblOffset val="100"/>
        <c:baseTimeUnit val="days"/>
      </c:dateAx>
      <c:valAx>
        <c:axId val="467957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79711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iVanc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3.116162</c:v>
          </c:tx>
          <c:marker>
            <c:symbol val="none"/>
          </c:marker>
          <c:trendline>
            <c:name>0 Date: 7/31/2018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history'!$AA$2:$AA$82</c:f>
              <c:numCache>
                <c:formatCode>General</c:formatCode>
                <c:ptCount val="81"/>
                <c:pt idx="0">
                  <c:v>65</c:v>
                </c:pt>
                <c:pt idx="1">
                  <c:v>62</c:v>
                </c:pt>
                <c:pt idx="2">
                  <c:v>49</c:v>
                </c:pt>
                <c:pt idx="3">
                  <c:v>42</c:v>
                </c:pt>
                <c:pt idx="4">
                  <c:v>36</c:v>
                </c:pt>
                <c:pt idx="5">
                  <c:v>27</c:v>
                </c:pt>
                <c:pt idx="6">
                  <c:v>21</c:v>
                </c:pt>
                <c:pt idx="7">
                  <c:v>13</c:v>
                </c:pt>
                <c:pt idx="8">
                  <c:v>71</c:v>
                </c:pt>
                <c:pt idx="9">
                  <c:v>61</c:v>
                </c:pt>
                <c:pt idx="10">
                  <c:v>34</c:v>
                </c:pt>
                <c:pt idx="11">
                  <c:v>87</c:v>
                </c:pt>
                <c:pt idx="12">
                  <c:v>83</c:v>
                </c:pt>
                <c:pt idx="13">
                  <c:v>57</c:v>
                </c:pt>
                <c:pt idx="14">
                  <c:v>48</c:v>
                </c:pt>
                <c:pt idx="15">
                  <c:v>45</c:v>
                </c:pt>
                <c:pt idx="16">
                  <c:v>30</c:v>
                </c:pt>
                <c:pt idx="17">
                  <c:v>21</c:v>
                </c:pt>
                <c:pt idx="18">
                  <c:v>6</c:v>
                </c:pt>
                <c:pt idx="19">
                  <c:v>75</c:v>
                </c:pt>
                <c:pt idx="20">
                  <c:v>69</c:v>
                </c:pt>
                <c:pt idx="21">
                  <c:v>59</c:v>
                </c:pt>
                <c:pt idx="22">
                  <c:v>51</c:v>
                </c:pt>
                <c:pt idx="23">
                  <c:v>42</c:v>
                </c:pt>
                <c:pt idx="24">
                  <c:v>33</c:v>
                </c:pt>
                <c:pt idx="25">
                  <c:v>27</c:v>
                </c:pt>
                <c:pt idx="26">
                  <c:v>21</c:v>
                </c:pt>
                <c:pt idx="27">
                  <c:v>12</c:v>
                </c:pt>
                <c:pt idx="28">
                  <c:v>97</c:v>
                </c:pt>
                <c:pt idx="29">
                  <c:v>91</c:v>
                </c:pt>
                <c:pt idx="30">
                  <c:v>82</c:v>
                </c:pt>
                <c:pt idx="31">
                  <c:v>76</c:v>
                </c:pt>
                <c:pt idx="32">
                  <c:v>72</c:v>
                </c:pt>
                <c:pt idx="33">
                  <c:v>60</c:v>
                </c:pt>
                <c:pt idx="34">
                  <c:v>54</c:v>
                </c:pt>
                <c:pt idx="35">
                  <c:v>48</c:v>
                </c:pt>
                <c:pt idx="36">
                  <c:v>39</c:v>
                </c:pt>
                <c:pt idx="37">
                  <c:v>33</c:v>
                </c:pt>
                <c:pt idx="38">
                  <c:v>30</c:v>
                </c:pt>
                <c:pt idx="39">
                  <c:v>17</c:v>
                </c:pt>
                <c:pt idx="40">
                  <c:v>11</c:v>
                </c:pt>
                <c:pt idx="41">
                  <c:v>8</c:v>
                </c:pt>
                <c:pt idx="42">
                  <c:v>85</c:v>
                </c:pt>
                <c:pt idx="43">
                  <c:v>78</c:v>
                </c:pt>
                <c:pt idx="44">
                  <c:v>72</c:v>
                </c:pt>
                <c:pt idx="45">
                  <c:v>63</c:v>
                </c:pt>
                <c:pt idx="46">
                  <c:v>57</c:v>
                </c:pt>
                <c:pt idx="47">
                  <c:v>54</c:v>
                </c:pt>
                <c:pt idx="48">
                  <c:v>42</c:v>
                </c:pt>
                <c:pt idx="49">
                  <c:v>36</c:v>
                </c:pt>
                <c:pt idx="50">
                  <c:v>29</c:v>
                </c:pt>
                <c:pt idx="51">
                  <c:v>20</c:v>
                </c:pt>
                <c:pt idx="52">
                  <c:v>13</c:v>
                </c:pt>
                <c:pt idx="53">
                  <c:v>10</c:v>
                </c:pt>
                <c:pt idx="54">
                  <c:v>91</c:v>
                </c:pt>
                <c:pt idx="55">
                  <c:v>85</c:v>
                </c:pt>
                <c:pt idx="56">
                  <c:v>79</c:v>
                </c:pt>
                <c:pt idx="57">
                  <c:v>66</c:v>
                </c:pt>
                <c:pt idx="58">
                  <c:v>63</c:v>
                </c:pt>
                <c:pt idx="59">
                  <c:v>60</c:v>
                </c:pt>
                <c:pt idx="60">
                  <c:v>48</c:v>
                </c:pt>
                <c:pt idx="61">
                  <c:v>42</c:v>
                </c:pt>
                <c:pt idx="62">
                  <c:v>39</c:v>
                </c:pt>
                <c:pt idx="63">
                  <c:v>23</c:v>
                </c:pt>
                <c:pt idx="64">
                  <c:v>17</c:v>
                </c:pt>
                <c:pt idx="65">
                  <c:v>13</c:v>
                </c:pt>
                <c:pt idx="66">
                  <c:v>78</c:v>
                </c:pt>
                <c:pt idx="67">
                  <c:v>65</c:v>
                </c:pt>
                <c:pt idx="68">
                  <c:v>39</c:v>
                </c:pt>
                <c:pt idx="69">
                  <c:v>28</c:v>
                </c:pt>
                <c:pt idx="70">
                  <c:v>22</c:v>
                </c:pt>
                <c:pt idx="71">
                  <c:v>19</c:v>
                </c:pt>
                <c:pt idx="72">
                  <c:v>16</c:v>
                </c:pt>
                <c:pt idx="73">
                  <c:v>6</c:v>
                </c:pt>
                <c:pt idx="74">
                  <c:v>82</c:v>
                </c:pt>
                <c:pt idx="75">
                  <c:v>70</c:v>
                </c:pt>
                <c:pt idx="76">
                  <c:v>64</c:v>
                </c:pt>
                <c:pt idx="77">
                  <c:v>60</c:v>
                </c:pt>
                <c:pt idx="78">
                  <c:v>25</c:v>
                </c:pt>
                <c:pt idx="79">
                  <c:v>18</c:v>
                </c:pt>
                <c:pt idx="8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DD-48CE-A433-04B05163A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957360"/>
        <c:axId val="467964904"/>
      </c:lineChart>
      <c:dateAx>
        <c:axId val="467957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67964904"/>
        <c:crosses val="autoZero"/>
        <c:auto val="1"/>
        <c:lblOffset val="100"/>
        <c:baseTimeUnit val="days"/>
      </c:dateAx>
      <c:valAx>
        <c:axId val="467964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79573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TrigSoln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50.18182</c:v>
          </c:tx>
          <c:marker>
            <c:symbol val="none"/>
          </c:marker>
          <c:trendline>
            <c:name>0 Date: 8/2/2018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history'!$AB$2:$AB$82</c:f>
              <c:numCache>
                <c:formatCode>General</c:formatCode>
                <c:ptCount val="81"/>
                <c:pt idx="0">
                  <c:v>245</c:v>
                </c:pt>
                <c:pt idx="1">
                  <c:v>124</c:v>
                </c:pt>
                <c:pt idx="2">
                  <c:v>684</c:v>
                </c:pt>
                <c:pt idx="3">
                  <c:v>532</c:v>
                </c:pt>
                <c:pt idx="4">
                  <c:v>385</c:v>
                </c:pt>
                <c:pt idx="5">
                  <c:v>188</c:v>
                </c:pt>
                <c:pt idx="6">
                  <c:v>912</c:v>
                </c:pt>
                <c:pt idx="7">
                  <c:v>770</c:v>
                </c:pt>
                <c:pt idx="8">
                  <c:v>534</c:v>
                </c:pt>
                <c:pt idx="9">
                  <c:v>331</c:v>
                </c:pt>
                <c:pt idx="10">
                  <c:v>891</c:v>
                </c:pt>
                <c:pt idx="11">
                  <c:v>636</c:v>
                </c:pt>
                <c:pt idx="12">
                  <c:v>566</c:v>
                </c:pt>
                <c:pt idx="13">
                  <c:v>344</c:v>
                </c:pt>
                <c:pt idx="14">
                  <c:v>150</c:v>
                </c:pt>
                <c:pt idx="15">
                  <c:v>924</c:v>
                </c:pt>
                <c:pt idx="16">
                  <c:v>632</c:v>
                </c:pt>
                <c:pt idx="17">
                  <c:v>399</c:v>
                </c:pt>
                <c:pt idx="18">
                  <c:v>906</c:v>
                </c:pt>
                <c:pt idx="19">
                  <c:v>768</c:v>
                </c:pt>
                <c:pt idx="20">
                  <c:v>637</c:v>
                </c:pt>
                <c:pt idx="21">
                  <c:v>430</c:v>
                </c:pt>
                <c:pt idx="22">
                  <c:v>288</c:v>
                </c:pt>
                <c:pt idx="23">
                  <c:v>157</c:v>
                </c:pt>
                <c:pt idx="24">
                  <c:v>841</c:v>
                </c:pt>
                <c:pt idx="25">
                  <c:v>710</c:v>
                </c:pt>
                <c:pt idx="26">
                  <c:v>577</c:v>
                </c:pt>
                <c:pt idx="27">
                  <c:v>376</c:v>
                </c:pt>
                <c:pt idx="28">
                  <c:v>229</c:v>
                </c:pt>
                <c:pt idx="29">
                  <c:v>827</c:v>
                </c:pt>
                <c:pt idx="30">
                  <c:v>555</c:v>
                </c:pt>
                <c:pt idx="31">
                  <c:v>413</c:v>
                </c:pt>
                <c:pt idx="32">
                  <c:v>341</c:v>
                </c:pt>
                <c:pt idx="33">
                  <c:v>856</c:v>
                </c:pt>
                <c:pt idx="34">
                  <c:v>718</c:v>
                </c:pt>
                <c:pt idx="35">
                  <c:v>585</c:v>
                </c:pt>
                <c:pt idx="36">
                  <c:v>367</c:v>
                </c:pt>
                <c:pt idx="37">
                  <c:v>234</c:v>
                </c:pt>
                <c:pt idx="38">
                  <c:v>169</c:v>
                </c:pt>
                <c:pt idx="39">
                  <c:v>690</c:v>
                </c:pt>
                <c:pt idx="40">
                  <c:v>560</c:v>
                </c:pt>
                <c:pt idx="41">
                  <c:v>489</c:v>
                </c:pt>
                <c:pt idx="42">
                  <c:v>187</c:v>
                </c:pt>
                <c:pt idx="43">
                  <c:v>938</c:v>
                </c:pt>
                <c:pt idx="44">
                  <c:v>804</c:v>
                </c:pt>
                <c:pt idx="45">
                  <c:v>568</c:v>
                </c:pt>
                <c:pt idx="46">
                  <c:v>456</c:v>
                </c:pt>
                <c:pt idx="47">
                  <c:v>388</c:v>
                </c:pt>
                <c:pt idx="48">
                  <c:v>917</c:v>
                </c:pt>
                <c:pt idx="49">
                  <c:v>760</c:v>
                </c:pt>
                <c:pt idx="50">
                  <c:v>626</c:v>
                </c:pt>
                <c:pt idx="51">
                  <c:v>429</c:v>
                </c:pt>
                <c:pt idx="52">
                  <c:v>286</c:v>
                </c:pt>
                <c:pt idx="53">
                  <c:v>216</c:v>
                </c:pt>
                <c:pt idx="54">
                  <c:v>725</c:v>
                </c:pt>
                <c:pt idx="55">
                  <c:v>570</c:v>
                </c:pt>
                <c:pt idx="56">
                  <c:v>436</c:v>
                </c:pt>
                <c:pt idx="57">
                  <c:v>167</c:v>
                </c:pt>
                <c:pt idx="58">
                  <c:v>100</c:v>
                </c:pt>
                <c:pt idx="59">
                  <c:v>922</c:v>
                </c:pt>
                <c:pt idx="60">
                  <c:v>623</c:v>
                </c:pt>
                <c:pt idx="61">
                  <c:v>479</c:v>
                </c:pt>
                <c:pt idx="62">
                  <c:v>397</c:v>
                </c:pt>
                <c:pt idx="63">
                  <c:v>922</c:v>
                </c:pt>
                <c:pt idx="64">
                  <c:v>792</c:v>
                </c:pt>
                <c:pt idx="65">
                  <c:v>724</c:v>
                </c:pt>
                <c:pt idx="66">
                  <c:v>448</c:v>
                </c:pt>
                <c:pt idx="67">
                  <c:v>300</c:v>
                </c:pt>
                <c:pt idx="68">
                  <c:v>923</c:v>
                </c:pt>
                <c:pt idx="69">
                  <c:v>719</c:v>
                </c:pt>
                <c:pt idx="70">
                  <c:v>588</c:v>
                </c:pt>
                <c:pt idx="71">
                  <c:v>521</c:v>
                </c:pt>
                <c:pt idx="72">
                  <c:v>455</c:v>
                </c:pt>
                <c:pt idx="73">
                  <c:v>245</c:v>
                </c:pt>
                <c:pt idx="74">
                  <c:v>921</c:v>
                </c:pt>
                <c:pt idx="75">
                  <c:v>663</c:v>
                </c:pt>
                <c:pt idx="76">
                  <c:v>518</c:v>
                </c:pt>
                <c:pt idx="77">
                  <c:v>451</c:v>
                </c:pt>
                <c:pt idx="78">
                  <c:v>542</c:v>
                </c:pt>
                <c:pt idx="79">
                  <c:v>407</c:v>
                </c:pt>
                <c:pt idx="80">
                  <c:v>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E-47E7-AC11-465B3C35E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77896"/>
        <c:axId val="804782488"/>
      </c:lineChart>
      <c:dateAx>
        <c:axId val="804777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82488"/>
        <c:crosses val="autoZero"/>
        <c:auto val="1"/>
        <c:lblOffset val="100"/>
        <c:baseTimeUnit val="days"/>
      </c:dateAx>
      <c:valAx>
        <c:axId val="804782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77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PreTrig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46.60101</c:v>
          </c:tx>
          <c:marker>
            <c:symbol val="none"/>
          </c:marker>
          <c:trendline>
            <c:name>0 Date: 8/15/2018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history'!$AC$2:$AC$82</c:f>
              <c:numCache>
                <c:formatCode>General</c:formatCode>
                <c:ptCount val="81"/>
                <c:pt idx="0">
                  <c:v>301</c:v>
                </c:pt>
                <c:pt idx="1">
                  <c:v>192</c:v>
                </c:pt>
                <c:pt idx="2">
                  <c:v>727</c:v>
                </c:pt>
                <c:pt idx="3">
                  <c:v>586</c:v>
                </c:pt>
                <c:pt idx="4">
                  <c:v>456</c:v>
                </c:pt>
                <c:pt idx="5">
                  <c:v>273</c:v>
                </c:pt>
                <c:pt idx="6">
                  <c:v>923</c:v>
                </c:pt>
                <c:pt idx="7">
                  <c:v>794</c:v>
                </c:pt>
                <c:pt idx="8">
                  <c:v>586</c:v>
                </c:pt>
                <c:pt idx="9">
                  <c:v>398</c:v>
                </c:pt>
                <c:pt idx="10">
                  <c:v>905</c:v>
                </c:pt>
                <c:pt idx="11">
                  <c:v>691</c:v>
                </c:pt>
                <c:pt idx="12">
                  <c:v>627</c:v>
                </c:pt>
                <c:pt idx="13">
                  <c:v>430</c:v>
                </c:pt>
                <c:pt idx="14">
                  <c:v>272</c:v>
                </c:pt>
                <c:pt idx="15">
                  <c:v>211</c:v>
                </c:pt>
                <c:pt idx="16">
                  <c:v>720</c:v>
                </c:pt>
                <c:pt idx="17">
                  <c:v>509</c:v>
                </c:pt>
                <c:pt idx="18">
                  <c:v>233</c:v>
                </c:pt>
                <c:pt idx="19">
                  <c:v>866</c:v>
                </c:pt>
                <c:pt idx="20">
                  <c:v>744</c:v>
                </c:pt>
                <c:pt idx="21">
                  <c:v>555</c:v>
                </c:pt>
                <c:pt idx="22">
                  <c:v>424</c:v>
                </c:pt>
                <c:pt idx="23">
                  <c:v>292</c:v>
                </c:pt>
                <c:pt idx="24">
                  <c:v>913</c:v>
                </c:pt>
                <c:pt idx="25">
                  <c:v>792</c:v>
                </c:pt>
                <c:pt idx="26">
                  <c:v>667</c:v>
                </c:pt>
                <c:pt idx="27">
                  <c:v>479</c:v>
                </c:pt>
                <c:pt idx="28">
                  <c:v>347</c:v>
                </c:pt>
                <c:pt idx="29">
                  <c:v>907</c:v>
                </c:pt>
                <c:pt idx="30">
                  <c:v>683</c:v>
                </c:pt>
                <c:pt idx="31">
                  <c:v>555</c:v>
                </c:pt>
                <c:pt idx="32">
                  <c:v>489</c:v>
                </c:pt>
                <c:pt idx="33">
                  <c:v>242</c:v>
                </c:pt>
                <c:pt idx="34">
                  <c:v>927</c:v>
                </c:pt>
                <c:pt idx="35">
                  <c:v>803</c:v>
                </c:pt>
                <c:pt idx="36">
                  <c:v>607</c:v>
                </c:pt>
                <c:pt idx="37">
                  <c:v>483</c:v>
                </c:pt>
                <c:pt idx="38">
                  <c:v>423</c:v>
                </c:pt>
                <c:pt idx="39">
                  <c:v>164</c:v>
                </c:pt>
                <c:pt idx="40">
                  <c:v>882</c:v>
                </c:pt>
                <c:pt idx="41">
                  <c:v>817</c:v>
                </c:pt>
                <c:pt idx="42">
                  <c:v>539</c:v>
                </c:pt>
                <c:pt idx="43">
                  <c:v>430</c:v>
                </c:pt>
                <c:pt idx="44">
                  <c:v>291</c:v>
                </c:pt>
                <c:pt idx="45">
                  <c:v>920</c:v>
                </c:pt>
                <c:pt idx="46">
                  <c:v>796</c:v>
                </c:pt>
                <c:pt idx="47">
                  <c:v>734</c:v>
                </c:pt>
                <c:pt idx="48">
                  <c:v>471</c:v>
                </c:pt>
                <c:pt idx="49">
                  <c:v>848</c:v>
                </c:pt>
                <c:pt idx="50">
                  <c:v>723</c:v>
                </c:pt>
                <c:pt idx="51">
                  <c:v>526</c:v>
                </c:pt>
                <c:pt idx="52">
                  <c:v>395</c:v>
                </c:pt>
                <c:pt idx="53">
                  <c:v>330</c:v>
                </c:pt>
                <c:pt idx="54">
                  <c:v>927</c:v>
                </c:pt>
                <c:pt idx="55">
                  <c:v>788</c:v>
                </c:pt>
                <c:pt idx="56">
                  <c:v>663</c:v>
                </c:pt>
                <c:pt idx="57">
                  <c:v>415</c:v>
                </c:pt>
                <c:pt idx="58">
                  <c:v>352</c:v>
                </c:pt>
                <c:pt idx="59">
                  <c:v>290</c:v>
                </c:pt>
                <c:pt idx="60">
                  <c:v>868</c:v>
                </c:pt>
                <c:pt idx="61">
                  <c:v>735</c:v>
                </c:pt>
                <c:pt idx="62">
                  <c:v>664</c:v>
                </c:pt>
                <c:pt idx="63">
                  <c:v>406</c:v>
                </c:pt>
                <c:pt idx="64">
                  <c:v>285</c:v>
                </c:pt>
                <c:pt idx="65">
                  <c:v>235</c:v>
                </c:pt>
                <c:pt idx="66">
                  <c:v>845</c:v>
                </c:pt>
                <c:pt idx="67">
                  <c:v>711</c:v>
                </c:pt>
                <c:pt idx="68">
                  <c:v>578</c:v>
                </c:pt>
                <c:pt idx="69">
                  <c:v>388</c:v>
                </c:pt>
                <c:pt idx="70">
                  <c:v>266</c:v>
                </c:pt>
                <c:pt idx="71">
                  <c:v>203</c:v>
                </c:pt>
                <c:pt idx="72">
                  <c:v>929</c:v>
                </c:pt>
                <c:pt idx="73">
                  <c:v>736</c:v>
                </c:pt>
                <c:pt idx="74">
                  <c:v>562</c:v>
                </c:pt>
                <c:pt idx="75">
                  <c:v>320</c:v>
                </c:pt>
                <c:pt idx="76">
                  <c:v>197</c:v>
                </c:pt>
                <c:pt idx="77">
                  <c:v>135</c:v>
                </c:pt>
                <c:pt idx="78">
                  <c:v>311</c:v>
                </c:pt>
                <c:pt idx="79">
                  <c:v>185</c:v>
                </c:pt>
                <c:pt idx="80">
                  <c:v>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C-4AB5-B506-CDD8E5EBD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429392"/>
        <c:axId val="812432344"/>
      </c:lineChart>
      <c:dateAx>
        <c:axId val="812429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2432344"/>
        <c:crosses val="autoZero"/>
        <c:auto val="1"/>
        <c:lblOffset val="100"/>
        <c:baseTimeUnit val="days"/>
      </c:dateAx>
      <c:valAx>
        <c:axId val="812432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2429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ProbeCond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history'!$AD$82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49-4639-BF43-9AF743479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0800056"/>
        <c:axId val="750796448"/>
      </c:lineChart>
      <c:dateAx>
        <c:axId val="750800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0796448"/>
        <c:crosses val="autoZero"/>
        <c:auto val="1"/>
        <c:lblOffset val="100"/>
        <c:baseTimeUnit val="days"/>
      </c:dateAx>
      <c:valAx>
        <c:axId val="750796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08000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ConcWash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history'!$AE$82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63-49ED-8182-BD6E426F0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0801696"/>
        <c:axId val="750796448"/>
      </c:lineChart>
      <c:dateAx>
        <c:axId val="750801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0796448"/>
        <c:crosses val="autoZero"/>
        <c:auto val="1"/>
        <c:lblOffset val="100"/>
        <c:baseTimeUnit val="days"/>
      </c:dateAx>
      <c:valAx>
        <c:axId val="750796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0801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history'!$AF$82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6-46DA-840E-CD5A9E123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794136"/>
        <c:axId val="750793824"/>
      </c:lineChart>
      <c:dateAx>
        <c:axId val="746794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0793824"/>
        <c:crosses val="autoZero"/>
        <c:auto val="1"/>
        <c:lblOffset val="100"/>
        <c:baseTimeUnit val="days"/>
      </c:dateAx>
      <c:valAx>
        <c:axId val="750793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7941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5.451777</c:v>
          </c:tx>
          <c:marker>
            <c:symbol val="none"/>
          </c:marker>
          <c:trendline>
            <c:name>0 Date: 8/7/2018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history'!$AG$2:$AG$82</c:f>
              <c:numCache>
                <c:formatCode>General</c:formatCode>
                <c:ptCount val="81"/>
                <c:pt idx="0">
                  <c:v>52</c:v>
                </c:pt>
                <c:pt idx="1">
                  <c:v>88</c:v>
                </c:pt>
                <c:pt idx="2">
                  <c:v>34</c:v>
                </c:pt>
                <c:pt idx="3">
                  <c:v>80</c:v>
                </c:pt>
                <c:pt idx="4">
                  <c:v>56</c:v>
                </c:pt>
                <c:pt idx="5">
                  <c:v>27</c:v>
                </c:pt>
                <c:pt idx="6">
                  <c:v>88</c:v>
                </c:pt>
                <c:pt idx="7">
                  <c:v>90</c:v>
                </c:pt>
                <c:pt idx="8">
                  <c:v>74</c:v>
                </c:pt>
                <c:pt idx="9">
                  <c:v>35</c:v>
                </c:pt>
                <c:pt idx="10">
                  <c:v>31</c:v>
                </c:pt>
                <c:pt idx="11">
                  <c:v>72</c:v>
                </c:pt>
                <c:pt idx="12">
                  <c:v>58</c:v>
                </c:pt>
                <c:pt idx="13">
                  <c:v>22</c:v>
                </c:pt>
                <c:pt idx="14">
                  <c:v>81</c:v>
                </c:pt>
                <c:pt idx="15">
                  <c:v>70</c:v>
                </c:pt>
                <c:pt idx="16">
                  <c:v>29</c:v>
                </c:pt>
                <c:pt idx="17">
                  <c:v>89</c:v>
                </c:pt>
                <c:pt idx="18">
                  <c:v>52</c:v>
                </c:pt>
                <c:pt idx="19">
                  <c:v>71</c:v>
                </c:pt>
                <c:pt idx="20">
                  <c:v>90</c:v>
                </c:pt>
                <c:pt idx="21">
                  <c:v>90</c:v>
                </c:pt>
                <c:pt idx="22">
                  <c:v>68</c:v>
                </c:pt>
                <c:pt idx="23">
                  <c:v>55</c:v>
                </c:pt>
                <c:pt idx="24">
                  <c:v>87</c:v>
                </c:pt>
                <c:pt idx="25">
                  <c:v>66</c:v>
                </c:pt>
                <c:pt idx="26">
                  <c:v>89</c:v>
                </c:pt>
                <c:pt idx="27">
                  <c:v>62</c:v>
                </c:pt>
                <c:pt idx="28">
                  <c:v>78</c:v>
                </c:pt>
                <c:pt idx="29">
                  <c:v>58</c:v>
                </c:pt>
                <c:pt idx="30">
                  <c:v>90</c:v>
                </c:pt>
                <c:pt idx="31">
                  <c:v>72</c:v>
                </c:pt>
                <c:pt idx="32">
                  <c:v>62</c:v>
                </c:pt>
                <c:pt idx="33">
                  <c:v>68</c:v>
                </c:pt>
                <c:pt idx="34">
                  <c:v>45</c:v>
                </c:pt>
                <c:pt idx="35">
                  <c:v>61</c:v>
                </c:pt>
                <c:pt idx="36">
                  <c:v>35</c:v>
                </c:pt>
                <c:pt idx="37">
                  <c:v>17</c:v>
                </c:pt>
                <c:pt idx="38">
                  <c:v>76</c:v>
                </c:pt>
                <c:pt idx="39">
                  <c:v>35</c:v>
                </c:pt>
                <c:pt idx="40">
                  <c:v>88</c:v>
                </c:pt>
                <c:pt idx="41">
                  <c:v>77</c:v>
                </c:pt>
                <c:pt idx="42">
                  <c:v>70</c:v>
                </c:pt>
                <c:pt idx="43">
                  <c:v>51</c:v>
                </c:pt>
                <c:pt idx="44">
                  <c:v>41</c:v>
                </c:pt>
                <c:pt idx="45">
                  <c:v>15</c:v>
                </c:pt>
                <c:pt idx="46">
                  <c:v>66</c:v>
                </c:pt>
                <c:pt idx="47">
                  <c:v>50</c:v>
                </c:pt>
                <c:pt idx="48">
                  <c:v>36</c:v>
                </c:pt>
                <c:pt idx="49">
                  <c:v>90</c:v>
                </c:pt>
                <c:pt idx="50">
                  <c:v>90</c:v>
                </c:pt>
                <c:pt idx="51">
                  <c:v>68</c:v>
                </c:pt>
                <c:pt idx="52">
                  <c:v>41</c:v>
                </c:pt>
                <c:pt idx="53">
                  <c:v>28</c:v>
                </c:pt>
                <c:pt idx="54">
                  <c:v>32</c:v>
                </c:pt>
                <c:pt idx="55">
                  <c:v>84</c:v>
                </c:pt>
                <c:pt idx="56">
                  <c:v>65</c:v>
                </c:pt>
                <c:pt idx="57">
                  <c:v>33</c:v>
                </c:pt>
                <c:pt idx="58">
                  <c:v>21</c:v>
                </c:pt>
                <c:pt idx="59">
                  <c:v>88</c:v>
                </c:pt>
                <c:pt idx="60">
                  <c:v>84</c:v>
                </c:pt>
                <c:pt idx="61">
                  <c:v>61</c:v>
                </c:pt>
                <c:pt idx="62">
                  <c:v>48</c:v>
                </c:pt>
                <c:pt idx="63">
                  <c:v>59</c:v>
                </c:pt>
                <c:pt idx="64">
                  <c:v>29</c:v>
                </c:pt>
                <c:pt idx="65">
                  <c:v>75</c:v>
                </c:pt>
                <c:pt idx="66">
                  <c:v>41</c:v>
                </c:pt>
                <c:pt idx="67">
                  <c:v>88</c:v>
                </c:pt>
                <c:pt idx="68">
                  <c:v>90</c:v>
                </c:pt>
                <c:pt idx="69">
                  <c:v>70</c:v>
                </c:pt>
                <c:pt idx="70">
                  <c:v>46</c:v>
                </c:pt>
                <c:pt idx="71">
                  <c:v>85</c:v>
                </c:pt>
                <c:pt idx="72">
                  <c:v>88</c:v>
                </c:pt>
                <c:pt idx="73">
                  <c:v>25</c:v>
                </c:pt>
                <c:pt idx="74">
                  <c:v>64</c:v>
                </c:pt>
                <c:pt idx="75">
                  <c:v>38</c:v>
                </c:pt>
                <c:pt idx="76">
                  <c:v>90</c:v>
                </c:pt>
                <c:pt idx="77">
                  <c:v>80</c:v>
                </c:pt>
                <c:pt idx="78">
                  <c:v>51</c:v>
                </c:pt>
                <c:pt idx="79">
                  <c:v>25</c:v>
                </c:pt>
                <c:pt idx="80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07-4C1C-8A1D-26F3ECDFA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6793480"/>
        <c:axId val="746793808"/>
      </c:lineChart>
      <c:dateAx>
        <c:axId val="746793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46793808"/>
        <c:crosses val="autoZero"/>
        <c:auto val="1"/>
        <c:lblOffset val="100"/>
        <c:baseTimeUnit val="days"/>
      </c:dateAx>
      <c:valAx>
        <c:axId val="746793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67934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B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history'!$AH$2:$AH$82</c:f>
              <c:numCache>
                <c:formatCode>General</c:formatCode>
                <c:ptCount val="8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4B-47E0-A3BC-FAECFE8B8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48592"/>
        <c:axId val="845153840"/>
      </c:lineChart>
      <c:dateAx>
        <c:axId val="845148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53840"/>
        <c:crosses val="autoZero"/>
        <c:auto val="1"/>
        <c:lblOffset val="100"/>
        <c:baseTimeUnit val="days"/>
      </c:dateAx>
      <c:valAx>
        <c:axId val="845153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48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62.83333</c:v>
          </c:tx>
          <c:marker>
            <c:symbol val="none"/>
          </c:marker>
          <c:trendline>
            <c:name>0 Date: 8/6/2018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history'!$AI$2:$AI$82</c:f>
              <c:numCache>
                <c:formatCode>General</c:formatCode>
                <c:ptCount val="81"/>
                <c:pt idx="0">
                  <c:v>616</c:v>
                </c:pt>
                <c:pt idx="1">
                  <c:v>552</c:v>
                </c:pt>
                <c:pt idx="2">
                  <c:v>1784</c:v>
                </c:pt>
                <c:pt idx="3">
                  <c:v>1605</c:v>
                </c:pt>
                <c:pt idx="4">
                  <c:v>1459</c:v>
                </c:pt>
                <c:pt idx="5">
                  <c:v>1261</c:v>
                </c:pt>
                <c:pt idx="6">
                  <c:v>1122</c:v>
                </c:pt>
                <c:pt idx="7">
                  <c:v>987</c:v>
                </c:pt>
                <c:pt idx="8">
                  <c:v>817</c:v>
                </c:pt>
                <c:pt idx="9">
                  <c:v>597</c:v>
                </c:pt>
                <c:pt idx="10">
                  <c:v>1940</c:v>
                </c:pt>
                <c:pt idx="11">
                  <c:v>1716</c:v>
                </c:pt>
                <c:pt idx="12">
                  <c:v>1635</c:v>
                </c:pt>
                <c:pt idx="13">
                  <c:v>1465</c:v>
                </c:pt>
                <c:pt idx="14">
                  <c:v>1310</c:v>
                </c:pt>
                <c:pt idx="15">
                  <c:v>1233</c:v>
                </c:pt>
                <c:pt idx="16">
                  <c:v>973</c:v>
                </c:pt>
                <c:pt idx="17">
                  <c:v>452</c:v>
                </c:pt>
                <c:pt idx="18">
                  <c:v>1788</c:v>
                </c:pt>
                <c:pt idx="19">
                  <c:v>1594</c:v>
                </c:pt>
                <c:pt idx="20">
                  <c:v>1431</c:v>
                </c:pt>
                <c:pt idx="21">
                  <c:v>1254</c:v>
                </c:pt>
                <c:pt idx="22">
                  <c:v>1111</c:v>
                </c:pt>
                <c:pt idx="23">
                  <c:v>979</c:v>
                </c:pt>
                <c:pt idx="24">
                  <c:v>615</c:v>
                </c:pt>
                <c:pt idx="25">
                  <c:v>479</c:v>
                </c:pt>
                <c:pt idx="26">
                  <c:v>1955</c:v>
                </c:pt>
                <c:pt idx="27">
                  <c:v>1799</c:v>
                </c:pt>
                <c:pt idx="28">
                  <c:v>1645</c:v>
                </c:pt>
                <c:pt idx="29">
                  <c:v>1471</c:v>
                </c:pt>
                <c:pt idx="30">
                  <c:v>1319</c:v>
                </c:pt>
                <c:pt idx="31">
                  <c:v>1180</c:v>
                </c:pt>
                <c:pt idx="32">
                  <c:v>1102</c:v>
                </c:pt>
                <c:pt idx="33">
                  <c:v>891</c:v>
                </c:pt>
                <c:pt idx="34">
                  <c:v>727</c:v>
                </c:pt>
                <c:pt idx="35">
                  <c:v>1950</c:v>
                </c:pt>
                <c:pt idx="36">
                  <c:v>1799</c:v>
                </c:pt>
                <c:pt idx="37">
                  <c:v>1655</c:v>
                </c:pt>
                <c:pt idx="38">
                  <c:v>1584</c:v>
                </c:pt>
                <c:pt idx="39">
                  <c:v>1337</c:v>
                </c:pt>
                <c:pt idx="40">
                  <c:v>1169</c:v>
                </c:pt>
                <c:pt idx="41">
                  <c:v>1097</c:v>
                </c:pt>
                <c:pt idx="42">
                  <c:v>858</c:v>
                </c:pt>
                <c:pt idx="43">
                  <c:v>481</c:v>
                </c:pt>
                <c:pt idx="44">
                  <c:v>1946</c:v>
                </c:pt>
                <c:pt idx="45">
                  <c:v>1785</c:v>
                </c:pt>
                <c:pt idx="46">
                  <c:v>1668</c:v>
                </c:pt>
                <c:pt idx="47">
                  <c:v>1586</c:v>
                </c:pt>
                <c:pt idx="48">
                  <c:v>1349</c:v>
                </c:pt>
                <c:pt idx="49">
                  <c:v>1187</c:v>
                </c:pt>
                <c:pt idx="50">
                  <c:v>1040</c:v>
                </c:pt>
                <c:pt idx="51">
                  <c:v>865</c:v>
                </c:pt>
                <c:pt idx="52">
                  <c:v>724</c:v>
                </c:pt>
                <c:pt idx="53">
                  <c:v>645</c:v>
                </c:pt>
                <c:pt idx="54">
                  <c:v>1785</c:v>
                </c:pt>
                <c:pt idx="55">
                  <c:v>1629</c:v>
                </c:pt>
                <c:pt idx="56">
                  <c:v>1471</c:v>
                </c:pt>
                <c:pt idx="57">
                  <c:v>1276</c:v>
                </c:pt>
                <c:pt idx="58">
                  <c:v>1198</c:v>
                </c:pt>
                <c:pt idx="59">
                  <c:v>1113</c:v>
                </c:pt>
                <c:pt idx="60">
                  <c:v>864</c:v>
                </c:pt>
                <c:pt idx="61">
                  <c:v>452</c:v>
                </c:pt>
                <c:pt idx="62">
                  <c:v>369</c:v>
                </c:pt>
                <c:pt idx="63">
                  <c:v>1756</c:v>
                </c:pt>
                <c:pt idx="64">
                  <c:v>1622</c:v>
                </c:pt>
                <c:pt idx="65">
                  <c:v>1555</c:v>
                </c:pt>
                <c:pt idx="66">
                  <c:v>1339</c:v>
                </c:pt>
                <c:pt idx="67">
                  <c:v>1199</c:v>
                </c:pt>
                <c:pt idx="68">
                  <c:v>1037</c:v>
                </c:pt>
                <c:pt idx="69">
                  <c:v>548</c:v>
                </c:pt>
                <c:pt idx="70">
                  <c:v>414</c:v>
                </c:pt>
                <c:pt idx="71">
                  <c:v>1947</c:v>
                </c:pt>
                <c:pt idx="72">
                  <c:v>1883</c:v>
                </c:pt>
                <c:pt idx="73">
                  <c:v>1711</c:v>
                </c:pt>
                <c:pt idx="74">
                  <c:v>1561</c:v>
                </c:pt>
                <c:pt idx="75">
                  <c:v>1855</c:v>
                </c:pt>
                <c:pt idx="76">
                  <c:v>1690</c:v>
                </c:pt>
                <c:pt idx="77">
                  <c:v>1606</c:v>
                </c:pt>
                <c:pt idx="78">
                  <c:v>886</c:v>
                </c:pt>
                <c:pt idx="79">
                  <c:v>739</c:v>
                </c:pt>
                <c:pt idx="80">
                  <c:v>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8-4A2A-9A64-11642B866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50888"/>
        <c:axId val="845151216"/>
      </c:lineChart>
      <c:dateAx>
        <c:axId val="845150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51216"/>
        <c:crosses val="autoZero"/>
        <c:auto val="1"/>
        <c:lblOffset val="100"/>
        <c:baseTimeUnit val="days"/>
      </c:dateAx>
      <c:valAx>
        <c:axId val="8451512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508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Clean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history'!$AJ$82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26-43AA-936C-C8E4E0871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8112304"/>
        <c:axId val="638114272"/>
      </c:lineChart>
      <c:dateAx>
        <c:axId val="638112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8114272"/>
        <c:crosses val="autoZero"/>
        <c:auto val="1"/>
        <c:lblOffset val="100"/>
        <c:baseTimeUnit val="days"/>
      </c:dateAx>
      <c:valAx>
        <c:axId val="638114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8112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AsssayDil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history'!$AK$82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A-427D-ADBF-8D0FA051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61200"/>
        <c:axId val="633961856"/>
      </c:lineChart>
      <c:dateAx>
        <c:axId val="633961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3961856"/>
        <c:crosses val="autoZero"/>
        <c:auto val="1"/>
        <c:lblOffset val="100"/>
        <c:baseTimeUnit val="days"/>
      </c:dateAx>
      <c:valAx>
        <c:axId val="633961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961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16.88601</c:v>
          </c:tx>
          <c:marker>
            <c:symbol val="none"/>
          </c:marker>
          <c:trendline>
            <c:name>0 Date: 8/6/2018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history'!$AL$2:$AL$82</c:f>
              <c:numCache>
                <c:formatCode>General</c:formatCode>
                <c:ptCount val="81"/>
                <c:pt idx="0">
                  <c:v>108</c:v>
                </c:pt>
                <c:pt idx="1">
                  <c:v>176</c:v>
                </c:pt>
                <c:pt idx="2">
                  <c:v>264</c:v>
                </c:pt>
                <c:pt idx="3">
                  <c:v>172</c:v>
                </c:pt>
                <c:pt idx="4">
                  <c:v>120</c:v>
                </c:pt>
                <c:pt idx="5">
                  <c:v>307</c:v>
                </c:pt>
                <c:pt idx="6">
                  <c:v>183</c:v>
                </c:pt>
                <c:pt idx="7">
                  <c:v>290</c:v>
                </c:pt>
                <c:pt idx="8">
                  <c:v>233</c:v>
                </c:pt>
                <c:pt idx="9">
                  <c:v>260</c:v>
                </c:pt>
                <c:pt idx="10">
                  <c:v>260</c:v>
                </c:pt>
                <c:pt idx="11">
                  <c:v>145</c:v>
                </c:pt>
                <c:pt idx="12">
                  <c:v>345</c:v>
                </c:pt>
                <c:pt idx="13">
                  <c:v>140</c:v>
                </c:pt>
                <c:pt idx="14">
                  <c:v>150</c:v>
                </c:pt>
                <c:pt idx="15">
                  <c:v>112</c:v>
                </c:pt>
                <c:pt idx="16">
                  <c:v>309</c:v>
                </c:pt>
                <c:pt idx="17">
                  <c:v>244</c:v>
                </c:pt>
                <c:pt idx="18">
                  <c:v>253</c:v>
                </c:pt>
                <c:pt idx="19">
                  <c:v>325</c:v>
                </c:pt>
                <c:pt idx="20">
                  <c:v>141</c:v>
                </c:pt>
                <c:pt idx="21">
                  <c:v>164</c:v>
                </c:pt>
                <c:pt idx="22">
                  <c:v>265</c:v>
                </c:pt>
                <c:pt idx="23">
                  <c:v>86</c:v>
                </c:pt>
                <c:pt idx="24">
                  <c:v>264</c:v>
                </c:pt>
                <c:pt idx="25">
                  <c:v>175</c:v>
                </c:pt>
                <c:pt idx="26">
                  <c:v>243</c:v>
                </c:pt>
                <c:pt idx="27">
                  <c:v>267</c:v>
                </c:pt>
                <c:pt idx="28">
                  <c:v>268</c:v>
                </c:pt>
                <c:pt idx="29">
                  <c:v>235</c:v>
                </c:pt>
                <c:pt idx="30">
                  <c:v>278</c:v>
                </c:pt>
                <c:pt idx="31">
                  <c:v>120</c:v>
                </c:pt>
                <c:pt idx="32">
                  <c:v>199</c:v>
                </c:pt>
                <c:pt idx="33">
                  <c:v>320</c:v>
                </c:pt>
                <c:pt idx="34">
                  <c:v>239</c:v>
                </c:pt>
                <c:pt idx="35">
                  <c:v>240</c:v>
                </c:pt>
                <c:pt idx="36">
                  <c:v>243</c:v>
                </c:pt>
                <c:pt idx="37">
                  <c:v>315</c:v>
                </c:pt>
                <c:pt idx="38">
                  <c:v>279</c:v>
                </c:pt>
                <c:pt idx="39">
                  <c:v>182</c:v>
                </c:pt>
                <c:pt idx="40">
                  <c:v>112</c:v>
                </c:pt>
                <c:pt idx="41">
                  <c:v>152</c:v>
                </c:pt>
                <c:pt idx="42">
                  <c:v>170</c:v>
                </c:pt>
                <c:pt idx="43">
                  <c:v>258</c:v>
                </c:pt>
                <c:pt idx="44">
                  <c:v>131</c:v>
                </c:pt>
                <c:pt idx="45">
                  <c:v>288</c:v>
                </c:pt>
                <c:pt idx="46">
                  <c:v>197</c:v>
                </c:pt>
                <c:pt idx="47">
                  <c:v>320</c:v>
                </c:pt>
                <c:pt idx="48">
                  <c:v>182</c:v>
                </c:pt>
                <c:pt idx="49">
                  <c:v>302</c:v>
                </c:pt>
                <c:pt idx="50">
                  <c:v>216</c:v>
                </c:pt>
                <c:pt idx="51">
                  <c:v>143</c:v>
                </c:pt>
                <c:pt idx="52">
                  <c:v>300</c:v>
                </c:pt>
                <c:pt idx="53">
                  <c:v>257</c:v>
                </c:pt>
                <c:pt idx="54">
                  <c:v>161</c:v>
                </c:pt>
                <c:pt idx="55">
                  <c:v>348</c:v>
                </c:pt>
                <c:pt idx="56">
                  <c:v>255</c:v>
                </c:pt>
                <c:pt idx="57">
                  <c:v>224</c:v>
                </c:pt>
                <c:pt idx="58">
                  <c:v>173</c:v>
                </c:pt>
                <c:pt idx="59">
                  <c:v>296</c:v>
                </c:pt>
                <c:pt idx="60">
                  <c:v>269</c:v>
                </c:pt>
                <c:pt idx="61">
                  <c:v>287</c:v>
                </c:pt>
                <c:pt idx="62">
                  <c:v>149</c:v>
                </c:pt>
                <c:pt idx="63">
                  <c:v>84</c:v>
                </c:pt>
                <c:pt idx="64">
                  <c:v>314</c:v>
                </c:pt>
                <c:pt idx="65">
                  <c:v>277</c:v>
                </c:pt>
                <c:pt idx="66">
                  <c:v>127</c:v>
                </c:pt>
                <c:pt idx="67">
                  <c:v>161</c:v>
                </c:pt>
                <c:pt idx="68">
                  <c:v>181</c:v>
                </c:pt>
                <c:pt idx="69">
                  <c:v>178</c:v>
                </c:pt>
                <c:pt idx="70">
                  <c:v>272</c:v>
                </c:pt>
                <c:pt idx="71">
                  <c:v>237</c:v>
                </c:pt>
                <c:pt idx="72">
                  <c:v>203</c:v>
                </c:pt>
                <c:pt idx="73">
                  <c:v>153</c:v>
                </c:pt>
                <c:pt idx="74">
                  <c:v>185</c:v>
                </c:pt>
                <c:pt idx="75">
                  <c:v>279</c:v>
                </c:pt>
                <c:pt idx="76">
                  <c:v>214</c:v>
                </c:pt>
                <c:pt idx="77">
                  <c:v>184</c:v>
                </c:pt>
                <c:pt idx="78">
                  <c:v>247</c:v>
                </c:pt>
                <c:pt idx="79">
                  <c:v>293</c:v>
                </c:pt>
                <c:pt idx="80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89-4B21-89D9-C45E381A8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62184"/>
        <c:axId val="633957920"/>
      </c:lineChart>
      <c:dateAx>
        <c:axId val="633962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3957920"/>
        <c:crosses val="autoZero"/>
        <c:auto val="1"/>
        <c:lblOffset val="100"/>
        <c:baseTimeUnit val="days"/>
      </c:dateAx>
      <c:valAx>
        <c:axId val="633957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962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history'!$AM$82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F-470A-9EF3-8E2AEE63E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7696856"/>
        <c:axId val="817697512"/>
      </c:lineChart>
      <c:dateAx>
        <c:axId val="81769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17697512"/>
        <c:crosses val="autoZero"/>
        <c:auto val="1"/>
        <c:lblOffset val="100"/>
        <c:baseTimeUnit val="days"/>
      </c:dateAx>
      <c:valAx>
        <c:axId val="817697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7696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 55ML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history'!$AN$82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80C-8514-38E0E9480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782488"/>
        <c:axId val="804786096"/>
      </c:lineChart>
      <c:dateAx>
        <c:axId val="804782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4786096"/>
        <c:crosses val="autoZero"/>
        <c:auto val="1"/>
        <c:lblOffset val="100"/>
        <c:baseTimeUnit val="days"/>
      </c:dateAx>
      <c:valAx>
        <c:axId val="804786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4782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history'!$AO$82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F-4DB4-A90F-92CC9D672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57920"/>
        <c:axId val="633962840"/>
      </c:lineChart>
      <c:dateAx>
        <c:axId val="633957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3962840"/>
        <c:crosses val="autoZero"/>
        <c:auto val="1"/>
        <c:lblOffset val="100"/>
        <c:baseTimeUnit val="days"/>
      </c:dateAx>
      <c:valAx>
        <c:axId val="633962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957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history'!$AP$82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C-47DA-AA31-631C854DC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222792"/>
        <c:axId val="463212624"/>
      </c:lineChart>
      <c:dateAx>
        <c:axId val="463222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63212624"/>
        <c:crosses val="autoZero"/>
        <c:auto val="1"/>
        <c:lblOffset val="100"/>
        <c:baseTimeUnit val="days"/>
      </c:dateAx>
      <c:valAx>
        <c:axId val="463212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32227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WBA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history'!$AQ$82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5-4BB8-AD6C-CB50170F2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51216"/>
        <c:axId val="845151872"/>
      </c:lineChart>
      <c:dateAx>
        <c:axId val="845151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51872"/>
        <c:crosses val="autoZero"/>
        <c:auto val="1"/>
        <c:lblOffset val="100"/>
        <c:baseTimeUnit val="days"/>
      </c:dateAx>
      <c:valAx>
        <c:axId val="845151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51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17.86364</c:v>
          </c:tx>
          <c:marker>
            <c:symbol val="none"/>
          </c:marker>
          <c:trendline>
            <c:name>0 Date: 8/5/2018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history'!$AR$2:$AR$82</c:f>
              <c:numCache>
                <c:formatCode>General</c:formatCode>
                <c:ptCount val="81"/>
                <c:pt idx="0">
                  <c:v>125</c:v>
                </c:pt>
                <c:pt idx="1">
                  <c:v>105</c:v>
                </c:pt>
                <c:pt idx="2">
                  <c:v>434</c:v>
                </c:pt>
                <c:pt idx="3">
                  <c:v>379</c:v>
                </c:pt>
                <c:pt idx="4">
                  <c:v>326</c:v>
                </c:pt>
                <c:pt idx="5">
                  <c:v>283</c:v>
                </c:pt>
                <c:pt idx="6">
                  <c:v>239</c:v>
                </c:pt>
                <c:pt idx="7">
                  <c:v>183</c:v>
                </c:pt>
                <c:pt idx="8">
                  <c:v>128</c:v>
                </c:pt>
                <c:pt idx="9">
                  <c:v>452</c:v>
                </c:pt>
                <c:pt idx="10">
                  <c:v>383</c:v>
                </c:pt>
                <c:pt idx="11">
                  <c:v>293</c:v>
                </c:pt>
                <c:pt idx="12">
                  <c:v>262</c:v>
                </c:pt>
                <c:pt idx="13">
                  <c:v>204</c:v>
                </c:pt>
                <c:pt idx="14">
                  <c:v>155</c:v>
                </c:pt>
                <c:pt idx="15">
                  <c:v>127</c:v>
                </c:pt>
                <c:pt idx="16">
                  <c:v>476</c:v>
                </c:pt>
                <c:pt idx="17">
                  <c:v>402</c:v>
                </c:pt>
                <c:pt idx="18">
                  <c:v>316</c:v>
                </c:pt>
                <c:pt idx="19">
                  <c:v>264</c:v>
                </c:pt>
                <c:pt idx="20">
                  <c:v>200</c:v>
                </c:pt>
                <c:pt idx="21">
                  <c:v>146</c:v>
                </c:pt>
                <c:pt idx="22">
                  <c:v>483</c:v>
                </c:pt>
                <c:pt idx="23">
                  <c:v>439</c:v>
                </c:pt>
                <c:pt idx="24">
                  <c:v>388</c:v>
                </c:pt>
                <c:pt idx="25">
                  <c:v>349</c:v>
                </c:pt>
                <c:pt idx="26">
                  <c:v>299</c:v>
                </c:pt>
                <c:pt idx="27">
                  <c:v>256</c:v>
                </c:pt>
                <c:pt idx="28">
                  <c:v>196</c:v>
                </c:pt>
                <c:pt idx="29">
                  <c:v>130</c:v>
                </c:pt>
                <c:pt idx="30">
                  <c:v>481</c:v>
                </c:pt>
                <c:pt idx="31">
                  <c:v>432</c:v>
                </c:pt>
                <c:pt idx="32">
                  <c:v>407</c:v>
                </c:pt>
                <c:pt idx="33">
                  <c:v>335</c:v>
                </c:pt>
                <c:pt idx="34">
                  <c:v>283</c:v>
                </c:pt>
                <c:pt idx="35">
                  <c:v>231</c:v>
                </c:pt>
                <c:pt idx="36">
                  <c:v>186</c:v>
                </c:pt>
                <c:pt idx="37">
                  <c:v>138</c:v>
                </c:pt>
                <c:pt idx="38">
                  <c:v>115</c:v>
                </c:pt>
                <c:pt idx="39">
                  <c:v>430</c:v>
                </c:pt>
                <c:pt idx="40">
                  <c:v>375</c:v>
                </c:pt>
                <c:pt idx="41">
                  <c:v>350</c:v>
                </c:pt>
                <c:pt idx="42">
                  <c:v>256</c:v>
                </c:pt>
                <c:pt idx="43">
                  <c:v>205</c:v>
                </c:pt>
                <c:pt idx="44">
                  <c:v>136</c:v>
                </c:pt>
                <c:pt idx="45">
                  <c:v>478</c:v>
                </c:pt>
                <c:pt idx="46">
                  <c:v>436</c:v>
                </c:pt>
                <c:pt idx="47">
                  <c:v>406</c:v>
                </c:pt>
                <c:pt idx="48">
                  <c:v>316</c:v>
                </c:pt>
                <c:pt idx="49">
                  <c:v>257</c:v>
                </c:pt>
                <c:pt idx="50">
                  <c:v>200</c:v>
                </c:pt>
                <c:pt idx="51">
                  <c:v>146</c:v>
                </c:pt>
                <c:pt idx="52">
                  <c:v>96</c:v>
                </c:pt>
                <c:pt idx="53">
                  <c:v>72</c:v>
                </c:pt>
                <c:pt idx="54">
                  <c:v>424</c:v>
                </c:pt>
                <c:pt idx="55">
                  <c:v>373</c:v>
                </c:pt>
                <c:pt idx="56">
                  <c:v>316</c:v>
                </c:pt>
                <c:pt idx="57">
                  <c:v>264</c:v>
                </c:pt>
                <c:pt idx="58">
                  <c:v>234</c:v>
                </c:pt>
                <c:pt idx="59">
                  <c:v>204</c:v>
                </c:pt>
                <c:pt idx="60">
                  <c:v>114</c:v>
                </c:pt>
                <c:pt idx="61">
                  <c:v>469</c:v>
                </c:pt>
                <c:pt idx="62">
                  <c:v>438</c:v>
                </c:pt>
                <c:pt idx="63">
                  <c:v>367</c:v>
                </c:pt>
                <c:pt idx="64">
                  <c:v>322</c:v>
                </c:pt>
                <c:pt idx="65">
                  <c:v>302</c:v>
                </c:pt>
                <c:pt idx="66">
                  <c:v>226</c:v>
                </c:pt>
                <c:pt idx="67">
                  <c:v>176</c:v>
                </c:pt>
                <c:pt idx="68">
                  <c:v>114</c:v>
                </c:pt>
                <c:pt idx="69">
                  <c:v>481</c:v>
                </c:pt>
                <c:pt idx="70">
                  <c:v>440</c:v>
                </c:pt>
                <c:pt idx="71">
                  <c:v>416</c:v>
                </c:pt>
                <c:pt idx="72">
                  <c:v>401</c:v>
                </c:pt>
                <c:pt idx="73">
                  <c:v>333</c:v>
                </c:pt>
                <c:pt idx="74">
                  <c:v>277</c:v>
                </c:pt>
                <c:pt idx="75">
                  <c:v>194</c:v>
                </c:pt>
                <c:pt idx="76">
                  <c:v>135</c:v>
                </c:pt>
                <c:pt idx="77">
                  <c:v>106</c:v>
                </c:pt>
                <c:pt idx="78">
                  <c:v>258</c:v>
                </c:pt>
                <c:pt idx="79">
                  <c:v>209</c:v>
                </c:pt>
                <c:pt idx="80">
                  <c:v>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5-41F6-BF31-209B302A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61384"/>
        <c:axId val="845161712"/>
      </c:lineChart>
      <c:dateAx>
        <c:axId val="845161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61712"/>
        <c:crosses val="autoZero"/>
        <c:auto val="1"/>
        <c:lblOffset val="100"/>
        <c:baseTimeUnit val="days"/>
      </c:dateAx>
      <c:valAx>
        <c:axId val="845161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613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13.53535</c:v>
          </c:tx>
          <c:marker>
            <c:symbol val="none"/>
          </c:marker>
          <c:trendline>
            <c:name>0 Date: 8/5/2018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history'!$AS$2:$AS$82</c:f>
              <c:numCache>
                <c:formatCode>General</c:formatCode>
                <c:ptCount val="81"/>
                <c:pt idx="0">
                  <c:v>421</c:v>
                </c:pt>
                <c:pt idx="1">
                  <c:v>407</c:v>
                </c:pt>
                <c:pt idx="2">
                  <c:v>359</c:v>
                </c:pt>
                <c:pt idx="3">
                  <c:v>322</c:v>
                </c:pt>
                <c:pt idx="4">
                  <c:v>287</c:v>
                </c:pt>
                <c:pt idx="5">
                  <c:v>259</c:v>
                </c:pt>
                <c:pt idx="6">
                  <c:v>229</c:v>
                </c:pt>
                <c:pt idx="7">
                  <c:v>192</c:v>
                </c:pt>
                <c:pt idx="8">
                  <c:v>155</c:v>
                </c:pt>
                <c:pt idx="9">
                  <c:v>468</c:v>
                </c:pt>
                <c:pt idx="10">
                  <c:v>422</c:v>
                </c:pt>
                <c:pt idx="11">
                  <c:v>362</c:v>
                </c:pt>
                <c:pt idx="12">
                  <c:v>341</c:v>
                </c:pt>
                <c:pt idx="13">
                  <c:v>303</c:v>
                </c:pt>
                <c:pt idx="14">
                  <c:v>270</c:v>
                </c:pt>
                <c:pt idx="15">
                  <c:v>251</c:v>
                </c:pt>
                <c:pt idx="16">
                  <c:v>193</c:v>
                </c:pt>
                <c:pt idx="17">
                  <c:v>487</c:v>
                </c:pt>
                <c:pt idx="18">
                  <c:v>430</c:v>
                </c:pt>
                <c:pt idx="19">
                  <c:v>395</c:v>
                </c:pt>
                <c:pt idx="20">
                  <c:v>353</c:v>
                </c:pt>
                <c:pt idx="21">
                  <c:v>317</c:v>
                </c:pt>
                <c:pt idx="22">
                  <c:v>278</c:v>
                </c:pt>
                <c:pt idx="23">
                  <c:v>249</c:v>
                </c:pt>
                <c:pt idx="24">
                  <c:v>215</c:v>
                </c:pt>
                <c:pt idx="25">
                  <c:v>188</c:v>
                </c:pt>
                <c:pt idx="26">
                  <c:v>155</c:v>
                </c:pt>
                <c:pt idx="27">
                  <c:v>127</c:v>
                </c:pt>
                <c:pt idx="28">
                  <c:v>482</c:v>
                </c:pt>
                <c:pt idx="29">
                  <c:v>438</c:v>
                </c:pt>
                <c:pt idx="30">
                  <c:v>403</c:v>
                </c:pt>
                <c:pt idx="31">
                  <c:v>371</c:v>
                </c:pt>
                <c:pt idx="32">
                  <c:v>354</c:v>
                </c:pt>
                <c:pt idx="33">
                  <c:v>306</c:v>
                </c:pt>
                <c:pt idx="34">
                  <c:v>271</c:v>
                </c:pt>
                <c:pt idx="35">
                  <c:v>237</c:v>
                </c:pt>
                <c:pt idx="36">
                  <c:v>207</c:v>
                </c:pt>
                <c:pt idx="37">
                  <c:v>175</c:v>
                </c:pt>
                <c:pt idx="38">
                  <c:v>159</c:v>
                </c:pt>
                <c:pt idx="39">
                  <c:v>106</c:v>
                </c:pt>
                <c:pt idx="40">
                  <c:v>467</c:v>
                </c:pt>
                <c:pt idx="41">
                  <c:v>451</c:v>
                </c:pt>
                <c:pt idx="42">
                  <c:v>388</c:v>
                </c:pt>
                <c:pt idx="43">
                  <c:v>354</c:v>
                </c:pt>
                <c:pt idx="44">
                  <c:v>308</c:v>
                </c:pt>
                <c:pt idx="45">
                  <c:v>277</c:v>
                </c:pt>
                <c:pt idx="46">
                  <c:v>249</c:v>
                </c:pt>
                <c:pt idx="47">
                  <c:v>228</c:v>
                </c:pt>
                <c:pt idx="48">
                  <c:v>169</c:v>
                </c:pt>
                <c:pt idx="49">
                  <c:v>130</c:v>
                </c:pt>
                <c:pt idx="50">
                  <c:v>485</c:v>
                </c:pt>
                <c:pt idx="51">
                  <c:v>449</c:v>
                </c:pt>
                <c:pt idx="52">
                  <c:v>415</c:v>
                </c:pt>
                <c:pt idx="53">
                  <c:v>400</c:v>
                </c:pt>
                <c:pt idx="54">
                  <c:v>344</c:v>
                </c:pt>
                <c:pt idx="55">
                  <c:v>310</c:v>
                </c:pt>
                <c:pt idx="56">
                  <c:v>272</c:v>
                </c:pt>
                <c:pt idx="57">
                  <c:v>237</c:v>
                </c:pt>
                <c:pt idx="58">
                  <c:v>217</c:v>
                </c:pt>
                <c:pt idx="59">
                  <c:v>197</c:v>
                </c:pt>
                <c:pt idx="60">
                  <c:v>479</c:v>
                </c:pt>
                <c:pt idx="61">
                  <c:v>442</c:v>
                </c:pt>
                <c:pt idx="62">
                  <c:v>421</c:v>
                </c:pt>
                <c:pt idx="63">
                  <c:v>374</c:v>
                </c:pt>
                <c:pt idx="64">
                  <c:v>344</c:v>
                </c:pt>
                <c:pt idx="65">
                  <c:v>331</c:v>
                </c:pt>
                <c:pt idx="66">
                  <c:v>280</c:v>
                </c:pt>
                <c:pt idx="67">
                  <c:v>247</c:v>
                </c:pt>
                <c:pt idx="68">
                  <c:v>205</c:v>
                </c:pt>
                <c:pt idx="69">
                  <c:v>137</c:v>
                </c:pt>
                <c:pt idx="70">
                  <c:v>110</c:v>
                </c:pt>
                <c:pt idx="71">
                  <c:v>94</c:v>
                </c:pt>
                <c:pt idx="72">
                  <c:v>117</c:v>
                </c:pt>
                <c:pt idx="73">
                  <c:v>72</c:v>
                </c:pt>
                <c:pt idx="74">
                  <c:v>466</c:v>
                </c:pt>
                <c:pt idx="75">
                  <c:v>411</c:v>
                </c:pt>
                <c:pt idx="76">
                  <c:v>372</c:v>
                </c:pt>
                <c:pt idx="77">
                  <c:v>353</c:v>
                </c:pt>
                <c:pt idx="78">
                  <c:v>183</c:v>
                </c:pt>
                <c:pt idx="79">
                  <c:v>150</c:v>
                </c:pt>
                <c:pt idx="80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4E-4688-99D5-CD575A0E4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61856"/>
        <c:axId val="633957920"/>
      </c:lineChart>
      <c:dateAx>
        <c:axId val="633961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33957920"/>
        <c:crosses val="autoZero"/>
        <c:auto val="1"/>
        <c:lblOffset val="100"/>
        <c:baseTimeUnit val="days"/>
      </c:dateAx>
      <c:valAx>
        <c:axId val="633957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961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SamCups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history'!$AT$82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1-4B64-AC0F-8D66A4471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77128"/>
        <c:axId val="845172208"/>
      </c:lineChart>
      <c:dateAx>
        <c:axId val="845177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72208"/>
        <c:crosses val="autoZero"/>
        <c:auto val="1"/>
        <c:lblOffset val="100"/>
        <c:baseTimeUnit val="days"/>
      </c:dateAx>
      <c:valAx>
        <c:axId val="845172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77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Septum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history'!$A$81:$A$82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'Machine history'!$AU$82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8-4EF8-B6A2-8A04BF2E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9522832"/>
        <c:axId val="459523816"/>
      </c:lineChart>
      <c:dateAx>
        <c:axId val="459522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59523816"/>
        <c:crosses val="autoZero"/>
        <c:auto val="1"/>
        <c:lblOffset val="100"/>
        <c:baseTimeUnit val="days"/>
      </c:dateAx>
      <c:valAx>
        <c:axId val="459523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95228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B-hCG STAT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3.085859</c:v>
          </c:tx>
          <c:marker>
            <c:symbol val="none"/>
          </c:marker>
          <c:trendline>
            <c:name>0 Date: 8/23/2018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history'!$A$2:$A$82</c:f>
              <c:numCache>
                <c:formatCode>m/d/yyyy</c:formatCode>
                <c:ptCount val="81"/>
                <c:pt idx="0">
                  <c:v>43110</c:v>
                </c:pt>
                <c:pt idx="1">
                  <c:v>43111</c:v>
                </c:pt>
                <c:pt idx="2">
                  <c:v>43115</c:v>
                </c:pt>
                <c:pt idx="3">
                  <c:v>43117</c:v>
                </c:pt>
                <c:pt idx="4">
                  <c:v>43119</c:v>
                </c:pt>
                <c:pt idx="5">
                  <c:v>43122</c:v>
                </c:pt>
                <c:pt idx="6">
                  <c:v>43124</c:v>
                </c:pt>
                <c:pt idx="7">
                  <c:v>43126</c:v>
                </c:pt>
                <c:pt idx="8">
                  <c:v>43129</c:v>
                </c:pt>
                <c:pt idx="9">
                  <c:v>43132</c:v>
                </c:pt>
                <c:pt idx="10">
                  <c:v>43136</c:v>
                </c:pt>
                <c:pt idx="11">
                  <c:v>43139</c:v>
                </c:pt>
                <c:pt idx="12">
                  <c:v>43140</c:v>
                </c:pt>
                <c:pt idx="13">
                  <c:v>43143</c:v>
                </c:pt>
                <c:pt idx="14">
                  <c:v>43145</c:v>
                </c:pt>
                <c:pt idx="15">
                  <c:v>43146</c:v>
                </c:pt>
                <c:pt idx="16">
                  <c:v>43150</c:v>
                </c:pt>
                <c:pt idx="17">
                  <c:v>43153</c:v>
                </c:pt>
                <c:pt idx="18">
                  <c:v>43157</c:v>
                </c:pt>
                <c:pt idx="19">
                  <c:v>43159</c:v>
                </c:pt>
                <c:pt idx="20">
                  <c:v>43161</c:v>
                </c:pt>
                <c:pt idx="21">
                  <c:v>43164</c:v>
                </c:pt>
                <c:pt idx="22">
                  <c:v>43166</c:v>
                </c:pt>
                <c:pt idx="23">
                  <c:v>43168</c:v>
                </c:pt>
                <c:pt idx="24">
                  <c:v>43171</c:v>
                </c:pt>
                <c:pt idx="25">
                  <c:v>43173</c:v>
                </c:pt>
                <c:pt idx="26">
                  <c:v>43175</c:v>
                </c:pt>
                <c:pt idx="27">
                  <c:v>43178</c:v>
                </c:pt>
                <c:pt idx="28">
                  <c:v>43180</c:v>
                </c:pt>
                <c:pt idx="29">
                  <c:v>43182</c:v>
                </c:pt>
                <c:pt idx="30">
                  <c:v>43185</c:v>
                </c:pt>
                <c:pt idx="31">
                  <c:v>43187</c:v>
                </c:pt>
                <c:pt idx="32">
                  <c:v>43188</c:v>
                </c:pt>
                <c:pt idx="33">
                  <c:v>43192</c:v>
                </c:pt>
                <c:pt idx="34">
                  <c:v>43194</c:v>
                </c:pt>
                <c:pt idx="35">
                  <c:v>43196</c:v>
                </c:pt>
                <c:pt idx="36">
                  <c:v>43199</c:v>
                </c:pt>
                <c:pt idx="37">
                  <c:v>43201</c:v>
                </c:pt>
                <c:pt idx="38">
                  <c:v>43202</c:v>
                </c:pt>
                <c:pt idx="39">
                  <c:v>43206</c:v>
                </c:pt>
                <c:pt idx="40">
                  <c:v>43208</c:v>
                </c:pt>
                <c:pt idx="41">
                  <c:v>43209</c:v>
                </c:pt>
                <c:pt idx="42">
                  <c:v>43213</c:v>
                </c:pt>
                <c:pt idx="43">
                  <c:v>43215</c:v>
                </c:pt>
                <c:pt idx="44">
                  <c:v>43217</c:v>
                </c:pt>
                <c:pt idx="45">
                  <c:v>43220</c:v>
                </c:pt>
                <c:pt idx="46">
                  <c:v>43222</c:v>
                </c:pt>
                <c:pt idx="47">
                  <c:v>43223</c:v>
                </c:pt>
                <c:pt idx="48">
                  <c:v>43227</c:v>
                </c:pt>
                <c:pt idx="49">
                  <c:v>43229</c:v>
                </c:pt>
                <c:pt idx="50">
                  <c:v>43231</c:v>
                </c:pt>
                <c:pt idx="51">
                  <c:v>43234</c:v>
                </c:pt>
                <c:pt idx="52">
                  <c:v>43236</c:v>
                </c:pt>
                <c:pt idx="53">
                  <c:v>43237</c:v>
                </c:pt>
                <c:pt idx="54">
                  <c:v>43241</c:v>
                </c:pt>
                <c:pt idx="55">
                  <c:v>43243</c:v>
                </c:pt>
                <c:pt idx="56">
                  <c:v>43245</c:v>
                </c:pt>
                <c:pt idx="57">
                  <c:v>43249</c:v>
                </c:pt>
                <c:pt idx="58">
                  <c:v>43250</c:v>
                </c:pt>
                <c:pt idx="59">
                  <c:v>43251</c:v>
                </c:pt>
                <c:pt idx="60">
                  <c:v>43255</c:v>
                </c:pt>
                <c:pt idx="61">
                  <c:v>43257</c:v>
                </c:pt>
                <c:pt idx="62">
                  <c:v>43258</c:v>
                </c:pt>
                <c:pt idx="63">
                  <c:v>43262</c:v>
                </c:pt>
                <c:pt idx="64">
                  <c:v>43264</c:v>
                </c:pt>
                <c:pt idx="65">
                  <c:v>43265</c:v>
                </c:pt>
                <c:pt idx="66">
                  <c:v>43269</c:v>
                </c:pt>
                <c:pt idx="67">
                  <c:v>43271</c:v>
                </c:pt>
                <c:pt idx="68">
                  <c:v>43273</c:v>
                </c:pt>
                <c:pt idx="69">
                  <c:v>43276</c:v>
                </c:pt>
                <c:pt idx="70">
                  <c:v>43278</c:v>
                </c:pt>
                <c:pt idx="71">
                  <c:v>43279</c:v>
                </c:pt>
                <c:pt idx="72">
                  <c:v>43280</c:v>
                </c:pt>
                <c:pt idx="73">
                  <c:v>43283</c:v>
                </c:pt>
                <c:pt idx="74">
                  <c:v>43286</c:v>
                </c:pt>
                <c:pt idx="75">
                  <c:v>43290</c:v>
                </c:pt>
                <c:pt idx="76">
                  <c:v>43292</c:v>
                </c:pt>
                <c:pt idx="77">
                  <c:v>43293</c:v>
                </c:pt>
                <c:pt idx="78">
                  <c:v>43304</c:v>
                </c:pt>
                <c:pt idx="79">
                  <c:v>43306</c:v>
                </c:pt>
                <c:pt idx="80">
                  <c:v>43308</c:v>
                </c:pt>
              </c:numCache>
            </c:numRef>
          </c:cat>
          <c:val>
            <c:numRef>
              <c:f>'Machine history'!$AV$2:$AV$82</c:f>
              <c:numCache>
                <c:formatCode>General</c:formatCode>
                <c:ptCount val="81"/>
                <c:pt idx="0">
                  <c:v>13</c:v>
                </c:pt>
                <c:pt idx="1">
                  <c:v>10</c:v>
                </c:pt>
                <c:pt idx="2">
                  <c:v>74</c:v>
                </c:pt>
                <c:pt idx="3">
                  <c:v>67</c:v>
                </c:pt>
                <c:pt idx="4">
                  <c:v>60</c:v>
                </c:pt>
                <c:pt idx="5">
                  <c:v>51</c:v>
                </c:pt>
                <c:pt idx="6">
                  <c:v>45</c:v>
                </c:pt>
                <c:pt idx="7">
                  <c:v>39</c:v>
                </c:pt>
                <c:pt idx="8">
                  <c:v>29</c:v>
                </c:pt>
                <c:pt idx="9">
                  <c:v>19</c:v>
                </c:pt>
                <c:pt idx="10">
                  <c:v>91</c:v>
                </c:pt>
                <c:pt idx="11">
                  <c:v>51</c:v>
                </c:pt>
                <c:pt idx="12">
                  <c:v>48</c:v>
                </c:pt>
                <c:pt idx="13">
                  <c:v>25</c:v>
                </c:pt>
                <c:pt idx="14">
                  <c:v>96</c:v>
                </c:pt>
                <c:pt idx="15">
                  <c:v>93</c:v>
                </c:pt>
                <c:pt idx="16">
                  <c:v>78</c:v>
                </c:pt>
                <c:pt idx="17">
                  <c:v>68</c:v>
                </c:pt>
                <c:pt idx="18">
                  <c:v>54</c:v>
                </c:pt>
                <c:pt idx="19">
                  <c:v>47</c:v>
                </c:pt>
                <c:pt idx="20">
                  <c:v>41</c:v>
                </c:pt>
                <c:pt idx="21">
                  <c:v>32</c:v>
                </c:pt>
                <c:pt idx="22">
                  <c:v>26</c:v>
                </c:pt>
                <c:pt idx="23">
                  <c:v>4</c:v>
                </c:pt>
                <c:pt idx="24">
                  <c:v>94</c:v>
                </c:pt>
                <c:pt idx="25">
                  <c:v>88</c:v>
                </c:pt>
                <c:pt idx="26">
                  <c:v>81</c:v>
                </c:pt>
                <c:pt idx="27">
                  <c:v>72</c:v>
                </c:pt>
                <c:pt idx="28">
                  <c:v>61</c:v>
                </c:pt>
                <c:pt idx="29">
                  <c:v>55</c:v>
                </c:pt>
                <c:pt idx="30">
                  <c:v>46</c:v>
                </c:pt>
                <c:pt idx="31">
                  <c:v>40</c:v>
                </c:pt>
                <c:pt idx="32">
                  <c:v>36</c:v>
                </c:pt>
                <c:pt idx="33">
                  <c:v>23</c:v>
                </c:pt>
                <c:pt idx="34">
                  <c:v>16</c:v>
                </c:pt>
                <c:pt idx="35">
                  <c:v>9</c:v>
                </c:pt>
                <c:pt idx="36">
                  <c:v>97</c:v>
                </c:pt>
                <c:pt idx="37">
                  <c:v>90</c:v>
                </c:pt>
                <c:pt idx="38">
                  <c:v>87</c:v>
                </c:pt>
                <c:pt idx="39">
                  <c:v>74</c:v>
                </c:pt>
                <c:pt idx="40">
                  <c:v>68</c:v>
                </c:pt>
                <c:pt idx="41">
                  <c:v>63</c:v>
                </c:pt>
                <c:pt idx="42">
                  <c:v>50</c:v>
                </c:pt>
                <c:pt idx="43">
                  <c:v>44</c:v>
                </c:pt>
                <c:pt idx="44">
                  <c:v>37</c:v>
                </c:pt>
                <c:pt idx="45">
                  <c:v>28</c:v>
                </c:pt>
                <c:pt idx="46">
                  <c:v>22</c:v>
                </c:pt>
                <c:pt idx="47">
                  <c:v>19</c:v>
                </c:pt>
                <c:pt idx="48">
                  <c:v>5</c:v>
                </c:pt>
                <c:pt idx="49">
                  <c:v>91</c:v>
                </c:pt>
                <c:pt idx="50">
                  <c:v>84</c:v>
                </c:pt>
                <c:pt idx="51">
                  <c:v>75</c:v>
                </c:pt>
                <c:pt idx="52">
                  <c:v>66</c:v>
                </c:pt>
                <c:pt idx="53">
                  <c:v>63</c:v>
                </c:pt>
                <c:pt idx="54">
                  <c:v>47</c:v>
                </c:pt>
                <c:pt idx="55">
                  <c:v>34</c:v>
                </c:pt>
                <c:pt idx="56">
                  <c:v>26</c:v>
                </c:pt>
                <c:pt idx="57">
                  <c:v>13</c:v>
                </c:pt>
                <c:pt idx="58">
                  <c:v>9</c:v>
                </c:pt>
                <c:pt idx="59">
                  <c:v>5</c:v>
                </c:pt>
                <c:pt idx="60">
                  <c:v>73</c:v>
                </c:pt>
                <c:pt idx="61">
                  <c:v>66</c:v>
                </c:pt>
                <c:pt idx="62">
                  <c:v>62</c:v>
                </c:pt>
                <c:pt idx="63">
                  <c:v>50</c:v>
                </c:pt>
                <c:pt idx="64">
                  <c:v>44</c:v>
                </c:pt>
                <c:pt idx="65">
                  <c:v>40</c:v>
                </c:pt>
                <c:pt idx="66">
                  <c:v>27</c:v>
                </c:pt>
                <c:pt idx="67">
                  <c:v>16</c:v>
                </c:pt>
                <c:pt idx="68">
                  <c:v>10</c:v>
                </c:pt>
                <c:pt idx="69">
                  <c:v>95</c:v>
                </c:pt>
                <c:pt idx="70">
                  <c:v>87</c:v>
                </c:pt>
                <c:pt idx="71">
                  <c:v>83</c:v>
                </c:pt>
                <c:pt idx="72">
                  <c:v>80</c:v>
                </c:pt>
                <c:pt idx="73">
                  <c:v>71</c:v>
                </c:pt>
                <c:pt idx="74">
                  <c:v>61</c:v>
                </c:pt>
                <c:pt idx="75">
                  <c:v>49</c:v>
                </c:pt>
                <c:pt idx="76">
                  <c:v>42</c:v>
                </c:pt>
                <c:pt idx="77">
                  <c:v>39</c:v>
                </c:pt>
                <c:pt idx="78">
                  <c:v>97</c:v>
                </c:pt>
                <c:pt idx="79">
                  <c:v>91</c:v>
                </c:pt>
                <c:pt idx="80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55-46E1-ADC1-2EB418694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176144"/>
        <c:axId val="845177128"/>
      </c:lineChart>
      <c:dateAx>
        <c:axId val="845176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45177128"/>
        <c:crosses val="autoZero"/>
        <c:auto val="1"/>
        <c:lblOffset val="100"/>
        <c:baseTimeUnit val="days"/>
      </c:dateAx>
      <c:valAx>
        <c:axId val="845177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51761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AlbG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0.02608696</c:v>
          </c:tx>
          <c:marker>
            <c:symbol val="none"/>
          </c:marker>
          <c:trendline>
            <c:name>0 Date: 8/8/2021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history'!$B$2:$B$156</c:f>
              <c:numCache>
                <c:formatCode>General</c:formatCode>
                <c:ptCount val="155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  <c:pt idx="90">
                  <c:v>13</c:v>
                </c:pt>
                <c:pt idx="91">
                  <c:v>13</c:v>
                </c:pt>
                <c:pt idx="92">
                  <c:v>13</c:v>
                </c:pt>
                <c:pt idx="93">
                  <c:v>13</c:v>
                </c:pt>
                <c:pt idx="94">
                  <c:v>13</c:v>
                </c:pt>
                <c:pt idx="95">
                  <c:v>33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33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31</c:v>
                </c:pt>
                <c:pt idx="119">
                  <c:v>31</c:v>
                </c:pt>
                <c:pt idx="120">
                  <c:v>31</c:v>
                </c:pt>
                <c:pt idx="121">
                  <c:v>31</c:v>
                </c:pt>
                <c:pt idx="122">
                  <c:v>31</c:v>
                </c:pt>
                <c:pt idx="123">
                  <c:v>31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31</c:v>
                </c:pt>
                <c:pt idx="128">
                  <c:v>31</c:v>
                </c:pt>
                <c:pt idx="129">
                  <c:v>31</c:v>
                </c:pt>
                <c:pt idx="130">
                  <c:v>31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</c:v>
                </c:pt>
                <c:pt idx="135">
                  <c:v>30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30</c:v>
                </c:pt>
                <c:pt idx="142">
                  <c:v>30</c:v>
                </c:pt>
                <c:pt idx="143">
                  <c:v>30</c:v>
                </c:pt>
                <c:pt idx="144">
                  <c:v>30</c:v>
                </c:pt>
                <c:pt idx="145">
                  <c:v>30</c:v>
                </c:pt>
                <c:pt idx="146">
                  <c:v>30</c:v>
                </c:pt>
                <c:pt idx="147">
                  <c:v>30</c:v>
                </c:pt>
                <c:pt idx="148">
                  <c:v>30</c:v>
                </c:pt>
                <c:pt idx="149">
                  <c:v>30</c:v>
                </c:pt>
                <c:pt idx="150">
                  <c:v>30</c:v>
                </c:pt>
                <c:pt idx="151">
                  <c:v>29</c:v>
                </c:pt>
                <c:pt idx="152">
                  <c:v>29</c:v>
                </c:pt>
                <c:pt idx="153">
                  <c:v>29</c:v>
                </c:pt>
                <c:pt idx="15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F2-4235-87DE-A76330C45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8691856"/>
        <c:axId val="718696776"/>
      </c:lineChart>
      <c:dateAx>
        <c:axId val="718691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8696776"/>
        <c:crosses val="autoZero"/>
        <c:auto val="1"/>
        <c:lblOffset val="100"/>
        <c:baseTimeUnit val="days"/>
      </c:dateAx>
      <c:valAx>
        <c:axId val="718696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8691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Crea 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0.2521739</c:v>
          </c:tx>
          <c:marker>
            <c:symbol val="none"/>
          </c:marker>
          <c:trendline>
            <c:name>0 Date: 8/24/2018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history'!$C$2:$C$156</c:f>
              <c:numCache>
                <c:formatCode>General</c:formatCode>
                <c:ptCount val="15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19</c:v>
                </c:pt>
                <c:pt idx="9">
                  <c:v>18</c:v>
                </c:pt>
                <c:pt idx="10">
                  <c:v>18</c:v>
                </c:pt>
                <c:pt idx="11">
                  <c:v>17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8</c:v>
                </c:pt>
                <c:pt idx="37">
                  <c:v>8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3</c:v>
                </c:pt>
                <c:pt idx="49">
                  <c:v>23</c:v>
                </c:pt>
                <c:pt idx="50">
                  <c:v>22</c:v>
                </c:pt>
                <c:pt idx="51">
                  <c:v>22</c:v>
                </c:pt>
                <c:pt idx="52">
                  <c:v>21</c:v>
                </c:pt>
                <c:pt idx="53">
                  <c:v>21</c:v>
                </c:pt>
                <c:pt idx="54">
                  <c:v>20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17</c:v>
                </c:pt>
                <c:pt idx="59">
                  <c:v>17</c:v>
                </c:pt>
                <c:pt idx="60">
                  <c:v>16</c:v>
                </c:pt>
                <c:pt idx="61">
                  <c:v>16</c:v>
                </c:pt>
                <c:pt idx="62">
                  <c:v>15</c:v>
                </c:pt>
                <c:pt idx="63">
                  <c:v>15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11</c:v>
                </c:pt>
                <c:pt idx="69">
                  <c:v>11</c:v>
                </c:pt>
                <c:pt idx="70">
                  <c:v>10</c:v>
                </c:pt>
                <c:pt idx="71">
                  <c:v>9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5</c:v>
                </c:pt>
                <c:pt idx="79">
                  <c:v>5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2</c:v>
                </c:pt>
                <c:pt idx="84">
                  <c:v>1</c:v>
                </c:pt>
                <c:pt idx="85">
                  <c:v>11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8</c:v>
                </c:pt>
                <c:pt idx="90">
                  <c:v>7</c:v>
                </c:pt>
                <c:pt idx="91">
                  <c:v>6</c:v>
                </c:pt>
                <c:pt idx="92">
                  <c:v>6</c:v>
                </c:pt>
                <c:pt idx="93">
                  <c:v>5</c:v>
                </c:pt>
                <c:pt idx="94">
                  <c:v>5</c:v>
                </c:pt>
                <c:pt idx="95">
                  <c:v>4</c:v>
                </c:pt>
                <c:pt idx="96">
                  <c:v>14</c:v>
                </c:pt>
                <c:pt idx="97">
                  <c:v>13</c:v>
                </c:pt>
                <c:pt idx="98">
                  <c:v>13</c:v>
                </c:pt>
                <c:pt idx="99">
                  <c:v>12</c:v>
                </c:pt>
                <c:pt idx="100">
                  <c:v>11</c:v>
                </c:pt>
                <c:pt idx="101">
                  <c:v>11</c:v>
                </c:pt>
                <c:pt idx="102">
                  <c:v>10</c:v>
                </c:pt>
                <c:pt idx="103">
                  <c:v>10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7</c:v>
                </c:pt>
                <c:pt idx="108">
                  <c:v>7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1</c:v>
                </c:pt>
                <c:pt idx="113">
                  <c:v>11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7</c:v>
                </c:pt>
                <c:pt idx="121">
                  <c:v>6</c:v>
                </c:pt>
                <c:pt idx="122">
                  <c:v>6</c:v>
                </c:pt>
                <c:pt idx="123">
                  <c:v>5</c:v>
                </c:pt>
                <c:pt idx="124">
                  <c:v>5</c:v>
                </c:pt>
                <c:pt idx="125">
                  <c:v>4</c:v>
                </c:pt>
                <c:pt idx="126">
                  <c:v>4</c:v>
                </c:pt>
                <c:pt idx="127">
                  <c:v>3</c:v>
                </c:pt>
                <c:pt idx="128">
                  <c:v>10</c:v>
                </c:pt>
                <c:pt idx="129">
                  <c:v>9</c:v>
                </c:pt>
                <c:pt idx="130">
                  <c:v>9</c:v>
                </c:pt>
                <c:pt idx="131">
                  <c:v>8</c:v>
                </c:pt>
                <c:pt idx="132">
                  <c:v>7</c:v>
                </c:pt>
                <c:pt idx="133">
                  <c:v>7</c:v>
                </c:pt>
                <c:pt idx="134">
                  <c:v>6</c:v>
                </c:pt>
                <c:pt idx="135">
                  <c:v>5</c:v>
                </c:pt>
                <c:pt idx="136">
                  <c:v>4</c:v>
                </c:pt>
                <c:pt idx="137">
                  <c:v>9</c:v>
                </c:pt>
                <c:pt idx="138">
                  <c:v>8</c:v>
                </c:pt>
                <c:pt idx="139">
                  <c:v>8</c:v>
                </c:pt>
                <c:pt idx="140">
                  <c:v>7</c:v>
                </c:pt>
                <c:pt idx="141">
                  <c:v>17</c:v>
                </c:pt>
                <c:pt idx="142">
                  <c:v>17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14</c:v>
                </c:pt>
                <c:pt idx="147">
                  <c:v>14</c:v>
                </c:pt>
                <c:pt idx="148">
                  <c:v>13</c:v>
                </c:pt>
                <c:pt idx="149">
                  <c:v>12</c:v>
                </c:pt>
                <c:pt idx="150">
                  <c:v>12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F-4CF1-B586-DBAD18CB5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649464"/>
        <c:axId val="243650120"/>
      </c:lineChart>
      <c:dateAx>
        <c:axId val="243649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3650120"/>
        <c:crosses val="autoZero"/>
        <c:auto val="1"/>
        <c:lblOffset val="100"/>
        <c:baseTimeUnit val="days"/>
      </c:dateAx>
      <c:valAx>
        <c:axId val="243650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36494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CaC (11440/10)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0.06666667</c:v>
          </c:tx>
          <c:marker>
            <c:symbol val="none"/>
          </c:marker>
          <c:trendline>
            <c:name>0 Date: 12/5/2018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history'!$D$2:$D$156</c:f>
              <c:numCache>
                <c:formatCode>General</c:formatCode>
                <c:ptCount val="155"/>
                <c:pt idx="0">
                  <c:v>13</c:v>
                </c:pt>
                <c:pt idx="1">
                  <c:v>13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11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11</c:v>
                </c:pt>
                <c:pt idx="145">
                  <c:v>11</c:v>
                </c:pt>
                <c:pt idx="146">
                  <c:v>11</c:v>
                </c:pt>
                <c:pt idx="147">
                  <c:v>11</c:v>
                </c:pt>
                <c:pt idx="148">
                  <c:v>11</c:v>
                </c:pt>
                <c:pt idx="149">
                  <c:v>10</c:v>
                </c:pt>
                <c:pt idx="150">
                  <c:v>10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B8-4F68-916E-D7D918697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648152"/>
        <c:axId val="243648808"/>
      </c:lineChart>
      <c:dateAx>
        <c:axId val="243648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3648808"/>
        <c:crosses val="autoZero"/>
        <c:auto val="1"/>
        <c:lblOffset val="100"/>
        <c:baseTimeUnit val="days"/>
      </c:dateAx>
      <c:valAx>
        <c:axId val="243648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36481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0.06666667</c:v>
          </c:tx>
          <c:marker>
            <c:symbol val="none"/>
          </c:marker>
          <c:trendline>
            <c:name>0 Date: 8/26/2018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history'!$E$2:$E$156</c:f>
              <c:numCache>
                <c:formatCode>General</c:formatCode>
                <c:ptCount val="155"/>
                <c:pt idx="0">
                  <c:v>15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9-4265-9CCC-120B5324D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648808"/>
        <c:axId val="243650120"/>
      </c:lineChart>
      <c:dateAx>
        <c:axId val="24364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3650120"/>
        <c:crosses val="autoZero"/>
        <c:auto val="1"/>
        <c:lblOffset val="100"/>
        <c:baseTimeUnit val="days"/>
      </c:dateAx>
      <c:valAx>
        <c:axId val="243650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3648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ICTD5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0.04927536</c:v>
          </c:tx>
          <c:marker>
            <c:symbol val="none"/>
          </c:marker>
          <c:trendline>
            <c:name>0 Date: 7/9/2019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history'!$F$2:$F$156</c:f>
              <c:numCache>
                <c:formatCode>General</c:formatCode>
                <c:ptCount val="15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14</c:v>
                </c:pt>
                <c:pt idx="5">
                  <c:v>34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  <c:pt idx="12">
                  <c:v>34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  <c:pt idx="31">
                  <c:v>33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31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31</c:v>
                </c:pt>
                <c:pt idx="51">
                  <c:v>31</c:v>
                </c:pt>
                <c:pt idx="52">
                  <c:v>31</c:v>
                </c:pt>
                <c:pt idx="53">
                  <c:v>31</c:v>
                </c:pt>
                <c:pt idx="54">
                  <c:v>29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  <c:pt idx="68">
                  <c:v>27</c:v>
                </c:pt>
                <c:pt idx="69">
                  <c:v>27</c:v>
                </c:pt>
                <c:pt idx="70">
                  <c:v>27</c:v>
                </c:pt>
                <c:pt idx="71">
                  <c:v>27</c:v>
                </c:pt>
                <c:pt idx="72">
                  <c:v>27</c:v>
                </c:pt>
                <c:pt idx="73">
                  <c:v>27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26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24</c:v>
                </c:pt>
                <c:pt idx="93">
                  <c:v>24</c:v>
                </c:pt>
                <c:pt idx="94">
                  <c:v>24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23</c:v>
                </c:pt>
                <c:pt idx="103">
                  <c:v>23</c:v>
                </c:pt>
                <c:pt idx="104">
                  <c:v>23</c:v>
                </c:pt>
                <c:pt idx="105">
                  <c:v>23</c:v>
                </c:pt>
                <c:pt idx="106">
                  <c:v>23</c:v>
                </c:pt>
                <c:pt idx="107">
                  <c:v>23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21</c:v>
                </c:pt>
                <c:pt idx="139">
                  <c:v>21</c:v>
                </c:pt>
                <c:pt idx="140">
                  <c:v>21</c:v>
                </c:pt>
                <c:pt idx="141">
                  <c:v>21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18</c:v>
                </c:pt>
                <c:pt idx="149">
                  <c:v>18</c:v>
                </c:pt>
                <c:pt idx="150">
                  <c:v>18</c:v>
                </c:pt>
                <c:pt idx="151">
                  <c:v>18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2B-45EB-87F1-0F3739708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007048"/>
        <c:axId val="758000488"/>
      </c:lineChart>
      <c:dateAx>
        <c:axId val="758007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8000488"/>
        <c:crosses val="autoZero"/>
        <c:auto val="1"/>
        <c:lblOffset val="100"/>
        <c:baseTimeUnit val="days"/>
      </c:dateAx>
      <c:valAx>
        <c:axId val="758000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007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0.04637681</c:v>
          </c:tx>
          <c:marker>
            <c:symbol val="none"/>
          </c:marker>
          <c:trendline>
            <c:name>0 Date: 8/23/2019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history'!$G$2:$G$156</c:f>
              <c:numCache>
                <c:formatCode>General</c:formatCode>
                <c:ptCount val="15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24</c:v>
                </c:pt>
                <c:pt idx="107">
                  <c:v>24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</c:v>
                </c:pt>
                <c:pt idx="115">
                  <c:v>23</c:v>
                </c:pt>
                <c:pt idx="116">
                  <c:v>23</c:v>
                </c:pt>
                <c:pt idx="117">
                  <c:v>23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9-4B06-B845-B0AE2ACE2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013936"/>
        <c:axId val="696018528"/>
      </c:lineChart>
      <c:dateAx>
        <c:axId val="69601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6018528"/>
        <c:crosses val="autoZero"/>
        <c:auto val="1"/>
        <c:lblOffset val="100"/>
        <c:baseTimeUnit val="days"/>
      </c:dateAx>
      <c:valAx>
        <c:axId val="696018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60139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Clean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0.06956521</c:v>
          </c:tx>
          <c:marker>
            <c:symbol val="none"/>
          </c:marker>
          <c:trendline>
            <c:name>0 Date: 3/25/2019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history'!$H$2:$H$156</c:f>
              <c:numCache>
                <c:formatCode>General</c:formatCode>
                <c:ptCount val="155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31</c:v>
                </c:pt>
                <c:pt idx="30">
                  <c:v>31</c:v>
                </c:pt>
                <c:pt idx="31">
                  <c:v>31</c:v>
                </c:pt>
                <c:pt idx="32">
                  <c:v>31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24</c:v>
                </c:pt>
                <c:pt idx="56">
                  <c:v>24</c:v>
                </c:pt>
                <c:pt idx="57">
                  <c:v>24</c:v>
                </c:pt>
                <c:pt idx="58">
                  <c:v>24</c:v>
                </c:pt>
                <c:pt idx="59">
                  <c:v>24</c:v>
                </c:pt>
                <c:pt idx="60">
                  <c:v>24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23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15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14</c:v>
                </c:pt>
                <c:pt idx="112">
                  <c:v>13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13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9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9</c:v>
                </c:pt>
                <c:pt idx="147">
                  <c:v>9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7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5-403A-8FA5-10E8F965C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018528"/>
        <c:axId val="696012952"/>
      </c:lineChart>
      <c:dateAx>
        <c:axId val="696018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6012952"/>
        <c:crosses val="autoZero"/>
        <c:auto val="1"/>
        <c:lblOffset val="100"/>
        <c:baseTimeUnit val="days"/>
      </c:dateAx>
      <c:valAx>
        <c:axId val="696012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60185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ConcWash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0.1014493</c:v>
          </c:tx>
          <c:marker>
            <c:symbol val="none"/>
          </c:marker>
          <c:trendline>
            <c:name>0 Date: 9/10/2018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history'!$I$2:$I$156</c:f>
              <c:numCache>
                <c:formatCode>General</c:formatCode>
                <c:ptCount val="15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3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17</c:v>
                </c:pt>
                <c:pt idx="54">
                  <c:v>17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11</c:v>
                </c:pt>
                <c:pt idx="81">
                  <c:v>11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8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2</c:v>
                </c:pt>
                <c:pt idx="107">
                  <c:v>2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</c:v>
                </c:pt>
                <c:pt idx="138">
                  <c:v>9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7</c:v>
                </c:pt>
                <c:pt idx="147">
                  <c:v>7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54-45CC-A676-8E5CBCFB7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525824"/>
        <c:axId val="696013280"/>
      </c:lineChart>
      <c:dateAx>
        <c:axId val="701525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6013280"/>
        <c:crosses val="autoZero"/>
        <c:auto val="1"/>
        <c:lblOffset val="100"/>
        <c:baseTimeUnit val="days"/>
      </c:dateAx>
      <c:valAx>
        <c:axId val="696013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15258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TrigSoln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0.08405797</c:v>
          </c:tx>
          <c:marker>
            <c:symbol val="none"/>
          </c:marker>
          <c:trendline>
            <c:name>0 Date: 10/14/2018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history'!$J$2:$J$156</c:f>
              <c:numCache>
                <c:formatCode>General</c:formatCode>
                <c:ptCount val="15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4</c:v>
                </c:pt>
                <c:pt idx="89">
                  <c:v>4</c:v>
                </c:pt>
                <c:pt idx="90">
                  <c:v>8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3</c:v>
                </c:pt>
                <c:pt idx="112">
                  <c:v>3</c:v>
                </c:pt>
                <c:pt idx="113">
                  <c:v>7</c:v>
                </c:pt>
                <c:pt idx="114">
                  <c:v>7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9</c:v>
                </c:pt>
                <c:pt idx="142">
                  <c:v>9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9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AF-445C-AA38-BD686B8D3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1525168"/>
        <c:axId val="701525496"/>
      </c:lineChart>
      <c:dateAx>
        <c:axId val="701525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01525496"/>
        <c:crosses val="autoZero"/>
        <c:auto val="1"/>
        <c:lblOffset val="100"/>
        <c:baseTimeUnit val="days"/>
      </c:dateAx>
      <c:valAx>
        <c:axId val="701525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1525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0.04927536</c:v>
          </c:tx>
          <c:marker>
            <c:symbol val="none"/>
          </c:marker>
          <c:trendline>
            <c:name>0 Date: 10/18/2018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history'!$K$2:$K$156</c:f>
              <c:numCache>
                <c:formatCode>General</c:formatCode>
                <c:ptCount val="15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F-4D37-B71D-AD90F2CC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5972568"/>
        <c:axId val="695977816"/>
      </c:lineChart>
      <c:dateAx>
        <c:axId val="695972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5977816"/>
        <c:crosses val="autoZero"/>
        <c:auto val="1"/>
        <c:lblOffset val="100"/>
        <c:baseTimeUnit val="days"/>
      </c:dateAx>
      <c:valAx>
        <c:axId val="695977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5972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WBA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0.01449275</c:v>
          </c:tx>
          <c:marker>
            <c:symbol val="none"/>
          </c:marker>
          <c:trendline>
            <c:name>0 Date: 7/11/2019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history'!$L$2:$L$156</c:f>
              <c:numCache>
                <c:formatCode>General</c:formatCode>
                <c:ptCount val="15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D-4D42-9527-D246D8C37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5975192"/>
        <c:axId val="695975520"/>
      </c:lineChart>
      <c:dateAx>
        <c:axId val="695975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5975520"/>
        <c:crosses val="autoZero"/>
        <c:auto val="1"/>
        <c:lblOffset val="100"/>
        <c:baseTimeUnit val="days"/>
      </c:dateAx>
      <c:valAx>
        <c:axId val="695975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59751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B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0.0115942</c:v>
          </c:tx>
          <c:marker>
            <c:symbol val="none"/>
          </c:marker>
          <c:trendline>
            <c:name>0 Date: 7/21/2019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history'!$M$2:$M$156</c:f>
              <c:numCache>
                <c:formatCode>General</c:formatCode>
                <c:ptCount val="155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BE-44EE-A03F-FE42A4F6C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276240"/>
        <c:axId val="382276568"/>
      </c:lineChart>
      <c:dateAx>
        <c:axId val="382276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2276568"/>
        <c:crosses val="autoZero"/>
        <c:auto val="1"/>
        <c:lblOffset val="100"/>
        <c:baseTimeUnit val="days"/>
      </c:dateAx>
      <c:valAx>
        <c:axId val="382276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2762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0.05217391</c:v>
          </c:tx>
          <c:marker>
            <c:symbol val="none"/>
          </c:marker>
          <c:trendline>
            <c:name>0 Date: 10/27/2018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history'!$N$2:$N$156</c:f>
              <c:numCache>
                <c:formatCode>General</c:formatCode>
                <c:ptCount val="155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8</c:v>
                </c:pt>
                <c:pt idx="54">
                  <c:v>8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6-49DA-BB05-0F1725893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263448"/>
        <c:axId val="382268368"/>
      </c:lineChart>
      <c:dateAx>
        <c:axId val="382263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2268368"/>
        <c:crosses val="autoZero"/>
        <c:auto val="1"/>
        <c:lblOffset val="100"/>
        <c:baseTimeUnit val="days"/>
      </c:dateAx>
      <c:valAx>
        <c:axId val="3822683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2634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0.04154303</c:v>
          </c:tx>
          <c:marker>
            <c:symbol val="none"/>
          </c:marker>
          <c:trendline>
            <c:name>0 Date: 9/14/2018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history'!$O$2:$O$156</c:f>
              <c:numCache>
                <c:formatCode>General</c:formatCode>
                <c:ptCount val="15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4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EB-46BB-8D60-F64317463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265088"/>
        <c:axId val="382270664"/>
      </c:lineChart>
      <c:dateAx>
        <c:axId val="382265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2270664"/>
        <c:crosses val="autoZero"/>
        <c:auto val="1"/>
        <c:lblOffset val="100"/>
        <c:baseTimeUnit val="days"/>
      </c:dateAx>
      <c:valAx>
        <c:axId val="382270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2650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0.05341246</c:v>
          </c:tx>
          <c:marker>
            <c:symbol val="none"/>
          </c:marker>
          <c:trendline>
            <c:name>0 Date: 9/18/2018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history'!$P$2:$P$156</c:f>
              <c:numCache>
                <c:formatCode>General</c:formatCode>
                <c:ptCount val="1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5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5E-4571-ACB4-324F989A2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272632"/>
        <c:axId val="382272960"/>
      </c:lineChart>
      <c:dateAx>
        <c:axId val="382272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2272960"/>
        <c:crosses val="autoZero"/>
        <c:auto val="1"/>
        <c:lblOffset val="100"/>
        <c:baseTimeUnit val="days"/>
      </c:dateAx>
      <c:valAx>
        <c:axId val="382272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22726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0.115942</c:v>
          </c:tx>
          <c:marker>
            <c:symbol val="none"/>
          </c:marker>
          <c:trendline>
            <c:name>0 Date: 8/22/2018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history'!$Q$2:$Q$156</c:f>
              <c:numCache>
                <c:formatCode>General</c:formatCode>
                <c:ptCount val="1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3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8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10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2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3</c:v>
                </c:pt>
                <c:pt idx="133">
                  <c:v>9</c:v>
                </c:pt>
                <c:pt idx="134">
                  <c:v>9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8E-47EE-A448-992405263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006392"/>
        <c:axId val="792007376"/>
      </c:lineChart>
      <c:dateAx>
        <c:axId val="792006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007376"/>
        <c:crosses val="autoZero"/>
        <c:auto val="1"/>
        <c:lblOffset val="100"/>
        <c:baseTimeUnit val="days"/>
      </c:dateAx>
      <c:valAx>
        <c:axId val="792007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006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0.1390533</c:v>
          </c:tx>
          <c:marker>
            <c:symbol val="none"/>
          </c:marker>
          <c:trendline>
            <c:name>0 Date: 9/23/2018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history'!$R$2:$R$156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11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7</c:v>
                </c:pt>
                <c:pt idx="71">
                  <c:v>7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5</c:v>
                </c:pt>
                <c:pt idx="76">
                  <c:v>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13</c:v>
                </c:pt>
                <c:pt idx="82">
                  <c:v>13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10</c:v>
                </c:pt>
                <c:pt idx="90">
                  <c:v>10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11</c:v>
                </c:pt>
                <c:pt idx="116">
                  <c:v>11</c:v>
                </c:pt>
                <c:pt idx="117">
                  <c:v>11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4</c:v>
                </c:pt>
                <c:pt idx="139">
                  <c:v>4</c:v>
                </c:pt>
                <c:pt idx="140">
                  <c:v>3</c:v>
                </c:pt>
                <c:pt idx="141">
                  <c:v>13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13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B-4C7A-ADEC-6B033C70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010000"/>
        <c:axId val="792010328"/>
      </c:lineChart>
      <c:dateAx>
        <c:axId val="79201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010328"/>
        <c:crosses val="autoZero"/>
        <c:auto val="1"/>
        <c:lblOffset val="100"/>
        <c:baseTimeUnit val="days"/>
      </c:dateAx>
      <c:valAx>
        <c:axId val="792010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0100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0.04142012</c:v>
          </c:tx>
          <c:marker>
            <c:symbol val="none"/>
          </c:marker>
          <c:trendline>
            <c:name>0 Date: 4/25/2019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history'!$S$2:$S$156</c:f>
              <c:numCache>
                <c:formatCode>General</c:formatCode>
                <c:ptCount val="15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16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15</c:v>
                </c:pt>
                <c:pt idx="120">
                  <c:v>15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14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14</c:v>
                </c:pt>
                <c:pt idx="129">
                  <c:v>14</c:v>
                </c:pt>
                <c:pt idx="130">
                  <c:v>14</c:v>
                </c:pt>
                <c:pt idx="131">
                  <c:v>14</c:v>
                </c:pt>
                <c:pt idx="132">
                  <c:v>14</c:v>
                </c:pt>
                <c:pt idx="133">
                  <c:v>14</c:v>
                </c:pt>
                <c:pt idx="134">
                  <c:v>14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13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65-48F5-9CA5-E57AAD4AB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000488"/>
        <c:axId val="792002456"/>
      </c:lineChart>
      <c:dateAx>
        <c:axId val="792000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002456"/>
        <c:crosses val="autoZero"/>
        <c:auto val="1"/>
        <c:lblOffset val="100"/>
        <c:baseTimeUnit val="days"/>
      </c:dateAx>
      <c:valAx>
        <c:axId val="792002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000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0.03188406</c:v>
          </c:tx>
          <c:marker>
            <c:symbol val="none"/>
          </c:marker>
          <c:trendline>
            <c:name>0 Date: 10/22/2019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history'!$T$2:$T$156</c:f>
              <c:numCache>
                <c:formatCode>General</c:formatCode>
                <c:ptCount val="155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7</c:v>
                </c:pt>
                <c:pt idx="95">
                  <c:v>7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18</c:v>
                </c:pt>
                <c:pt idx="110">
                  <c:v>18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18</c:v>
                </c:pt>
                <c:pt idx="120">
                  <c:v>18</c:v>
                </c:pt>
                <c:pt idx="121">
                  <c:v>18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</c:v>
                </c:pt>
                <c:pt idx="128">
                  <c:v>17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17</c:v>
                </c:pt>
                <c:pt idx="133">
                  <c:v>17</c:v>
                </c:pt>
                <c:pt idx="134">
                  <c:v>17</c:v>
                </c:pt>
                <c:pt idx="135">
                  <c:v>16</c:v>
                </c:pt>
                <c:pt idx="136">
                  <c:v>16</c:v>
                </c:pt>
                <c:pt idx="137">
                  <c:v>16</c:v>
                </c:pt>
                <c:pt idx="138">
                  <c:v>16</c:v>
                </c:pt>
                <c:pt idx="139">
                  <c:v>16</c:v>
                </c:pt>
                <c:pt idx="140">
                  <c:v>16</c:v>
                </c:pt>
                <c:pt idx="141">
                  <c:v>16</c:v>
                </c:pt>
                <c:pt idx="142">
                  <c:v>16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16</c:v>
                </c:pt>
                <c:pt idx="147">
                  <c:v>16</c:v>
                </c:pt>
                <c:pt idx="148">
                  <c:v>15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75-4EF9-9AED-F80552627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454800"/>
        <c:axId val="713454144"/>
      </c:lineChart>
      <c:dateAx>
        <c:axId val="713454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3454144"/>
        <c:crosses val="autoZero"/>
        <c:auto val="1"/>
        <c:lblOffset val="100"/>
        <c:baseTimeUnit val="days"/>
      </c:dateAx>
      <c:valAx>
        <c:axId val="713454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454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0.03846154</c:v>
          </c:tx>
          <c:marker>
            <c:symbol val="none"/>
          </c:marker>
          <c:trendline>
            <c:name>0 Date: 6/26/2019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history'!$U$2:$U$156</c:f>
              <c:numCache>
                <c:formatCode>General</c:formatCode>
                <c:ptCount val="15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  <c:pt idx="61">
                  <c:v>22</c:v>
                </c:pt>
                <c:pt idx="62">
                  <c:v>22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19</c:v>
                </c:pt>
                <c:pt idx="97">
                  <c:v>18</c:v>
                </c:pt>
                <c:pt idx="98">
                  <c:v>18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17</c:v>
                </c:pt>
                <c:pt idx="108">
                  <c:v>17</c:v>
                </c:pt>
                <c:pt idx="109">
                  <c:v>17</c:v>
                </c:pt>
                <c:pt idx="110">
                  <c:v>17</c:v>
                </c:pt>
                <c:pt idx="111">
                  <c:v>17</c:v>
                </c:pt>
                <c:pt idx="112">
                  <c:v>17</c:v>
                </c:pt>
                <c:pt idx="113">
                  <c:v>17</c:v>
                </c:pt>
                <c:pt idx="114">
                  <c:v>17</c:v>
                </c:pt>
                <c:pt idx="115">
                  <c:v>17</c:v>
                </c:pt>
                <c:pt idx="116">
                  <c:v>17</c:v>
                </c:pt>
                <c:pt idx="117">
                  <c:v>17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16</c:v>
                </c:pt>
                <c:pt idx="125">
                  <c:v>16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15</c:v>
                </c:pt>
                <c:pt idx="130">
                  <c:v>15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15</c:v>
                </c:pt>
                <c:pt idx="142">
                  <c:v>15</c:v>
                </c:pt>
                <c:pt idx="143">
                  <c:v>14</c:v>
                </c:pt>
                <c:pt idx="144">
                  <c:v>14</c:v>
                </c:pt>
                <c:pt idx="145">
                  <c:v>14</c:v>
                </c:pt>
                <c:pt idx="146">
                  <c:v>14</c:v>
                </c:pt>
                <c:pt idx="147">
                  <c:v>14</c:v>
                </c:pt>
                <c:pt idx="148">
                  <c:v>14</c:v>
                </c:pt>
                <c:pt idx="149">
                  <c:v>14</c:v>
                </c:pt>
                <c:pt idx="150">
                  <c:v>14</c:v>
                </c:pt>
                <c:pt idx="151">
                  <c:v>13</c:v>
                </c:pt>
                <c:pt idx="152">
                  <c:v>13</c:v>
                </c:pt>
                <c:pt idx="153">
                  <c:v>13</c:v>
                </c:pt>
                <c:pt idx="154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2-4BC2-9F15-E94374B29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445288"/>
        <c:axId val="713441680"/>
      </c:lineChart>
      <c:dateAx>
        <c:axId val="713445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3441680"/>
        <c:crosses val="autoZero"/>
        <c:auto val="1"/>
        <c:lblOffset val="100"/>
        <c:baseTimeUnit val="days"/>
      </c:dateAx>
      <c:valAx>
        <c:axId val="713441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445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BilT (3840/8)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0.04927536</c:v>
          </c:tx>
          <c:marker>
            <c:symbol val="none"/>
          </c:marker>
          <c:trendline>
            <c:name>0 Date: 5/23/2019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history'!$V$2:$V$156</c:f>
              <c:numCache>
                <c:formatCode>General</c:formatCode>
                <c:ptCount val="15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  <c:pt idx="130">
                  <c:v>18</c:v>
                </c:pt>
                <c:pt idx="131">
                  <c:v>18</c:v>
                </c:pt>
                <c:pt idx="132">
                  <c:v>18</c:v>
                </c:pt>
                <c:pt idx="133">
                  <c:v>17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16</c:v>
                </c:pt>
                <c:pt idx="150">
                  <c:v>16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8-441D-B3C0-E02E4616E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447912"/>
        <c:axId val="713445288"/>
      </c:lineChart>
      <c:dateAx>
        <c:axId val="713447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3445288"/>
        <c:crosses val="autoZero"/>
        <c:auto val="1"/>
        <c:lblOffset val="100"/>
        <c:baseTimeUnit val="days"/>
      </c:dateAx>
      <c:valAx>
        <c:axId val="713445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4479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0.04057971</c:v>
          </c:tx>
          <c:marker>
            <c:symbol val="none"/>
          </c:marker>
          <c:trendline>
            <c:name>0 Date: 11/23/2018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history'!$W$2:$W$156</c:f>
              <c:numCache>
                <c:formatCode>General</c:formatCode>
                <c:ptCount val="15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E-4DF6-9BA3-874DA699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3449880"/>
        <c:axId val="713450536"/>
      </c:lineChart>
      <c:dateAx>
        <c:axId val="713449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3450536"/>
        <c:crosses val="autoZero"/>
        <c:auto val="1"/>
        <c:lblOffset val="100"/>
        <c:baseTimeUnit val="days"/>
      </c:dateAx>
      <c:valAx>
        <c:axId val="713450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34498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0.07826087</c:v>
          </c:tx>
          <c:marker>
            <c:symbol val="none"/>
          </c:marker>
          <c:trendline>
            <c:name>0 Date: 11/28/2018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history'!$X$2:$X$156</c:f>
              <c:numCache>
                <c:formatCode>General</c:formatCode>
                <c:ptCount val="155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25</c:v>
                </c:pt>
                <c:pt idx="22">
                  <c:v>25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19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18</c:v>
                </c:pt>
                <c:pt idx="63">
                  <c:v>18</c:v>
                </c:pt>
                <c:pt idx="64">
                  <c:v>18</c:v>
                </c:pt>
                <c:pt idx="65">
                  <c:v>18</c:v>
                </c:pt>
                <c:pt idx="66">
                  <c:v>18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16</c:v>
                </c:pt>
                <c:pt idx="72">
                  <c:v>16</c:v>
                </c:pt>
                <c:pt idx="73">
                  <c:v>16</c:v>
                </c:pt>
                <c:pt idx="74">
                  <c:v>16</c:v>
                </c:pt>
                <c:pt idx="75">
                  <c:v>16</c:v>
                </c:pt>
                <c:pt idx="76">
                  <c:v>16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13</c:v>
                </c:pt>
                <c:pt idx="86">
                  <c:v>13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11</c:v>
                </c:pt>
                <c:pt idx="150">
                  <c:v>11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3-4CAC-9D09-D8FBC744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348192"/>
        <c:axId val="716346224"/>
      </c:lineChart>
      <c:dateAx>
        <c:axId val="716348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6346224"/>
        <c:crosses val="autoZero"/>
        <c:auto val="1"/>
        <c:lblOffset val="100"/>
        <c:baseTimeUnit val="days"/>
      </c:dateAx>
      <c:valAx>
        <c:axId val="716346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63481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0.02318841</c:v>
          </c:tx>
          <c:marker>
            <c:symbol val="none"/>
          </c:marker>
          <c:trendline>
            <c:name>0 Date: 9/19/2018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history'!$Y$2:$Y$156</c:f>
              <c:numCache>
                <c:formatCode>General</c:formatCode>
                <c:ptCount val="155"/>
                <c:pt idx="0">
                  <c:v>6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C5-417F-94CF-35B197C77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347536"/>
        <c:axId val="716344584"/>
      </c:lineChart>
      <c:dateAx>
        <c:axId val="716347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6344584"/>
        <c:crosses val="autoZero"/>
        <c:auto val="1"/>
        <c:lblOffset val="100"/>
        <c:baseTimeUnit val="days"/>
      </c:dateAx>
      <c:valAx>
        <c:axId val="716344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63475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Glu (15000/10)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0.07536232</c:v>
          </c:tx>
          <c:marker>
            <c:symbol val="none"/>
          </c:marker>
          <c:trendline>
            <c:name>0 Date: 12/3/2018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history'!$Z$2:$Z$156</c:f>
              <c:numCache>
                <c:formatCode>General</c:formatCode>
                <c:ptCount val="155"/>
                <c:pt idx="0">
                  <c:v>15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21</c:v>
                </c:pt>
                <c:pt idx="91">
                  <c:v>21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17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15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14</c:v>
                </c:pt>
                <c:pt idx="131">
                  <c:v>14</c:v>
                </c:pt>
                <c:pt idx="132">
                  <c:v>14</c:v>
                </c:pt>
                <c:pt idx="133">
                  <c:v>13</c:v>
                </c:pt>
                <c:pt idx="134">
                  <c:v>13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5-49C3-9B0A-D5849901C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548968"/>
        <c:axId val="758549296"/>
      </c:lineChart>
      <c:dateAx>
        <c:axId val="758548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8549296"/>
        <c:crosses val="autoZero"/>
        <c:auto val="1"/>
        <c:lblOffset val="100"/>
        <c:baseTimeUnit val="days"/>
      </c:dateAx>
      <c:valAx>
        <c:axId val="758549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548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Phos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0.02318841</c:v>
          </c:tx>
          <c:marker>
            <c:symbol val="none"/>
          </c:marker>
          <c:trendline>
            <c:name>0 Date: 11/29/2018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history'!$AA$2:$AA$156</c:f>
              <c:numCache>
                <c:formatCode>General</c:formatCode>
                <c:ptCount val="15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5</c:v>
                </c:pt>
                <c:pt idx="150">
                  <c:v>5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39-4EB5-ABD5-FB5E46E23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544376"/>
        <c:axId val="758541096"/>
      </c:lineChart>
      <c:dateAx>
        <c:axId val="758544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8541096"/>
        <c:crosses val="autoZero"/>
        <c:auto val="1"/>
        <c:lblOffset val="100"/>
        <c:baseTimeUnit val="days"/>
      </c:dateAx>
      <c:valAx>
        <c:axId val="758541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544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Urea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0.0443787</c:v>
          </c:tx>
          <c:marker>
            <c:symbol val="none"/>
          </c:marker>
          <c:trendline>
            <c:name>0 Date: 3/9/2019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history'!$AB$2:$AB$156</c:f>
              <c:numCache>
                <c:formatCode>General</c:formatCode>
                <c:ptCount val="15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11</c:v>
                </c:pt>
                <c:pt idx="107">
                  <c:v>11</c:v>
                </c:pt>
                <c:pt idx="108">
                  <c:v>11</c:v>
                </c:pt>
                <c:pt idx="109">
                  <c:v>11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11</c:v>
                </c:pt>
                <c:pt idx="147">
                  <c:v>11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79-4B37-84BC-8D61FCEE2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544376"/>
        <c:axId val="758534208"/>
      </c:lineChart>
      <c:dateAx>
        <c:axId val="758544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58534208"/>
        <c:crosses val="autoZero"/>
        <c:auto val="1"/>
        <c:lblOffset val="100"/>
        <c:baseTimeUnit val="days"/>
      </c:dateAx>
      <c:valAx>
        <c:axId val="758534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544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iVanc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0.04347826</c:v>
          </c:tx>
          <c:marker>
            <c:symbol val="none"/>
          </c:marker>
          <c:trendline>
            <c:name>0 Date: 8/19/2018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history'!$AC$2:$AC$156</c:f>
              <c:numCache>
                <c:formatCode>General</c:formatCode>
                <c:ptCount val="15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D6-4B3C-82E7-900D33B91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40992"/>
        <c:axId val="697046568"/>
      </c:lineChart>
      <c:dateAx>
        <c:axId val="697040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46568"/>
        <c:crosses val="autoZero"/>
        <c:auto val="1"/>
        <c:lblOffset val="100"/>
        <c:baseTimeUnit val="days"/>
      </c:dateAx>
      <c:valAx>
        <c:axId val="697046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409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TnI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0.0443787</c:v>
          </c:tx>
          <c:marker>
            <c:symbol val="none"/>
          </c:marker>
          <c:trendline>
            <c:name>0 Date: 8/18/2018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history'!$AE$2:$AE$156</c:f>
              <c:numCache>
                <c:formatCode>General</c:formatCode>
                <c:ptCount val="15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3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94-48F1-8524-3D3235C7D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47224"/>
        <c:axId val="697047552"/>
      </c:lineChart>
      <c:dateAx>
        <c:axId val="697047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47552"/>
        <c:crosses val="autoZero"/>
        <c:auto val="1"/>
        <c:lblOffset val="100"/>
        <c:baseTimeUnit val="days"/>
      </c:dateAx>
      <c:valAx>
        <c:axId val="697047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472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0.0591716</c:v>
          </c:tx>
          <c:marker>
            <c:symbol val="none"/>
          </c:marker>
          <c:trendline>
            <c:name>0 Date: 9/13/2018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history'!$AF$2:$AF$156</c:f>
              <c:numCache>
                <c:formatCode>General</c:formatCode>
                <c:ptCount val="15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4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4</c:v>
                </c:pt>
                <c:pt idx="134">
                  <c:v>4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A8-472B-BA7A-4213F2CDF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48208"/>
        <c:axId val="697044928"/>
      </c:lineChart>
      <c:dateAx>
        <c:axId val="697048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44928"/>
        <c:crosses val="autoZero"/>
        <c:auto val="1"/>
        <c:lblOffset val="100"/>
        <c:baseTimeUnit val="days"/>
      </c:dateAx>
      <c:valAx>
        <c:axId val="697044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482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TSH (100)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0.0443787</c:v>
          </c:tx>
          <c:marker>
            <c:symbol val="none"/>
          </c:marker>
          <c:trendline>
            <c:name>0 Date: 8/23/2018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history'!$AG$2:$AG$156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3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15-49B7-B2EF-DCEA2F162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46568"/>
        <c:axId val="697044928"/>
      </c:lineChart>
      <c:dateAx>
        <c:axId val="697046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44928"/>
        <c:crosses val="autoZero"/>
        <c:auto val="1"/>
        <c:lblOffset val="100"/>
        <c:baseTimeUnit val="days"/>
      </c:dateAx>
      <c:valAx>
        <c:axId val="697044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46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BNP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0.0443787</c:v>
          </c:tx>
          <c:marker>
            <c:symbol val="none"/>
          </c:marker>
          <c:trendline>
            <c:name>0 Date: 9/29/2018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history'!$AH$2:$AH$156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4-4698-A753-73ED09752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63296"/>
        <c:axId val="797960344"/>
      </c:lineChart>
      <c:dateAx>
        <c:axId val="797963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60344"/>
        <c:crosses val="autoZero"/>
        <c:auto val="1"/>
        <c:lblOffset val="100"/>
        <c:baseTimeUnit val="days"/>
      </c:dateAx>
      <c:valAx>
        <c:axId val="797960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63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ProbeCond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0.008695652</c:v>
          </c:tx>
          <c:marker>
            <c:symbol val="none"/>
          </c:marker>
          <c:trendline>
            <c:name>0 Date: 5/11/2020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history'!$AI$2:$AI$156</c:f>
              <c:numCache>
                <c:formatCode>General</c:formatCode>
                <c:ptCount val="1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FE-4EB3-91DB-515D3D87A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67888"/>
        <c:axId val="797967560"/>
      </c:lineChart>
      <c:dateAx>
        <c:axId val="797967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67560"/>
        <c:crosses val="autoZero"/>
        <c:auto val="1"/>
        <c:lblOffset val="100"/>
        <c:baseTimeUnit val="days"/>
      </c:dateAx>
      <c:valAx>
        <c:axId val="797967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678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PreTrig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0.08405797</c:v>
          </c:tx>
          <c:marker>
            <c:symbol val="none"/>
          </c:marker>
          <c:trendline>
            <c:name>0 Date: 10/30/2018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history'!$AJ$2:$AJ$156</c:f>
              <c:numCache>
                <c:formatCode>General</c:formatCode>
                <c:ptCount val="155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5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4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9</c:v>
                </c:pt>
                <c:pt idx="153">
                  <c:v>9</c:v>
                </c:pt>
                <c:pt idx="15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D3-40CE-A65D-26B600AD2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70840"/>
        <c:axId val="797968544"/>
      </c:lineChart>
      <c:dateAx>
        <c:axId val="797970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68544"/>
        <c:crosses val="autoZero"/>
        <c:auto val="1"/>
        <c:lblOffset val="100"/>
        <c:baseTimeUnit val="days"/>
      </c:dateAx>
      <c:valAx>
        <c:axId val="79796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708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history'!$AK$2:$AK$156</c:f>
              <c:numCache>
                <c:formatCode>General</c:formatCode>
                <c:ptCount val="155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200</c:v>
                </c:pt>
                <c:pt idx="81">
                  <c:v>200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200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200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200</c:v>
                </c:pt>
                <c:pt idx="129">
                  <c:v>200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200</c:v>
                </c:pt>
                <c:pt idx="141">
                  <c:v>200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A2-4E57-B6B5-F2F88AE23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77728"/>
        <c:axId val="797980024"/>
      </c:lineChart>
      <c:dateAx>
        <c:axId val="797977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80024"/>
        <c:crosses val="autoZero"/>
        <c:auto val="1"/>
        <c:lblOffset val="100"/>
        <c:baseTimeUnit val="days"/>
      </c:dateAx>
      <c:valAx>
        <c:axId val="797980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777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49.13495</c:v>
          </c:tx>
          <c:marker>
            <c:symbol val="none"/>
          </c:marker>
          <c:trendline>
            <c:name>0 Date: 1/22/2019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history'!$AL$2:$AL$156</c:f>
              <c:numCache>
                <c:formatCode>General</c:formatCode>
                <c:ptCount val="155"/>
                <c:pt idx="0">
                  <c:v>350</c:v>
                </c:pt>
                <c:pt idx="1">
                  <c:v>350</c:v>
                </c:pt>
                <c:pt idx="2">
                  <c:v>350</c:v>
                </c:pt>
                <c:pt idx="3">
                  <c:v>350</c:v>
                </c:pt>
                <c:pt idx="4">
                  <c:v>350</c:v>
                </c:pt>
                <c:pt idx="5">
                  <c:v>350</c:v>
                </c:pt>
                <c:pt idx="6">
                  <c:v>350</c:v>
                </c:pt>
                <c:pt idx="7">
                  <c:v>350</c:v>
                </c:pt>
                <c:pt idx="8">
                  <c:v>350</c:v>
                </c:pt>
                <c:pt idx="9">
                  <c:v>350</c:v>
                </c:pt>
                <c:pt idx="10">
                  <c:v>350</c:v>
                </c:pt>
                <c:pt idx="11">
                  <c:v>350</c:v>
                </c:pt>
                <c:pt idx="12">
                  <c:v>350</c:v>
                </c:pt>
                <c:pt idx="13">
                  <c:v>350</c:v>
                </c:pt>
                <c:pt idx="14">
                  <c:v>350</c:v>
                </c:pt>
                <c:pt idx="15">
                  <c:v>350</c:v>
                </c:pt>
                <c:pt idx="16">
                  <c:v>350</c:v>
                </c:pt>
                <c:pt idx="17">
                  <c:v>350</c:v>
                </c:pt>
                <c:pt idx="18">
                  <c:v>350</c:v>
                </c:pt>
                <c:pt idx="19">
                  <c:v>350</c:v>
                </c:pt>
                <c:pt idx="20">
                  <c:v>350</c:v>
                </c:pt>
                <c:pt idx="21">
                  <c:v>350</c:v>
                </c:pt>
                <c:pt idx="22">
                  <c:v>350</c:v>
                </c:pt>
                <c:pt idx="23">
                  <c:v>350</c:v>
                </c:pt>
                <c:pt idx="24">
                  <c:v>350</c:v>
                </c:pt>
                <c:pt idx="25">
                  <c:v>350</c:v>
                </c:pt>
                <c:pt idx="26">
                  <c:v>350</c:v>
                </c:pt>
                <c:pt idx="27">
                  <c:v>350</c:v>
                </c:pt>
                <c:pt idx="28">
                  <c:v>350</c:v>
                </c:pt>
                <c:pt idx="29">
                  <c:v>350</c:v>
                </c:pt>
                <c:pt idx="30">
                  <c:v>350</c:v>
                </c:pt>
                <c:pt idx="31">
                  <c:v>350</c:v>
                </c:pt>
                <c:pt idx="32">
                  <c:v>350</c:v>
                </c:pt>
                <c:pt idx="33">
                  <c:v>350</c:v>
                </c:pt>
                <c:pt idx="34">
                  <c:v>3500</c:v>
                </c:pt>
                <c:pt idx="35">
                  <c:v>3500</c:v>
                </c:pt>
                <c:pt idx="36">
                  <c:v>3500</c:v>
                </c:pt>
                <c:pt idx="37">
                  <c:v>3500</c:v>
                </c:pt>
                <c:pt idx="38">
                  <c:v>3500</c:v>
                </c:pt>
                <c:pt idx="39">
                  <c:v>3500</c:v>
                </c:pt>
                <c:pt idx="40">
                  <c:v>3500</c:v>
                </c:pt>
                <c:pt idx="41">
                  <c:v>3500</c:v>
                </c:pt>
                <c:pt idx="42">
                  <c:v>3500</c:v>
                </c:pt>
                <c:pt idx="43">
                  <c:v>3500</c:v>
                </c:pt>
                <c:pt idx="44">
                  <c:v>3500</c:v>
                </c:pt>
                <c:pt idx="45">
                  <c:v>3500</c:v>
                </c:pt>
                <c:pt idx="46">
                  <c:v>2500</c:v>
                </c:pt>
                <c:pt idx="47">
                  <c:v>2500</c:v>
                </c:pt>
                <c:pt idx="48">
                  <c:v>2500</c:v>
                </c:pt>
                <c:pt idx="49">
                  <c:v>2100</c:v>
                </c:pt>
                <c:pt idx="50">
                  <c:v>2100</c:v>
                </c:pt>
                <c:pt idx="51">
                  <c:v>1900</c:v>
                </c:pt>
                <c:pt idx="52">
                  <c:v>1900</c:v>
                </c:pt>
                <c:pt idx="53">
                  <c:v>1900</c:v>
                </c:pt>
                <c:pt idx="54">
                  <c:v>1900</c:v>
                </c:pt>
                <c:pt idx="55">
                  <c:v>1250</c:v>
                </c:pt>
                <c:pt idx="56">
                  <c:v>1100</c:v>
                </c:pt>
                <c:pt idx="57">
                  <c:v>1000</c:v>
                </c:pt>
                <c:pt idx="58">
                  <c:v>1000</c:v>
                </c:pt>
                <c:pt idx="59">
                  <c:v>1000</c:v>
                </c:pt>
                <c:pt idx="60">
                  <c:v>800</c:v>
                </c:pt>
                <c:pt idx="61">
                  <c:v>4800</c:v>
                </c:pt>
                <c:pt idx="62">
                  <c:v>4800</c:v>
                </c:pt>
                <c:pt idx="63">
                  <c:v>4800</c:v>
                </c:pt>
                <c:pt idx="64">
                  <c:v>4800</c:v>
                </c:pt>
                <c:pt idx="65">
                  <c:v>4800</c:v>
                </c:pt>
                <c:pt idx="66">
                  <c:v>4200</c:v>
                </c:pt>
                <c:pt idx="67">
                  <c:v>4200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3250</c:v>
                </c:pt>
                <c:pt idx="72">
                  <c:v>3250</c:v>
                </c:pt>
                <c:pt idx="73">
                  <c:v>2750</c:v>
                </c:pt>
                <c:pt idx="74">
                  <c:v>2750</c:v>
                </c:pt>
                <c:pt idx="75">
                  <c:v>2250</c:v>
                </c:pt>
                <c:pt idx="76">
                  <c:v>2250</c:v>
                </c:pt>
                <c:pt idx="77">
                  <c:v>6250</c:v>
                </c:pt>
                <c:pt idx="78">
                  <c:v>6250</c:v>
                </c:pt>
                <c:pt idx="79">
                  <c:v>6250</c:v>
                </c:pt>
                <c:pt idx="80">
                  <c:v>5750</c:v>
                </c:pt>
                <c:pt idx="81">
                  <c:v>5750</c:v>
                </c:pt>
                <c:pt idx="82">
                  <c:v>5250</c:v>
                </c:pt>
                <c:pt idx="83">
                  <c:v>5200</c:v>
                </c:pt>
                <c:pt idx="84">
                  <c:v>5100</c:v>
                </c:pt>
                <c:pt idx="85">
                  <c:v>5100</c:v>
                </c:pt>
                <c:pt idx="86">
                  <c:v>5100</c:v>
                </c:pt>
                <c:pt idx="87">
                  <c:v>4700</c:v>
                </c:pt>
                <c:pt idx="88">
                  <c:v>4700</c:v>
                </c:pt>
                <c:pt idx="89">
                  <c:v>4250</c:v>
                </c:pt>
                <c:pt idx="90">
                  <c:v>4100</c:v>
                </c:pt>
                <c:pt idx="91">
                  <c:v>3900</c:v>
                </c:pt>
                <c:pt idx="92">
                  <c:v>3900</c:v>
                </c:pt>
                <c:pt idx="93">
                  <c:v>3700</c:v>
                </c:pt>
                <c:pt idx="94">
                  <c:v>3650</c:v>
                </c:pt>
                <c:pt idx="95">
                  <c:v>3450</c:v>
                </c:pt>
                <c:pt idx="96">
                  <c:v>3450</c:v>
                </c:pt>
                <c:pt idx="97">
                  <c:v>3270</c:v>
                </c:pt>
                <c:pt idx="98">
                  <c:v>3270</c:v>
                </c:pt>
                <c:pt idx="99">
                  <c:v>3100</c:v>
                </c:pt>
                <c:pt idx="100">
                  <c:v>3000</c:v>
                </c:pt>
                <c:pt idx="101">
                  <c:v>2900</c:v>
                </c:pt>
                <c:pt idx="102">
                  <c:v>2750</c:v>
                </c:pt>
                <c:pt idx="103">
                  <c:v>2400</c:v>
                </c:pt>
                <c:pt idx="104">
                  <c:v>2350</c:v>
                </c:pt>
                <c:pt idx="105">
                  <c:v>2000</c:v>
                </c:pt>
                <c:pt idx="106">
                  <c:v>2000</c:v>
                </c:pt>
                <c:pt idx="107">
                  <c:v>5900</c:v>
                </c:pt>
                <c:pt idx="108">
                  <c:v>5800</c:v>
                </c:pt>
                <c:pt idx="109">
                  <c:v>5600</c:v>
                </c:pt>
                <c:pt idx="110">
                  <c:v>5600</c:v>
                </c:pt>
                <c:pt idx="111">
                  <c:v>5500</c:v>
                </c:pt>
                <c:pt idx="112">
                  <c:v>5500</c:v>
                </c:pt>
                <c:pt idx="113">
                  <c:v>5500</c:v>
                </c:pt>
                <c:pt idx="114">
                  <c:v>5050</c:v>
                </c:pt>
                <c:pt idx="115">
                  <c:v>5000</c:v>
                </c:pt>
                <c:pt idx="116">
                  <c:v>4800</c:v>
                </c:pt>
                <c:pt idx="117">
                  <c:v>4650</c:v>
                </c:pt>
                <c:pt idx="118">
                  <c:v>4650</c:v>
                </c:pt>
                <c:pt idx="119">
                  <c:v>4650</c:v>
                </c:pt>
                <c:pt idx="120">
                  <c:v>4250</c:v>
                </c:pt>
                <c:pt idx="121">
                  <c:v>4200</c:v>
                </c:pt>
                <c:pt idx="122">
                  <c:v>4200</c:v>
                </c:pt>
                <c:pt idx="123">
                  <c:v>4200</c:v>
                </c:pt>
                <c:pt idx="124">
                  <c:v>4000</c:v>
                </c:pt>
                <c:pt idx="125">
                  <c:v>4000</c:v>
                </c:pt>
                <c:pt idx="126">
                  <c:v>3900</c:v>
                </c:pt>
                <c:pt idx="127">
                  <c:v>3550</c:v>
                </c:pt>
                <c:pt idx="128">
                  <c:v>3550</c:v>
                </c:pt>
                <c:pt idx="129">
                  <c:v>3500</c:v>
                </c:pt>
                <c:pt idx="130">
                  <c:v>3500</c:v>
                </c:pt>
                <c:pt idx="131">
                  <c:v>3250</c:v>
                </c:pt>
                <c:pt idx="132">
                  <c:v>3200</c:v>
                </c:pt>
                <c:pt idx="133">
                  <c:v>3010</c:v>
                </c:pt>
                <c:pt idx="134">
                  <c:v>3010</c:v>
                </c:pt>
                <c:pt idx="135">
                  <c:v>2900</c:v>
                </c:pt>
                <c:pt idx="136">
                  <c:v>2800</c:v>
                </c:pt>
                <c:pt idx="137">
                  <c:v>2800</c:v>
                </c:pt>
                <c:pt idx="138">
                  <c:v>2650</c:v>
                </c:pt>
                <c:pt idx="139">
                  <c:v>2450</c:v>
                </c:pt>
                <c:pt idx="140">
                  <c:v>2450</c:v>
                </c:pt>
                <c:pt idx="141">
                  <c:v>2250</c:v>
                </c:pt>
                <c:pt idx="142">
                  <c:v>2000</c:v>
                </c:pt>
                <c:pt idx="143">
                  <c:v>1900</c:v>
                </c:pt>
                <c:pt idx="144">
                  <c:v>1900</c:v>
                </c:pt>
                <c:pt idx="145">
                  <c:v>1900</c:v>
                </c:pt>
                <c:pt idx="146">
                  <c:v>1800</c:v>
                </c:pt>
                <c:pt idx="147">
                  <c:v>1700</c:v>
                </c:pt>
                <c:pt idx="148">
                  <c:v>1400</c:v>
                </c:pt>
                <c:pt idx="149">
                  <c:v>1400</c:v>
                </c:pt>
                <c:pt idx="150">
                  <c:v>1400</c:v>
                </c:pt>
                <c:pt idx="151">
                  <c:v>9000</c:v>
                </c:pt>
                <c:pt idx="152">
                  <c:v>9000</c:v>
                </c:pt>
                <c:pt idx="153">
                  <c:v>9000</c:v>
                </c:pt>
                <c:pt idx="154">
                  <c:v>8800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AE-48DC-B7BD-3610AA48E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60344"/>
        <c:axId val="797961984"/>
      </c:lineChart>
      <c:dateAx>
        <c:axId val="797960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61984"/>
        <c:crosses val="autoZero"/>
        <c:auto val="1"/>
        <c:lblOffset val="100"/>
        <c:baseTimeUnit val="days"/>
      </c:dateAx>
      <c:valAx>
        <c:axId val="797961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603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Septum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1.202899</c:v>
          </c:tx>
          <c:marker>
            <c:symbol val="none"/>
          </c:marker>
          <c:trendline>
            <c:name>0 Date: 8/9/2019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history'!$A$2:$A$156</c:f>
              <c:numCache>
                <c:formatCode>m/d/yyyy</c:formatCode>
                <c:ptCount val="155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</c:numCache>
            </c:numRef>
          </c:cat>
          <c:val>
            <c:numRef>
              <c:f>'Shelf history'!$AM$2:$AM$156</c:f>
              <c:numCache>
                <c:formatCode>General</c:formatCode>
                <c:ptCount val="155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  <c:pt idx="37">
                  <c:v>600</c:v>
                </c:pt>
                <c:pt idx="38">
                  <c:v>600</c:v>
                </c:pt>
                <c:pt idx="39">
                  <c:v>600</c:v>
                </c:pt>
                <c:pt idx="40">
                  <c:v>600</c:v>
                </c:pt>
                <c:pt idx="41">
                  <c:v>600</c:v>
                </c:pt>
                <c:pt idx="42">
                  <c:v>600</c:v>
                </c:pt>
                <c:pt idx="43">
                  <c:v>600</c:v>
                </c:pt>
                <c:pt idx="44">
                  <c:v>600</c:v>
                </c:pt>
                <c:pt idx="45">
                  <c:v>600</c:v>
                </c:pt>
                <c:pt idx="46">
                  <c:v>600</c:v>
                </c:pt>
                <c:pt idx="47">
                  <c:v>600</c:v>
                </c:pt>
                <c:pt idx="48">
                  <c:v>600</c:v>
                </c:pt>
                <c:pt idx="49">
                  <c:v>600</c:v>
                </c:pt>
                <c:pt idx="50">
                  <c:v>600</c:v>
                </c:pt>
                <c:pt idx="51">
                  <c:v>600</c:v>
                </c:pt>
                <c:pt idx="52">
                  <c:v>600</c:v>
                </c:pt>
                <c:pt idx="53">
                  <c:v>600</c:v>
                </c:pt>
                <c:pt idx="54">
                  <c:v>600</c:v>
                </c:pt>
                <c:pt idx="55">
                  <c:v>600</c:v>
                </c:pt>
                <c:pt idx="56">
                  <c:v>600</c:v>
                </c:pt>
                <c:pt idx="57">
                  <c:v>600</c:v>
                </c:pt>
                <c:pt idx="58">
                  <c:v>600</c:v>
                </c:pt>
                <c:pt idx="59">
                  <c:v>600</c:v>
                </c:pt>
                <c:pt idx="60">
                  <c:v>600</c:v>
                </c:pt>
                <c:pt idx="61">
                  <c:v>600</c:v>
                </c:pt>
                <c:pt idx="62">
                  <c:v>600</c:v>
                </c:pt>
                <c:pt idx="63">
                  <c:v>600</c:v>
                </c:pt>
                <c:pt idx="64">
                  <c:v>600</c:v>
                </c:pt>
                <c:pt idx="65">
                  <c:v>600</c:v>
                </c:pt>
                <c:pt idx="66">
                  <c:v>600</c:v>
                </c:pt>
                <c:pt idx="67">
                  <c:v>600</c:v>
                </c:pt>
                <c:pt idx="68">
                  <c:v>600</c:v>
                </c:pt>
                <c:pt idx="69">
                  <c:v>600</c:v>
                </c:pt>
                <c:pt idx="70">
                  <c:v>600</c:v>
                </c:pt>
                <c:pt idx="71">
                  <c:v>600</c:v>
                </c:pt>
                <c:pt idx="72">
                  <c:v>600</c:v>
                </c:pt>
                <c:pt idx="73">
                  <c:v>600</c:v>
                </c:pt>
                <c:pt idx="74">
                  <c:v>600</c:v>
                </c:pt>
                <c:pt idx="75">
                  <c:v>600</c:v>
                </c:pt>
                <c:pt idx="76">
                  <c:v>600</c:v>
                </c:pt>
                <c:pt idx="77">
                  <c:v>600</c:v>
                </c:pt>
                <c:pt idx="78">
                  <c:v>600</c:v>
                </c:pt>
                <c:pt idx="79">
                  <c:v>600</c:v>
                </c:pt>
                <c:pt idx="80">
                  <c:v>600</c:v>
                </c:pt>
                <c:pt idx="81">
                  <c:v>600</c:v>
                </c:pt>
                <c:pt idx="82">
                  <c:v>600</c:v>
                </c:pt>
                <c:pt idx="83">
                  <c:v>600</c:v>
                </c:pt>
                <c:pt idx="84">
                  <c:v>600</c:v>
                </c:pt>
                <c:pt idx="85">
                  <c:v>600</c:v>
                </c:pt>
                <c:pt idx="86">
                  <c:v>600</c:v>
                </c:pt>
                <c:pt idx="87">
                  <c:v>600</c:v>
                </c:pt>
                <c:pt idx="88">
                  <c:v>500</c:v>
                </c:pt>
                <c:pt idx="89">
                  <c:v>425</c:v>
                </c:pt>
                <c:pt idx="90">
                  <c:v>600</c:v>
                </c:pt>
                <c:pt idx="91">
                  <c:v>600</c:v>
                </c:pt>
                <c:pt idx="92">
                  <c:v>600</c:v>
                </c:pt>
                <c:pt idx="93">
                  <c:v>600</c:v>
                </c:pt>
                <c:pt idx="94">
                  <c:v>600</c:v>
                </c:pt>
                <c:pt idx="95">
                  <c:v>600</c:v>
                </c:pt>
                <c:pt idx="96">
                  <c:v>600</c:v>
                </c:pt>
                <c:pt idx="97">
                  <c:v>600</c:v>
                </c:pt>
                <c:pt idx="98">
                  <c:v>600</c:v>
                </c:pt>
                <c:pt idx="99">
                  <c:v>600</c:v>
                </c:pt>
                <c:pt idx="100">
                  <c:v>600</c:v>
                </c:pt>
                <c:pt idx="101">
                  <c:v>600</c:v>
                </c:pt>
                <c:pt idx="102">
                  <c:v>600</c:v>
                </c:pt>
                <c:pt idx="103">
                  <c:v>600</c:v>
                </c:pt>
                <c:pt idx="104">
                  <c:v>600</c:v>
                </c:pt>
                <c:pt idx="105">
                  <c:v>600</c:v>
                </c:pt>
                <c:pt idx="106">
                  <c:v>600</c:v>
                </c:pt>
                <c:pt idx="107">
                  <c:v>600</c:v>
                </c:pt>
                <c:pt idx="108">
                  <c:v>600</c:v>
                </c:pt>
                <c:pt idx="109">
                  <c:v>600</c:v>
                </c:pt>
                <c:pt idx="110">
                  <c:v>600</c:v>
                </c:pt>
                <c:pt idx="111">
                  <c:v>600</c:v>
                </c:pt>
                <c:pt idx="112">
                  <c:v>600</c:v>
                </c:pt>
                <c:pt idx="113">
                  <c:v>600</c:v>
                </c:pt>
                <c:pt idx="114">
                  <c:v>600</c:v>
                </c:pt>
                <c:pt idx="115">
                  <c:v>600</c:v>
                </c:pt>
                <c:pt idx="116">
                  <c:v>600</c:v>
                </c:pt>
                <c:pt idx="117">
                  <c:v>600</c:v>
                </c:pt>
                <c:pt idx="118">
                  <c:v>600</c:v>
                </c:pt>
                <c:pt idx="119">
                  <c:v>600</c:v>
                </c:pt>
                <c:pt idx="120">
                  <c:v>600</c:v>
                </c:pt>
                <c:pt idx="121">
                  <c:v>500</c:v>
                </c:pt>
                <c:pt idx="122">
                  <c:v>500</c:v>
                </c:pt>
                <c:pt idx="123">
                  <c:v>500</c:v>
                </c:pt>
                <c:pt idx="124">
                  <c:v>500</c:v>
                </c:pt>
                <c:pt idx="125">
                  <c:v>500</c:v>
                </c:pt>
                <c:pt idx="126">
                  <c:v>500</c:v>
                </c:pt>
                <c:pt idx="127">
                  <c:v>500</c:v>
                </c:pt>
                <c:pt idx="128">
                  <c:v>500</c:v>
                </c:pt>
                <c:pt idx="129">
                  <c:v>500</c:v>
                </c:pt>
                <c:pt idx="130">
                  <c:v>500</c:v>
                </c:pt>
                <c:pt idx="131">
                  <c:v>500</c:v>
                </c:pt>
                <c:pt idx="132">
                  <c:v>500</c:v>
                </c:pt>
                <c:pt idx="133">
                  <c:v>500</c:v>
                </c:pt>
                <c:pt idx="134">
                  <c:v>500</c:v>
                </c:pt>
                <c:pt idx="135">
                  <c:v>500</c:v>
                </c:pt>
                <c:pt idx="136">
                  <c:v>500</c:v>
                </c:pt>
                <c:pt idx="137">
                  <c:v>500</c:v>
                </c:pt>
                <c:pt idx="138">
                  <c:v>500</c:v>
                </c:pt>
                <c:pt idx="139">
                  <c:v>500</c:v>
                </c:pt>
                <c:pt idx="140">
                  <c:v>500</c:v>
                </c:pt>
                <c:pt idx="141">
                  <c:v>500</c:v>
                </c:pt>
                <c:pt idx="142">
                  <c:v>500</c:v>
                </c:pt>
                <c:pt idx="143">
                  <c:v>500</c:v>
                </c:pt>
                <c:pt idx="144">
                  <c:v>500</c:v>
                </c:pt>
                <c:pt idx="145">
                  <c:v>500</c:v>
                </c:pt>
                <c:pt idx="146">
                  <c:v>500</c:v>
                </c:pt>
                <c:pt idx="147">
                  <c:v>500</c:v>
                </c:pt>
                <c:pt idx="148">
                  <c:v>500</c:v>
                </c:pt>
                <c:pt idx="149">
                  <c:v>500</c:v>
                </c:pt>
                <c:pt idx="150">
                  <c:v>500</c:v>
                </c:pt>
                <c:pt idx="151">
                  <c:v>460</c:v>
                </c:pt>
                <c:pt idx="152">
                  <c:v>460</c:v>
                </c:pt>
                <c:pt idx="153">
                  <c:v>460</c:v>
                </c:pt>
                <c:pt idx="154">
                  <c:v>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2A-46A9-AC4E-32533D778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83304"/>
        <c:axId val="797977400"/>
      </c:lineChart>
      <c:dateAx>
        <c:axId val="797983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77400"/>
        <c:crosses val="autoZero"/>
        <c:auto val="1"/>
        <c:lblOffset val="100"/>
        <c:baseTimeUnit val="days"/>
      </c:dateAx>
      <c:valAx>
        <c:axId val="797977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83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Saline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history'!$AN$156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4-4F2A-853D-85893E42A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054440"/>
        <c:axId val="797955424"/>
      </c:lineChart>
      <c:dateAx>
        <c:axId val="697054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7955424"/>
        <c:crosses val="autoZero"/>
        <c:auto val="1"/>
        <c:lblOffset val="100"/>
        <c:baseTimeUnit val="days"/>
      </c:dateAx>
      <c:valAx>
        <c:axId val="797955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544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HILRef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history'!$AO$156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39-45AC-8C7A-3E059112F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78712"/>
        <c:axId val="697051160"/>
      </c:lineChart>
      <c:dateAx>
        <c:axId val="797978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97051160"/>
        <c:crosses val="autoZero"/>
        <c:auto val="1"/>
        <c:lblOffset val="100"/>
        <c:baseTimeUnit val="days"/>
      </c:dateAx>
      <c:valAx>
        <c:axId val="697051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79787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history'!$AP$156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3C7-8AAE-A2E228CC0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08896"/>
        <c:axId val="768909880"/>
      </c:lineChart>
      <c:dateAx>
        <c:axId val="768908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09880"/>
        <c:crosses val="autoZero"/>
        <c:auto val="1"/>
        <c:lblOffset val="100"/>
        <c:baseTimeUnit val="days"/>
      </c:dateAx>
      <c:valAx>
        <c:axId val="768909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08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AsssayDil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history'!$A$92:$A$156</c:f>
              <c:numCache>
                <c:formatCode>m/d/yyyy</c:formatCode>
                <c:ptCount val="65"/>
                <c:pt idx="0">
                  <c:v>43153</c:v>
                </c:pt>
                <c:pt idx="1">
                  <c:v>43157</c:v>
                </c:pt>
                <c:pt idx="2">
                  <c:v>43159</c:v>
                </c:pt>
                <c:pt idx="3">
                  <c:v>43161</c:v>
                </c:pt>
                <c:pt idx="4">
                  <c:v>43164</c:v>
                </c:pt>
                <c:pt idx="5">
                  <c:v>43166</c:v>
                </c:pt>
                <c:pt idx="6">
                  <c:v>43168</c:v>
                </c:pt>
                <c:pt idx="7">
                  <c:v>43171</c:v>
                </c:pt>
                <c:pt idx="8">
                  <c:v>43173</c:v>
                </c:pt>
                <c:pt idx="9">
                  <c:v>43175</c:v>
                </c:pt>
                <c:pt idx="10">
                  <c:v>43178</c:v>
                </c:pt>
                <c:pt idx="11">
                  <c:v>43180</c:v>
                </c:pt>
                <c:pt idx="12">
                  <c:v>43182</c:v>
                </c:pt>
                <c:pt idx="13">
                  <c:v>43185</c:v>
                </c:pt>
                <c:pt idx="14">
                  <c:v>43187</c:v>
                </c:pt>
                <c:pt idx="15">
                  <c:v>43192</c:v>
                </c:pt>
                <c:pt idx="16">
                  <c:v>43194</c:v>
                </c:pt>
                <c:pt idx="17">
                  <c:v>43196</c:v>
                </c:pt>
                <c:pt idx="18">
                  <c:v>43199</c:v>
                </c:pt>
                <c:pt idx="19">
                  <c:v>43201</c:v>
                </c:pt>
                <c:pt idx="20">
                  <c:v>43202</c:v>
                </c:pt>
                <c:pt idx="21">
                  <c:v>43206</c:v>
                </c:pt>
                <c:pt idx="22">
                  <c:v>43208</c:v>
                </c:pt>
                <c:pt idx="23">
                  <c:v>43209</c:v>
                </c:pt>
                <c:pt idx="24">
                  <c:v>43213</c:v>
                </c:pt>
                <c:pt idx="25">
                  <c:v>43215</c:v>
                </c:pt>
                <c:pt idx="26">
                  <c:v>43217</c:v>
                </c:pt>
                <c:pt idx="27">
                  <c:v>43220</c:v>
                </c:pt>
                <c:pt idx="28">
                  <c:v>43222</c:v>
                </c:pt>
                <c:pt idx="29">
                  <c:v>43223</c:v>
                </c:pt>
                <c:pt idx="30">
                  <c:v>43227</c:v>
                </c:pt>
                <c:pt idx="31">
                  <c:v>43229</c:v>
                </c:pt>
                <c:pt idx="32">
                  <c:v>43231</c:v>
                </c:pt>
                <c:pt idx="33">
                  <c:v>43234</c:v>
                </c:pt>
                <c:pt idx="34">
                  <c:v>43236</c:v>
                </c:pt>
                <c:pt idx="35">
                  <c:v>43237</c:v>
                </c:pt>
                <c:pt idx="36">
                  <c:v>43241</c:v>
                </c:pt>
                <c:pt idx="37">
                  <c:v>43243</c:v>
                </c:pt>
                <c:pt idx="38">
                  <c:v>43245</c:v>
                </c:pt>
                <c:pt idx="39">
                  <c:v>43249</c:v>
                </c:pt>
                <c:pt idx="40">
                  <c:v>43250</c:v>
                </c:pt>
                <c:pt idx="41">
                  <c:v>43251</c:v>
                </c:pt>
                <c:pt idx="42">
                  <c:v>43255</c:v>
                </c:pt>
                <c:pt idx="43">
                  <c:v>43257</c:v>
                </c:pt>
                <c:pt idx="44">
                  <c:v>43258</c:v>
                </c:pt>
                <c:pt idx="45">
                  <c:v>43262</c:v>
                </c:pt>
                <c:pt idx="46">
                  <c:v>43264</c:v>
                </c:pt>
                <c:pt idx="47">
                  <c:v>43265</c:v>
                </c:pt>
                <c:pt idx="48">
                  <c:v>43269</c:v>
                </c:pt>
                <c:pt idx="49">
                  <c:v>43271</c:v>
                </c:pt>
                <c:pt idx="50">
                  <c:v>43272</c:v>
                </c:pt>
                <c:pt idx="51">
                  <c:v>43273</c:v>
                </c:pt>
                <c:pt idx="52">
                  <c:v>43276</c:v>
                </c:pt>
                <c:pt idx="53">
                  <c:v>43278</c:v>
                </c:pt>
                <c:pt idx="54">
                  <c:v>43279</c:v>
                </c:pt>
                <c:pt idx="55">
                  <c:v>43280</c:v>
                </c:pt>
                <c:pt idx="56">
                  <c:v>43283</c:v>
                </c:pt>
                <c:pt idx="57">
                  <c:v>43285</c:v>
                </c:pt>
                <c:pt idx="58">
                  <c:v>43290</c:v>
                </c:pt>
                <c:pt idx="59">
                  <c:v>43292</c:v>
                </c:pt>
                <c:pt idx="60">
                  <c:v>43293</c:v>
                </c:pt>
                <c:pt idx="61">
                  <c:v>43304</c:v>
                </c:pt>
                <c:pt idx="62">
                  <c:v>43305</c:v>
                </c:pt>
                <c:pt idx="63">
                  <c:v>43306</c:v>
                </c:pt>
                <c:pt idx="64">
                  <c:v>43308</c:v>
                </c:pt>
              </c:numCache>
            </c:numRef>
          </c:cat>
          <c:val>
            <c:numRef>
              <c:f>'Shelf history'!$AQ$92:$AQ$156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09-4064-BE50-633949708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23984"/>
        <c:axId val="768920704"/>
      </c:lineChart>
      <c:dateAx>
        <c:axId val="768923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20704"/>
        <c:crosses val="autoZero"/>
        <c:auto val="1"/>
        <c:lblOffset val="100"/>
        <c:baseTimeUnit val="days"/>
      </c:dateAx>
      <c:valAx>
        <c:axId val="768920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239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history'!$AR$156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0-43D8-BB0B-1B272E436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735464"/>
        <c:axId val="503735792"/>
      </c:lineChart>
      <c:dateAx>
        <c:axId val="503735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03735792"/>
        <c:crosses val="autoZero"/>
        <c:auto val="1"/>
        <c:lblOffset val="100"/>
        <c:baseTimeUnit val="days"/>
      </c:dateAx>
      <c:valAx>
        <c:axId val="503735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7354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 55ML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history'!$A$82:$A$156</c:f>
              <c:numCache>
                <c:formatCode>m/d/yyyy</c:formatCode>
                <c:ptCount val="75"/>
                <c:pt idx="0">
                  <c:v>43126</c:v>
                </c:pt>
                <c:pt idx="1">
                  <c:v>43129</c:v>
                </c:pt>
                <c:pt idx="2">
                  <c:v>43132</c:v>
                </c:pt>
                <c:pt idx="3">
                  <c:v>43136</c:v>
                </c:pt>
                <c:pt idx="4">
                  <c:v>43139</c:v>
                </c:pt>
                <c:pt idx="5">
                  <c:v>43140</c:v>
                </c:pt>
                <c:pt idx="6">
                  <c:v>43143</c:v>
                </c:pt>
                <c:pt idx="7">
                  <c:v>43145</c:v>
                </c:pt>
                <c:pt idx="8">
                  <c:v>43146</c:v>
                </c:pt>
                <c:pt idx="9">
                  <c:v>43150</c:v>
                </c:pt>
                <c:pt idx="10">
                  <c:v>43153</c:v>
                </c:pt>
                <c:pt idx="11">
                  <c:v>43157</c:v>
                </c:pt>
                <c:pt idx="12">
                  <c:v>43159</c:v>
                </c:pt>
                <c:pt idx="13">
                  <c:v>43161</c:v>
                </c:pt>
                <c:pt idx="14">
                  <c:v>43164</c:v>
                </c:pt>
                <c:pt idx="15">
                  <c:v>43166</c:v>
                </c:pt>
                <c:pt idx="16">
                  <c:v>43168</c:v>
                </c:pt>
                <c:pt idx="17">
                  <c:v>43171</c:v>
                </c:pt>
                <c:pt idx="18">
                  <c:v>43173</c:v>
                </c:pt>
                <c:pt idx="19">
                  <c:v>43175</c:v>
                </c:pt>
                <c:pt idx="20">
                  <c:v>43178</c:v>
                </c:pt>
                <c:pt idx="21">
                  <c:v>43180</c:v>
                </c:pt>
                <c:pt idx="22">
                  <c:v>43182</c:v>
                </c:pt>
                <c:pt idx="23">
                  <c:v>43185</c:v>
                </c:pt>
                <c:pt idx="24">
                  <c:v>43187</c:v>
                </c:pt>
                <c:pt idx="25">
                  <c:v>43192</c:v>
                </c:pt>
                <c:pt idx="26">
                  <c:v>43194</c:v>
                </c:pt>
                <c:pt idx="27">
                  <c:v>43196</c:v>
                </c:pt>
                <c:pt idx="28">
                  <c:v>43199</c:v>
                </c:pt>
                <c:pt idx="29">
                  <c:v>43201</c:v>
                </c:pt>
                <c:pt idx="30">
                  <c:v>43202</c:v>
                </c:pt>
                <c:pt idx="31">
                  <c:v>43206</c:v>
                </c:pt>
                <c:pt idx="32">
                  <c:v>43208</c:v>
                </c:pt>
                <c:pt idx="33">
                  <c:v>43209</c:v>
                </c:pt>
                <c:pt idx="34">
                  <c:v>43213</c:v>
                </c:pt>
                <c:pt idx="35">
                  <c:v>43215</c:v>
                </c:pt>
                <c:pt idx="36">
                  <c:v>43217</c:v>
                </c:pt>
                <c:pt idx="37">
                  <c:v>43220</c:v>
                </c:pt>
                <c:pt idx="38">
                  <c:v>43222</c:v>
                </c:pt>
                <c:pt idx="39">
                  <c:v>43223</c:v>
                </c:pt>
                <c:pt idx="40">
                  <c:v>43227</c:v>
                </c:pt>
                <c:pt idx="41">
                  <c:v>43229</c:v>
                </c:pt>
                <c:pt idx="42">
                  <c:v>43231</c:v>
                </c:pt>
                <c:pt idx="43">
                  <c:v>43234</c:v>
                </c:pt>
                <c:pt idx="44">
                  <c:v>43236</c:v>
                </c:pt>
                <c:pt idx="45">
                  <c:v>43237</c:v>
                </c:pt>
                <c:pt idx="46">
                  <c:v>43241</c:v>
                </c:pt>
                <c:pt idx="47">
                  <c:v>43243</c:v>
                </c:pt>
                <c:pt idx="48">
                  <c:v>43245</c:v>
                </c:pt>
                <c:pt idx="49">
                  <c:v>43249</c:v>
                </c:pt>
                <c:pt idx="50">
                  <c:v>43250</c:v>
                </c:pt>
                <c:pt idx="51">
                  <c:v>43251</c:v>
                </c:pt>
                <c:pt idx="52">
                  <c:v>43255</c:v>
                </c:pt>
                <c:pt idx="53">
                  <c:v>43257</c:v>
                </c:pt>
                <c:pt idx="54">
                  <c:v>43258</c:v>
                </c:pt>
                <c:pt idx="55">
                  <c:v>43262</c:v>
                </c:pt>
                <c:pt idx="56">
                  <c:v>43264</c:v>
                </c:pt>
                <c:pt idx="57">
                  <c:v>43265</c:v>
                </c:pt>
                <c:pt idx="58">
                  <c:v>43269</c:v>
                </c:pt>
                <c:pt idx="59">
                  <c:v>43271</c:v>
                </c:pt>
                <c:pt idx="60">
                  <c:v>43272</c:v>
                </c:pt>
                <c:pt idx="61">
                  <c:v>43273</c:v>
                </c:pt>
                <c:pt idx="62">
                  <c:v>43276</c:v>
                </c:pt>
                <c:pt idx="63">
                  <c:v>43278</c:v>
                </c:pt>
                <c:pt idx="64">
                  <c:v>43279</c:v>
                </c:pt>
                <c:pt idx="65">
                  <c:v>43280</c:v>
                </c:pt>
                <c:pt idx="66">
                  <c:v>43283</c:v>
                </c:pt>
                <c:pt idx="67">
                  <c:v>43285</c:v>
                </c:pt>
                <c:pt idx="68">
                  <c:v>43290</c:v>
                </c:pt>
                <c:pt idx="69">
                  <c:v>43292</c:v>
                </c:pt>
                <c:pt idx="70">
                  <c:v>43293</c:v>
                </c:pt>
                <c:pt idx="71">
                  <c:v>43304</c:v>
                </c:pt>
                <c:pt idx="72">
                  <c:v>43305</c:v>
                </c:pt>
                <c:pt idx="73">
                  <c:v>43306</c:v>
                </c:pt>
                <c:pt idx="74">
                  <c:v>43308</c:v>
                </c:pt>
              </c:numCache>
            </c:numRef>
          </c:cat>
          <c:val>
            <c:numRef>
              <c:f>'Shelf history'!$AS$82:$AS$156</c:f>
              <c:numCache>
                <c:formatCode>General</c:formatCode>
                <c:ptCount val="75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52</c:v>
                </c:pt>
                <c:pt idx="24">
                  <c:v>52</c:v>
                </c:pt>
                <c:pt idx="25">
                  <c:v>52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52</c:v>
                </c:pt>
                <c:pt idx="32">
                  <c:v>52</c:v>
                </c:pt>
                <c:pt idx="33">
                  <c:v>52</c:v>
                </c:pt>
                <c:pt idx="34">
                  <c:v>52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52</c:v>
                </c:pt>
                <c:pt idx="53">
                  <c:v>52</c:v>
                </c:pt>
                <c:pt idx="54">
                  <c:v>52</c:v>
                </c:pt>
                <c:pt idx="55">
                  <c:v>52</c:v>
                </c:pt>
                <c:pt idx="56">
                  <c:v>52</c:v>
                </c:pt>
                <c:pt idx="57">
                  <c:v>52</c:v>
                </c:pt>
                <c:pt idx="58">
                  <c:v>52</c:v>
                </c:pt>
                <c:pt idx="59">
                  <c:v>52</c:v>
                </c:pt>
                <c:pt idx="60">
                  <c:v>52</c:v>
                </c:pt>
                <c:pt idx="61">
                  <c:v>52</c:v>
                </c:pt>
                <c:pt idx="62">
                  <c:v>52</c:v>
                </c:pt>
                <c:pt idx="63">
                  <c:v>52</c:v>
                </c:pt>
                <c:pt idx="64">
                  <c:v>52</c:v>
                </c:pt>
                <c:pt idx="65">
                  <c:v>52</c:v>
                </c:pt>
                <c:pt idx="66">
                  <c:v>52</c:v>
                </c:pt>
                <c:pt idx="67">
                  <c:v>52</c:v>
                </c:pt>
                <c:pt idx="68">
                  <c:v>52</c:v>
                </c:pt>
                <c:pt idx="69">
                  <c:v>52</c:v>
                </c:pt>
                <c:pt idx="70">
                  <c:v>52</c:v>
                </c:pt>
                <c:pt idx="71">
                  <c:v>52</c:v>
                </c:pt>
                <c:pt idx="72">
                  <c:v>52</c:v>
                </c:pt>
                <c:pt idx="73">
                  <c:v>52</c:v>
                </c:pt>
                <c:pt idx="74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51-430E-83DC-3CAB4C506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31200"/>
        <c:axId val="768933496"/>
      </c:lineChart>
      <c:dateAx>
        <c:axId val="768931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33496"/>
        <c:crosses val="autoZero"/>
        <c:auto val="1"/>
        <c:lblOffset val="100"/>
        <c:baseTimeUnit val="days"/>
      </c:dateAx>
      <c:valAx>
        <c:axId val="768933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31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history'!$A$82:$A$156</c:f>
              <c:numCache>
                <c:formatCode>m/d/yyyy</c:formatCode>
                <c:ptCount val="75"/>
                <c:pt idx="0">
                  <c:v>43126</c:v>
                </c:pt>
                <c:pt idx="1">
                  <c:v>43129</c:v>
                </c:pt>
                <c:pt idx="2">
                  <c:v>43132</c:v>
                </c:pt>
                <c:pt idx="3">
                  <c:v>43136</c:v>
                </c:pt>
                <c:pt idx="4">
                  <c:v>43139</c:v>
                </c:pt>
                <c:pt idx="5">
                  <c:v>43140</c:v>
                </c:pt>
                <c:pt idx="6">
                  <c:v>43143</c:v>
                </c:pt>
                <c:pt idx="7">
                  <c:v>43145</c:v>
                </c:pt>
                <c:pt idx="8">
                  <c:v>43146</c:v>
                </c:pt>
                <c:pt idx="9">
                  <c:v>43150</c:v>
                </c:pt>
                <c:pt idx="10">
                  <c:v>43153</c:v>
                </c:pt>
                <c:pt idx="11">
                  <c:v>43157</c:v>
                </c:pt>
                <c:pt idx="12">
                  <c:v>43159</c:v>
                </c:pt>
                <c:pt idx="13">
                  <c:v>43161</c:v>
                </c:pt>
                <c:pt idx="14">
                  <c:v>43164</c:v>
                </c:pt>
                <c:pt idx="15">
                  <c:v>43166</c:v>
                </c:pt>
                <c:pt idx="16">
                  <c:v>43168</c:v>
                </c:pt>
                <c:pt idx="17">
                  <c:v>43171</c:v>
                </c:pt>
                <c:pt idx="18">
                  <c:v>43173</c:v>
                </c:pt>
                <c:pt idx="19">
                  <c:v>43175</c:v>
                </c:pt>
                <c:pt idx="20">
                  <c:v>43178</c:v>
                </c:pt>
                <c:pt idx="21">
                  <c:v>43180</c:v>
                </c:pt>
                <c:pt idx="22">
                  <c:v>43182</c:v>
                </c:pt>
                <c:pt idx="23">
                  <c:v>43185</c:v>
                </c:pt>
                <c:pt idx="24">
                  <c:v>43187</c:v>
                </c:pt>
                <c:pt idx="25">
                  <c:v>43192</c:v>
                </c:pt>
                <c:pt idx="26">
                  <c:v>43194</c:v>
                </c:pt>
                <c:pt idx="27">
                  <c:v>43196</c:v>
                </c:pt>
                <c:pt idx="28">
                  <c:v>43199</c:v>
                </c:pt>
                <c:pt idx="29">
                  <c:v>43201</c:v>
                </c:pt>
                <c:pt idx="30">
                  <c:v>43202</c:v>
                </c:pt>
                <c:pt idx="31">
                  <c:v>43206</c:v>
                </c:pt>
                <c:pt idx="32">
                  <c:v>43208</c:v>
                </c:pt>
                <c:pt idx="33">
                  <c:v>43209</c:v>
                </c:pt>
                <c:pt idx="34">
                  <c:v>43213</c:v>
                </c:pt>
                <c:pt idx="35">
                  <c:v>43215</c:v>
                </c:pt>
                <c:pt idx="36">
                  <c:v>43217</c:v>
                </c:pt>
                <c:pt idx="37">
                  <c:v>43220</c:v>
                </c:pt>
                <c:pt idx="38">
                  <c:v>43222</c:v>
                </c:pt>
                <c:pt idx="39">
                  <c:v>43223</c:v>
                </c:pt>
                <c:pt idx="40">
                  <c:v>43227</c:v>
                </c:pt>
                <c:pt idx="41">
                  <c:v>43229</c:v>
                </c:pt>
                <c:pt idx="42">
                  <c:v>43231</c:v>
                </c:pt>
                <c:pt idx="43">
                  <c:v>43234</c:v>
                </c:pt>
                <c:pt idx="44">
                  <c:v>43236</c:v>
                </c:pt>
                <c:pt idx="45">
                  <c:v>43237</c:v>
                </c:pt>
                <c:pt idx="46">
                  <c:v>43241</c:v>
                </c:pt>
                <c:pt idx="47">
                  <c:v>43243</c:v>
                </c:pt>
                <c:pt idx="48">
                  <c:v>43245</c:v>
                </c:pt>
                <c:pt idx="49">
                  <c:v>43249</c:v>
                </c:pt>
                <c:pt idx="50">
                  <c:v>43250</c:v>
                </c:pt>
                <c:pt idx="51">
                  <c:v>43251</c:v>
                </c:pt>
                <c:pt idx="52">
                  <c:v>43255</c:v>
                </c:pt>
                <c:pt idx="53">
                  <c:v>43257</c:v>
                </c:pt>
                <c:pt idx="54">
                  <c:v>43258</c:v>
                </c:pt>
                <c:pt idx="55">
                  <c:v>43262</c:v>
                </c:pt>
                <c:pt idx="56">
                  <c:v>43264</c:v>
                </c:pt>
                <c:pt idx="57">
                  <c:v>43265</c:v>
                </c:pt>
                <c:pt idx="58">
                  <c:v>43269</c:v>
                </c:pt>
                <c:pt idx="59">
                  <c:v>43271</c:v>
                </c:pt>
                <c:pt idx="60">
                  <c:v>43272</c:v>
                </c:pt>
                <c:pt idx="61">
                  <c:v>43273</c:v>
                </c:pt>
                <c:pt idx="62">
                  <c:v>43276</c:v>
                </c:pt>
                <c:pt idx="63">
                  <c:v>43278</c:v>
                </c:pt>
                <c:pt idx="64">
                  <c:v>43279</c:v>
                </c:pt>
                <c:pt idx="65">
                  <c:v>43280</c:v>
                </c:pt>
                <c:pt idx="66">
                  <c:v>43283</c:v>
                </c:pt>
                <c:pt idx="67">
                  <c:v>43285</c:v>
                </c:pt>
                <c:pt idx="68">
                  <c:v>43290</c:v>
                </c:pt>
                <c:pt idx="69">
                  <c:v>43292</c:v>
                </c:pt>
                <c:pt idx="70">
                  <c:v>43293</c:v>
                </c:pt>
                <c:pt idx="71">
                  <c:v>43304</c:v>
                </c:pt>
                <c:pt idx="72">
                  <c:v>43305</c:v>
                </c:pt>
                <c:pt idx="73">
                  <c:v>43306</c:v>
                </c:pt>
                <c:pt idx="74">
                  <c:v>43308</c:v>
                </c:pt>
              </c:numCache>
            </c:numRef>
          </c:cat>
          <c:val>
            <c:numRef>
              <c:f>'Shelf history'!$AT$82:$AT$156</c:f>
              <c:numCache>
                <c:formatCode>General</c:formatCode>
                <c:ptCount val="7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7C-4C96-AB1F-5D180A0F7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33496"/>
        <c:axId val="768929560"/>
      </c:lineChart>
      <c:dateAx>
        <c:axId val="768933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29560"/>
        <c:crosses val="autoZero"/>
        <c:auto val="1"/>
        <c:lblOffset val="100"/>
        <c:baseTimeUnit val="days"/>
      </c:dateAx>
      <c:valAx>
        <c:axId val="768929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334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SamCups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history'!$A$155:$A$156</c:f>
              <c:numCache>
                <c:formatCode>m/d/yyyy</c:formatCode>
                <c:ptCount val="2"/>
                <c:pt idx="0">
                  <c:v>43306</c:v>
                </c:pt>
                <c:pt idx="1">
                  <c:v>43308</c:v>
                </c:pt>
              </c:numCache>
            </c:numRef>
          </c:cat>
          <c:val>
            <c:numRef>
              <c:f>'Shelf history'!$AU$156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4-422F-BAF6-2E75F0701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15128"/>
        <c:axId val="768914800"/>
      </c:lineChart>
      <c:dateAx>
        <c:axId val="768915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14800"/>
        <c:crosses val="autoZero"/>
        <c:auto val="1"/>
        <c:lblOffset val="100"/>
        <c:baseTimeUnit val="days"/>
      </c:dateAx>
      <c:valAx>
        <c:axId val="768914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15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Bili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0.0248227</c:v>
          </c:tx>
          <c:marker>
            <c:symbol val="none"/>
          </c:marker>
          <c:trendline>
            <c:name>0 Date: 9/2/2018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history'!$AV$36:$AV$156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AE-459E-9D93-A6EDEFF80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20704"/>
        <c:axId val="768921032"/>
      </c:lineChart>
      <c:dateAx>
        <c:axId val="768920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21032"/>
        <c:crosses val="autoZero"/>
        <c:auto val="1"/>
        <c:lblOffset val="100"/>
        <c:baseTimeUnit val="days"/>
      </c:dateAx>
      <c:valAx>
        <c:axId val="768921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207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Empty Wedge 90ml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0.2283737</c:v>
          </c:tx>
          <c:marker>
            <c:symbol val="none"/>
          </c:marker>
          <c:trendline>
            <c:name>0 Date: 8/27/2018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history'!$AW$36:$AW$156</c:f>
              <c:numCache>
                <c:formatCode>General</c:formatCode>
                <c:ptCount val="12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9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22</c:v>
                </c:pt>
                <c:pt idx="104">
                  <c:v>22</c:v>
                </c:pt>
                <c:pt idx="105">
                  <c:v>22</c:v>
                </c:pt>
                <c:pt idx="106">
                  <c:v>22</c:v>
                </c:pt>
                <c:pt idx="107">
                  <c:v>22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F7-4AD0-9277-4FAF9CADE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8913488"/>
        <c:axId val="768913816"/>
      </c:lineChart>
      <c:dateAx>
        <c:axId val="768913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8913816"/>
        <c:crosses val="autoZero"/>
        <c:auto val="1"/>
        <c:lblOffset val="100"/>
        <c:baseTimeUnit val="days"/>
      </c:dateAx>
      <c:valAx>
        <c:axId val="768913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8913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Specimen cups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42.14533</c:v>
          </c:tx>
          <c:marker>
            <c:symbol val="none"/>
          </c:marker>
          <c:trendline>
            <c:name>0 Date: 9/20/2018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history'!$AX$36:$AX$156</c:f>
              <c:numCache>
                <c:formatCode>General</c:formatCode>
                <c:ptCount val="121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1200</c:v>
                </c:pt>
                <c:pt idx="5">
                  <c:v>1200</c:v>
                </c:pt>
                <c:pt idx="6">
                  <c:v>1200</c:v>
                </c:pt>
                <c:pt idx="7">
                  <c:v>1200</c:v>
                </c:pt>
                <c:pt idx="8">
                  <c:v>1200</c:v>
                </c:pt>
                <c:pt idx="9">
                  <c:v>1200</c:v>
                </c:pt>
                <c:pt idx="10">
                  <c:v>1200</c:v>
                </c:pt>
                <c:pt idx="11">
                  <c:v>1200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3950</c:v>
                </c:pt>
                <c:pt idx="16">
                  <c:v>3950</c:v>
                </c:pt>
                <c:pt idx="17">
                  <c:v>3800</c:v>
                </c:pt>
                <c:pt idx="18">
                  <c:v>3800</c:v>
                </c:pt>
                <c:pt idx="19">
                  <c:v>3800</c:v>
                </c:pt>
                <c:pt idx="20">
                  <c:v>3800</c:v>
                </c:pt>
                <c:pt idx="21">
                  <c:v>3300</c:v>
                </c:pt>
                <c:pt idx="22">
                  <c:v>3300</c:v>
                </c:pt>
                <c:pt idx="23">
                  <c:v>3300</c:v>
                </c:pt>
                <c:pt idx="24">
                  <c:v>3300</c:v>
                </c:pt>
                <c:pt idx="25">
                  <c:v>3300</c:v>
                </c:pt>
                <c:pt idx="26">
                  <c:v>2825</c:v>
                </c:pt>
                <c:pt idx="27">
                  <c:v>2825</c:v>
                </c:pt>
                <c:pt idx="28">
                  <c:v>2825</c:v>
                </c:pt>
                <c:pt idx="29">
                  <c:v>2825</c:v>
                </c:pt>
                <c:pt idx="30">
                  <c:v>2825</c:v>
                </c:pt>
                <c:pt idx="31">
                  <c:v>2825</c:v>
                </c:pt>
                <c:pt idx="32">
                  <c:v>2225</c:v>
                </c:pt>
                <c:pt idx="33">
                  <c:v>2225</c:v>
                </c:pt>
                <c:pt idx="34">
                  <c:v>1975</c:v>
                </c:pt>
                <c:pt idx="35">
                  <c:v>1975</c:v>
                </c:pt>
                <c:pt idx="36">
                  <c:v>1975</c:v>
                </c:pt>
                <c:pt idx="37">
                  <c:v>1575</c:v>
                </c:pt>
                <c:pt idx="38">
                  <c:v>1575</c:v>
                </c:pt>
                <c:pt idx="39">
                  <c:v>1275</c:v>
                </c:pt>
                <c:pt idx="40">
                  <c:v>1275</c:v>
                </c:pt>
                <c:pt idx="41">
                  <c:v>1025</c:v>
                </c:pt>
                <c:pt idx="42">
                  <c:v>1025</c:v>
                </c:pt>
                <c:pt idx="43">
                  <c:v>1775</c:v>
                </c:pt>
                <c:pt idx="44">
                  <c:v>1775</c:v>
                </c:pt>
                <c:pt idx="45">
                  <c:v>1775</c:v>
                </c:pt>
                <c:pt idx="46">
                  <c:v>1500</c:v>
                </c:pt>
                <c:pt idx="47">
                  <c:v>1500</c:v>
                </c:pt>
                <c:pt idx="48">
                  <c:v>1150</c:v>
                </c:pt>
                <c:pt idx="49">
                  <c:v>1000</c:v>
                </c:pt>
                <c:pt idx="50">
                  <c:v>1000</c:v>
                </c:pt>
                <c:pt idx="51">
                  <c:v>4800</c:v>
                </c:pt>
                <c:pt idx="52">
                  <c:v>4800</c:v>
                </c:pt>
                <c:pt idx="53">
                  <c:v>4800</c:v>
                </c:pt>
                <c:pt idx="54">
                  <c:v>4800</c:v>
                </c:pt>
                <c:pt idx="55">
                  <c:v>4300</c:v>
                </c:pt>
                <c:pt idx="56">
                  <c:v>4100</c:v>
                </c:pt>
                <c:pt idx="57">
                  <c:v>4100</c:v>
                </c:pt>
                <c:pt idx="58">
                  <c:v>4100</c:v>
                </c:pt>
                <c:pt idx="59">
                  <c:v>3850</c:v>
                </c:pt>
                <c:pt idx="60">
                  <c:v>3580</c:v>
                </c:pt>
                <c:pt idx="61">
                  <c:v>3580</c:v>
                </c:pt>
                <c:pt idx="62">
                  <c:v>3480</c:v>
                </c:pt>
                <c:pt idx="63">
                  <c:v>3430</c:v>
                </c:pt>
                <c:pt idx="64">
                  <c:v>3180</c:v>
                </c:pt>
                <c:pt idx="65">
                  <c:v>3080</c:v>
                </c:pt>
                <c:pt idx="66">
                  <c:v>2980</c:v>
                </c:pt>
                <c:pt idx="67">
                  <c:v>2830</c:v>
                </c:pt>
                <c:pt idx="68">
                  <c:v>2730</c:v>
                </c:pt>
                <c:pt idx="69">
                  <c:v>2600</c:v>
                </c:pt>
                <c:pt idx="70">
                  <c:v>2450</c:v>
                </c:pt>
                <c:pt idx="71">
                  <c:v>2230</c:v>
                </c:pt>
                <c:pt idx="72">
                  <c:v>2130</c:v>
                </c:pt>
                <c:pt idx="73">
                  <c:v>3080</c:v>
                </c:pt>
                <c:pt idx="74">
                  <c:v>3030</c:v>
                </c:pt>
                <c:pt idx="75">
                  <c:v>2780</c:v>
                </c:pt>
                <c:pt idx="76">
                  <c:v>2780</c:v>
                </c:pt>
                <c:pt idx="77">
                  <c:v>2630</c:v>
                </c:pt>
                <c:pt idx="78">
                  <c:v>2480</c:v>
                </c:pt>
                <c:pt idx="79">
                  <c:v>2480</c:v>
                </c:pt>
                <c:pt idx="80">
                  <c:v>2230</c:v>
                </c:pt>
                <c:pt idx="81">
                  <c:v>2220</c:v>
                </c:pt>
                <c:pt idx="82">
                  <c:v>2075</c:v>
                </c:pt>
                <c:pt idx="83">
                  <c:v>1920</c:v>
                </c:pt>
                <c:pt idx="84">
                  <c:v>1825</c:v>
                </c:pt>
                <c:pt idx="85">
                  <c:v>1825</c:v>
                </c:pt>
                <c:pt idx="86">
                  <c:v>1670</c:v>
                </c:pt>
                <c:pt idx="87">
                  <c:v>1520</c:v>
                </c:pt>
                <c:pt idx="88">
                  <c:v>2380</c:v>
                </c:pt>
                <c:pt idx="89">
                  <c:v>2275</c:v>
                </c:pt>
                <c:pt idx="90">
                  <c:v>2225</c:v>
                </c:pt>
                <c:pt idx="91">
                  <c:v>2225</c:v>
                </c:pt>
                <c:pt idx="92">
                  <c:v>2025</c:v>
                </c:pt>
                <c:pt idx="93">
                  <c:v>1825</c:v>
                </c:pt>
                <c:pt idx="94">
                  <c:v>1800</c:v>
                </c:pt>
                <c:pt idx="95">
                  <c:v>1630</c:v>
                </c:pt>
                <c:pt idx="96">
                  <c:v>1530</c:v>
                </c:pt>
                <c:pt idx="97">
                  <c:v>1465</c:v>
                </c:pt>
                <c:pt idx="98">
                  <c:v>1340</c:v>
                </c:pt>
                <c:pt idx="99">
                  <c:v>1130</c:v>
                </c:pt>
                <c:pt idx="100">
                  <c:v>2630</c:v>
                </c:pt>
                <c:pt idx="101">
                  <c:v>2480</c:v>
                </c:pt>
                <c:pt idx="102">
                  <c:v>2325</c:v>
                </c:pt>
                <c:pt idx="103">
                  <c:v>2325</c:v>
                </c:pt>
                <c:pt idx="104">
                  <c:v>2060</c:v>
                </c:pt>
                <c:pt idx="105">
                  <c:v>1980</c:v>
                </c:pt>
                <c:pt idx="106">
                  <c:v>1980</c:v>
                </c:pt>
                <c:pt idx="107">
                  <c:v>1880</c:v>
                </c:pt>
                <c:pt idx="108">
                  <c:v>1730</c:v>
                </c:pt>
                <c:pt idx="109">
                  <c:v>1675</c:v>
                </c:pt>
                <c:pt idx="110">
                  <c:v>1675</c:v>
                </c:pt>
                <c:pt idx="111">
                  <c:v>1675</c:v>
                </c:pt>
                <c:pt idx="112">
                  <c:v>1475</c:v>
                </c:pt>
                <c:pt idx="113">
                  <c:v>1280</c:v>
                </c:pt>
                <c:pt idx="114">
                  <c:v>1120</c:v>
                </c:pt>
                <c:pt idx="115">
                  <c:v>1025</c:v>
                </c:pt>
                <c:pt idx="116">
                  <c:v>980</c:v>
                </c:pt>
                <c:pt idx="117">
                  <c:v>2480</c:v>
                </c:pt>
                <c:pt idx="118">
                  <c:v>2480</c:v>
                </c:pt>
                <c:pt idx="119">
                  <c:v>2480</c:v>
                </c:pt>
                <c:pt idx="120">
                  <c:v>2330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B-4A92-8D8F-9500524EF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65368"/>
        <c:axId val="769164712"/>
      </c:lineChart>
      <c:dateAx>
        <c:axId val="769165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64712"/>
        <c:crosses val="autoZero"/>
        <c:auto val="1"/>
        <c:lblOffset val="100"/>
        <c:baseTimeUnit val="days"/>
      </c:dateAx>
      <c:valAx>
        <c:axId val="769164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65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0.01038062</c:v>
          </c:tx>
          <c:marker>
            <c:symbol val="none"/>
          </c:marker>
          <c:trendline>
            <c:name>0 Date: 11/26/2018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history'!$AY$36:$AY$156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E-4D60-B499-15AA0BFCD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71928"/>
        <c:axId val="769172256"/>
      </c:lineChart>
      <c:dateAx>
        <c:axId val="769171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72256"/>
        <c:crosses val="autoZero"/>
        <c:auto val="1"/>
        <c:lblOffset val="100"/>
        <c:baseTimeUnit val="days"/>
      </c:dateAx>
      <c:valAx>
        <c:axId val="769172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719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0.0141844</c:v>
          </c:tx>
          <c:marker>
            <c:symbol val="none"/>
          </c:marker>
          <c:trendline>
            <c:name>0 Date: 2/20/2019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history'!$AZ$36:$AZ$156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8B-4788-B7A6-678FFBC64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48968"/>
        <c:axId val="769155200"/>
      </c:lineChart>
      <c:dateAx>
        <c:axId val="769148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55200"/>
        <c:crosses val="autoZero"/>
        <c:auto val="1"/>
        <c:lblOffset val="100"/>
        <c:baseTimeUnit val="days"/>
      </c:dateAx>
      <c:valAx>
        <c:axId val="769155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48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FE/Mg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0.01038062</c:v>
          </c:tx>
          <c:marker>
            <c:symbol val="none"/>
          </c:marker>
          <c:trendline>
            <c:name>0 Date: 8/29/2018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history'!$BA$36:$BA$156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1C-4646-88EA-E9A897ECA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52904"/>
        <c:axId val="769155200"/>
      </c:lineChart>
      <c:dateAx>
        <c:axId val="769152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55200"/>
        <c:crosses val="autoZero"/>
        <c:auto val="1"/>
        <c:lblOffset val="100"/>
        <c:baseTimeUnit val="days"/>
      </c:dateAx>
      <c:valAx>
        <c:axId val="769155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529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Serum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0.1072664</c:v>
          </c:tx>
          <c:marker>
            <c:symbol val="none"/>
          </c:marker>
          <c:trendline>
            <c:name>0 Date: 9/17/2018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history'!$BB$36:$BB$156</c:f>
              <c:numCache>
                <c:formatCode>General</c:formatCode>
                <c:ptCount val="121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15</c:v>
                </c:pt>
                <c:pt idx="15">
                  <c:v>15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13</c:v>
                </c:pt>
                <c:pt idx="20">
                  <c:v>13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12</c:v>
                </c:pt>
                <c:pt idx="60">
                  <c:v>12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10</c:v>
                </c:pt>
                <c:pt idx="66">
                  <c:v>10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12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4B-4AA2-9882-3D28A2A0C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72584"/>
        <c:axId val="769176520"/>
      </c:lineChart>
      <c:dateAx>
        <c:axId val="769172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76520"/>
        <c:crosses val="autoZero"/>
        <c:auto val="1"/>
        <c:lblOffset val="100"/>
        <c:baseTimeUnit val="days"/>
      </c:dateAx>
      <c:valAx>
        <c:axId val="769176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725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Urine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0.1176471</c:v>
          </c:tx>
          <c:marker>
            <c:symbol val="none"/>
          </c:marker>
          <c:trendline>
            <c:name>0 Date: 11/3/2018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history'!$BC$36:$BC$156</c:f>
              <c:numCache>
                <c:formatCode>General</c:formatCode>
                <c:ptCount val="12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13</c:v>
                </c:pt>
                <c:pt idx="15">
                  <c:v>13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11</c:v>
                </c:pt>
                <c:pt idx="20">
                  <c:v>11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10</c:v>
                </c:pt>
                <c:pt idx="60">
                  <c:v>10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8</c:v>
                </c:pt>
                <c:pt idx="66">
                  <c:v>8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11</c:v>
                </c:pt>
                <c:pt idx="89">
                  <c:v>11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D1-4E23-AA7A-2213C008E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66352"/>
        <c:axId val="769168648"/>
      </c:lineChart>
      <c:dateAx>
        <c:axId val="769166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68648"/>
        <c:crosses val="autoZero"/>
        <c:auto val="1"/>
        <c:lblOffset val="100"/>
        <c:baseTimeUnit val="days"/>
      </c:dateAx>
      <c:valAx>
        <c:axId val="769168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663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MCC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0.03806228</c:v>
          </c:tx>
          <c:marker>
            <c:symbol val="none"/>
          </c:marker>
          <c:trendline>
            <c:name>0 Date: 8/18/2018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history'!$BD$36:$BD$156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70-4B4D-BEB3-E0675ACCA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170288"/>
        <c:axId val="769171600"/>
      </c:lineChart>
      <c:dateAx>
        <c:axId val="769170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69171600"/>
        <c:crosses val="autoZero"/>
        <c:auto val="1"/>
        <c:lblOffset val="100"/>
        <c:baseTimeUnit val="days"/>
      </c:dateAx>
      <c:valAx>
        <c:axId val="769171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9170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BNP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0.006920415</c:v>
          </c:tx>
          <c:marker>
            <c:symbol val="none"/>
          </c:marker>
          <c:trendline>
            <c:name>0 Date: 1/9/2019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history'!$BE$36:$BE$156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D4-4825-8ED1-265D1CAE6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957280"/>
        <c:axId val="715953016"/>
      </c:lineChart>
      <c:dateAx>
        <c:axId val="715957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5953016"/>
        <c:crosses val="autoZero"/>
        <c:auto val="1"/>
        <c:lblOffset val="100"/>
        <c:baseTimeUnit val="days"/>
      </c:dateAx>
      <c:valAx>
        <c:axId val="715953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9572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iVanc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0.003846154</c:v>
          </c:tx>
          <c:marker>
            <c:symbol val="none"/>
          </c:marker>
          <c:trendline>
            <c:name>0 Date: 9/10/2020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history'!$BG$36:$BG$156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B45-A861-B849CDD0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962200"/>
        <c:axId val="715962856"/>
      </c:lineChart>
      <c:dateAx>
        <c:axId val="715962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5962856"/>
        <c:crosses val="autoZero"/>
        <c:auto val="1"/>
        <c:lblOffset val="100"/>
        <c:baseTimeUnit val="days"/>
      </c:dateAx>
      <c:valAx>
        <c:axId val="715962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962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0.01287554</c:v>
          </c:tx>
          <c:marker>
            <c:symbol val="none"/>
          </c:marker>
          <c:trendline>
            <c:name>0 Date: 10/13/2018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history'!$BH$36:$BH$156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B-4EA3-B721-E31EB23D5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959904"/>
        <c:axId val="715961872"/>
      </c:lineChart>
      <c:dateAx>
        <c:axId val="715959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5961872"/>
        <c:crosses val="autoZero"/>
        <c:auto val="1"/>
        <c:lblOffset val="100"/>
        <c:baseTimeUnit val="days"/>
      </c:dateAx>
      <c:valAx>
        <c:axId val="715961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9599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TnI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0.01038062</c:v>
          </c:tx>
          <c:marker>
            <c:symbol val="none"/>
          </c:marker>
          <c:trendline>
            <c:name>0 Date: 9/8/2018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history'!$BI$36:$BI$156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2-4F3A-8856-21D227A39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961872"/>
        <c:axId val="715963840"/>
      </c:lineChart>
      <c:dateAx>
        <c:axId val="715961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15963840"/>
        <c:crosses val="autoZero"/>
        <c:auto val="1"/>
        <c:lblOffset val="100"/>
        <c:baseTimeUnit val="days"/>
      </c:dateAx>
      <c:valAx>
        <c:axId val="715963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9618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TSH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0.0141844</c:v>
          </c:tx>
          <c:marker>
            <c:symbol val="none"/>
          </c:marker>
          <c:trendline>
            <c:name>0 Date: 8/21/2018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history'!$BJ$36:$BJ$156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8-4BC3-8306-DD30F9A84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8168"/>
        <c:axId val="792844072"/>
      </c:lineChart>
      <c:dateAx>
        <c:axId val="792838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44072"/>
        <c:crosses val="autoZero"/>
        <c:auto val="1"/>
        <c:lblOffset val="100"/>
        <c:baseTimeUnit val="days"/>
      </c:dateAx>
      <c:valAx>
        <c:axId val="792844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38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 Control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0.03114187</c:v>
          </c:tx>
          <c:marker>
            <c:symbol val="none"/>
          </c:marker>
          <c:trendline>
            <c:name>0 Date: 8/24/2018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history'!$BK$36:$BK$156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C-41D5-A64E-AFAA223AA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51944"/>
        <c:axId val="792852272"/>
      </c:lineChart>
      <c:dateAx>
        <c:axId val="792851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52272"/>
        <c:crosses val="autoZero"/>
        <c:auto val="1"/>
        <c:lblOffset val="100"/>
        <c:baseTimeUnit val="days"/>
      </c:dateAx>
      <c:valAx>
        <c:axId val="792852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519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Chem 69X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0.1314879</c:v>
          </c:tx>
          <c:marker>
            <c:symbol val="none"/>
          </c:marker>
          <c:trendline>
            <c:name>0 Date: 5/26/2021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history'!$BL$36:$BL$156</c:f>
              <c:numCache>
                <c:formatCode>General</c:formatCode>
                <c:ptCount val="121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51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  <c:pt idx="12">
                  <c:v>48</c:v>
                </c:pt>
                <c:pt idx="13">
                  <c:v>48</c:v>
                </c:pt>
                <c:pt idx="14">
                  <c:v>48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5">
                  <c:v>48</c:v>
                </c:pt>
                <c:pt idx="26">
                  <c:v>46</c:v>
                </c:pt>
                <c:pt idx="27">
                  <c:v>46</c:v>
                </c:pt>
                <c:pt idx="28">
                  <c:v>44</c:v>
                </c:pt>
                <c:pt idx="29">
                  <c:v>167</c:v>
                </c:pt>
                <c:pt idx="30">
                  <c:v>167</c:v>
                </c:pt>
                <c:pt idx="31">
                  <c:v>165</c:v>
                </c:pt>
                <c:pt idx="32">
                  <c:v>165</c:v>
                </c:pt>
                <c:pt idx="33">
                  <c:v>165</c:v>
                </c:pt>
                <c:pt idx="34">
                  <c:v>164</c:v>
                </c:pt>
                <c:pt idx="35">
                  <c:v>164</c:v>
                </c:pt>
                <c:pt idx="36">
                  <c:v>164</c:v>
                </c:pt>
                <c:pt idx="37">
                  <c:v>163</c:v>
                </c:pt>
                <c:pt idx="38">
                  <c:v>163</c:v>
                </c:pt>
                <c:pt idx="39">
                  <c:v>163</c:v>
                </c:pt>
                <c:pt idx="40">
                  <c:v>163</c:v>
                </c:pt>
                <c:pt idx="41">
                  <c:v>162</c:v>
                </c:pt>
                <c:pt idx="42">
                  <c:v>162</c:v>
                </c:pt>
                <c:pt idx="43">
                  <c:v>162</c:v>
                </c:pt>
                <c:pt idx="44">
                  <c:v>162</c:v>
                </c:pt>
                <c:pt idx="45">
                  <c:v>162</c:v>
                </c:pt>
                <c:pt idx="46">
                  <c:v>161</c:v>
                </c:pt>
                <c:pt idx="47">
                  <c:v>161</c:v>
                </c:pt>
                <c:pt idx="48">
                  <c:v>161</c:v>
                </c:pt>
                <c:pt idx="49">
                  <c:v>160</c:v>
                </c:pt>
                <c:pt idx="50">
                  <c:v>160</c:v>
                </c:pt>
                <c:pt idx="51">
                  <c:v>160</c:v>
                </c:pt>
                <c:pt idx="52">
                  <c:v>158</c:v>
                </c:pt>
                <c:pt idx="53">
                  <c:v>158</c:v>
                </c:pt>
                <c:pt idx="54">
                  <c:v>158</c:v>
                </c:pt>
                <c:pt idx="55">
                  <c:v>157</c:v>
                </c:pt>
                <c:pt idx="56">
                  <c:v>157</c:v>
                </c:pt>
                <c:pt idx="57">
                  <c:v>157</c:v>
                </c:pt>
                <c:pt idx="58">
                  <c:v>157</c:v>
                </c:pt>
                <c:pt idx="59">
                  <c:v>157</c:v>
                </c:pt>
                <c:pt idx="60">
                  <c:v>157</c:v>
                </c:pt>
                <c:pt idx="61">
                  <c:v>157</c:v>
                </c:pt>
                <c:pt idx="62">
                  <c:v>157</c:v>
                </c:pt>
                <c:pt idx="63">
                  <c:v>156</c:v>
                </c:pt>
                <c:pt idx="64">
                  <c:v>156</c:v>
                </c:pt>
                <c:pt idx="65">
                  <c:v>156</c:v>
                </c:pt>
                <c:pt idx="66">
                  <c:v>155</c:v>
                </c:pt>
                <c:pt idx="67">
                  <c:v>155</c:v>
                </c:pt>
                <c:pt idx="68">
                  <c:v>155</c:v>
                </c:pt>
                <c:pt idx="69">
                  <c:v>154</c:v>
                </c:pt>
                <c:pt idx="70">
                  <c:v>154</c:v>
                </c:pt>
                <c:pt idx="71">
                  <c:v>153</c:v>
                </c:pt>
                <c:pt idx="72">
                  <c:v>153</c:v>
                </c:pt>
                <c:pt idx="73">
                  <c:v>153</c:v>
                </c:pt>
                <c:pt idx="74">
                  <c:v>153</c:v>
                </c:pt>
                <c:pt idx="75">
                  <c:v>153</c:v>
                </c:pt>
                <c:pt idx="76">
                  <c:v>152</c:v>
                </c:pt>
                <c:pt idx="77">
                  <c:v>152</c:v>
                </c:pt>
                <c:pt idx="78">
                  <c:v>151</c:v>
                </c:pt>
                <c:pt idx="79">
                  <c:v>151</c:v>
                </c:pt>
                <c:pt idx="80">
                  <c:v>151</c:v>
                </c:pt>
                <c:pt idx="81">
                  <c:v>150</c:v>
                </c:pt>
                <c:pt idx="82">
                  <c:v>149</c:v>
                </c:pt>
                <c:pt idx="83">
                  <c:v>149</c:v>
                </c:pt>
                <c:pt idx="84">
                  <c:v>148</c:v>
                </c:pt>
                <c:pt idx="85">
                  <c:v>148</c:v>
                </c:pt>
                <c:pt idx="86">
                  <c:v>147</c:v>
                </c:pt>
                <c:pt idx="87">
                  <c:v>147</c:v>
                </c:pt>
                <c:pt idx="88">
                  <c:v>147</c:v>
                </c:pt>
                <c:pt idx="89">
                  <c:v>147</c:v>
                </c:pt>
                <c:pt idx="90">
                  <c:v>146</c:v>
                </c:pt>
                <c:pt idx="91">
                  <c:v>146</c:v>
                </c:pt>
                <c:pt idx="92">
                  <c:v>146</c:v>
                </c:pt>
                <c:pt idx="93">
                  <c:v>145</c:v>
                </c:pt>
                <c:pt idx="94">
                  <c:v>145</c:v>
                </c:pt>
                <c:pt idx="95">
                  <c:v>145</c:v>
                </c:pt>
                <c:pt idx="96">
                  <c:v>145</c:v>
                </c:pt>
                <c:pt idx="97">
                  <c:v>145</c:v>
                </c:pt>
                <c:pt idx="98">
                  <c:v>144</c:v>
                </c:pt>
                <c:pt idx="99">
                  <c:v>143</c:v>
                </c:pt>
                <c:pt idx="100">
                  <c:v>143</c:v>
                </c:pt>
                <c:pt idx="101">
                  <c:v>143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141</c:v>
                </c:pt>
                <c:pt idx="109">
                  <c:v>141</c:v>
                </c:pt>
                <c:pt idx="110">
                  <c:v>141</c:v>
                </c:pt>
                <c:pt idx="111">
                  <c:v>141</c:v>
                </c:pt>
                <c:pt idx="112">
                  <c:v>140</c:v>
                </c:pt>
                <c:pt idx="113">
                  <c:v>140</c:v>
                </c:pt>
                <c:pt idx="114">
                  <c:v>139</c:v>
                </c:pt>
                <c:pt idx="115">
                  <c:v>139</c:v>
                </c:pt>
                <c:pt idx="116">
                  <c:v>139</c:v>
                </c:pt>
                <c:pt idx="117">
                  <c:v>137</c:v>
                </c:pt>
                <c:pt idx="118">
                  <c:v>137</c:v>
                </c:pt>
                <c:pt idx="119">
                  <c:v>137</c:v>
                </c:pt>
                <c:pt idx="120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9-49BA-9130-671AB04C4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63096"/>
        <c:axId val="792865392"/>
      </c:lineChart>
      <c:dateAx>
        <c:axId val="792863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65392"/>
        <c:crosses val="autoZero"/>
        <c:auto val="1"/>
        <c:lblOffset val="100"/>
        <c:baseTimeUnit val="days"/>
      </c:dateAx>
      <c:valAx>
        <c:axId val="792865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630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Imm 59X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0.07829182</c:v>
          </c:tx>
          <c:marker>
            <c:symbol val="none"/>
          </c:marker>
          <c:trendline>
            <c:name>0 Date: 3/20/2021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history'!$BM$36:$BM$156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18</c:v>
                </c:pt>
                <c:pt idx="42">
                  <c:v>18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16</c:v>
                </c:pt>
                <c:pt idx="58">
                  <c:v>16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11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9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8-4E25-A689-B116F520C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76872"/>
        <c:axId val="792869656"/>
      </c:lineChart>
      <c:dateAx>
        <c:axId val="792876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69656"/>
        <c:crosses val="autoZero"/>
        <c:auto val="1"/>
        <c:lblOffset val="100"/>
        <c:baseTimeUnit val="days"/>
      </c:dateAx>
      <c:valAx>
        <c:axId val="792869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768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IAP 36X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0.1107266</c:v>
          </c:tx>
          <c:marker>
            <c:symbol val="none"/>
          </c:marker>
          <c:trendline>
            <c:name>0 Date: 9/16/2021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history'!$BN$36:$BN$156</c:f>
              <c:numCache>
                <c:formatCode>General</c:formatCode>
                <c:ptCount val="12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13</c:v>
                </c:pt>
                <c:pt idx="18">
                  <c:v>13</c:v>
                </c:pt>
                <c:pt idx="19">
                  <c:v>12</c:v>
                </c:pt>
                <c:pt idx="20">
                  <c:v>12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6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148</c:v>
                </c:pt>
                <c:pt idx="50">
                  <c:v>148</c:v>
                </c:pt>
                <c:pt idx="51">
                  <c:v>148</c:v>
                </c:pt>
                <c:pt idx="52">
                  <c:v>148</c:v>
                </c:pt>
                <c:pt idx="53">
                  <c:v>148</c:v>
                </c:pt>
                <c:pt idx="54">
                  <c:v>148</c:v>
                </c:pt>
                <c:pt idx="55">
                  <c:v>147</c:v>
                </c:pt>
                <c:pt idx="56">
                  <c:v>147</c:v>
                </c:pt>
                <c:pt idx="57">
                  <c:v>145</c:v>
                </c:pt>
                <c:pt idx="58">
                  <c:v>145</c:v>
                </c:pt>
                <c:pt idx="59">
                  <c:v>144</c:v>
                </c:pt>
                <c:pt idx="60">
                  <c:v>144</c:v>
                </c:pt>
                <c:pt idx="61">
                  <c:v>144</c:v>
                </c:pt>
                <c:pt idx="62">
                  <c:v>144</c:v>
                </c:pt>
                <c:pt idx="63">
                  <c:v>143</c:v>
                </c:pt>
                <c:pt idx="64">
                  <c:v>143</c:v>
                </c:pt>
                <c:pt idx="65">
                  <c:v>142</c:v>
                </c:pt>
                <c:pt idx="66">
                  <c:v>141</c:v>
                </c:pt>
                <c:pt idx="67">
                  <c:v>141</c:v>
                </c:pt>
                <c:pt idx="68">
                  <c:v>141</c:v>
                </c:pt>
                <c:pt idx="69">
                  <c:v>141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138</c:v>
                </c:pt>
                <c:pt idx="75">
                  <c:v>138</c:v>
                </c:pt>
                <c:pt idx="76">
                  <c:v>138</c:v>
                </c:pt>
                <c:pt idx="77">
                  <c:v>138</c:v>
                </c:pt>
                <c:pt idx="78">
                  <c:v>138</c:v>
                </c:pt>
                <c:pt idx="79">
                  <c:v>138</c:v>
                </c:pt>
                <c:pt idx="80">
                  <c:v>138</c:v>
                </c:pt>
                <c:pt idx="81">
                  <c:v>137</c:v>
                </c:pt>
                <c:pt idx="82">
                  <c:v>137</c:v>
                </c:pt>
                <c:pt idx="83">
                  <c:v>137</c:v>
                </c:pt>
                <c:pt idx="84">
                  <c:v>136</c:v>
                </c:pt>
                <c:pt idx="85">
                  <c:v>136</c:v>
                </c:pt>
                <c:pt idx="86">
                  <c:v>135</c:v>
                </c:pt>
                <c:pt idx="87">
                  <c:v>135</c:v>
                </c:pt>
                <c:pt idx="88">
                  <c:v>135</c:v>
                </c:pt>
                <c:pt idx="89">
                  <c:v>135</c:v>
                </c:pt>
                <c:pt idx="90">
                  <c:v>135</c:v>
                </c:pt>
                <c:pt idx="91">
                  <c:v>135</c:v>
                </c:pt>
                <c:pt idx="92">
                  <c:v>135</c:v>
                </c:pt>
                <c:pt idx="93">
                  <c:v>135</c:v>
                </c:pt>
                <c:pt idx="94">
                  <c:v>134</c:v>
                </c:pt>
                <c:pt idx="95">
                  <c:v>134</c:v>
                </c:pt>
                <c:pt idx="96">
                  <c:v>134</c:v>
                </c:pt>
                <c:pt idx="97">
                  <c:v>134</c:v>
                </c:pt>
                <c:pt idx="98">
                  <c:v>134</c:v>
                </c:pt>
                <c:pt idx="99">
                  <c:v>134</c:v>
                </c:pt>
                <c:pt idx="100">
                  <c:v>133</c:v>
                </c:pt>
                <c:pt idx="101">
                  <c:v>132</c:v>
                </c:pt>
                <c:pt idx="102">
                  <c:v>132</c:v>
                </c:pt>
                <c:pt idx="103">
                  <c:v>132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131</c:v>
                </c:pt>
                <c:pt idx="111">
                  <c:v>131</c:v>
                </c:pt>
                <c:pt idx="112">
                  <c:v>131</c:v>
                </c:pt>
                <c:pt idx="113">
                  <c:v>131</c:v>
                </c:pt>
                <c:pt idx="114">
                  <c:v>130</c:v>
                </c:pt>
                <c:pt idx="115">
                  <c:v>130</c:v>
                </c:pt>
                <c:pt idx="116">
                  <c:v>129</c:v>
                </c:pt>
                <c:pt idx="117">
                  <c:v>128</c:v>
                </c:pt>
                <c:pt idx="118">
                  <c:v>128</c:v>
                </c:pt>
                <c:pt idx="119">
                  <c:v>128</c:v>
                </c:pt>
                <c:pt idx="120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B7-43C2-A140-6875A9473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74248"/>
        <c:axId val="792872280"/>
      </c:lineChart>
      <c:dateAx>
        <c:axId val="792874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72280"/>
        <c:crosses val="autoZero"/>
        <c:auto val="1"/>
        <c:lblOffset val="100"/>
        <c:baseTimeUnit val="days"/>
      </c:dateAx>
      <c:valAx>
        <c:axId val="792872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742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Card 14X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0.16609</c:v>
          </c:tx>
          <c:marker>
            <c:symbol val="none"/>
          </c:marker>
          <c:trendline>
            <c:name>0 Date: 3/7/2019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history'!$BO$36:$BO$156</c:f>
              <c:numCache>
                <c:formatCode>General</c:formatCode>
                <c:ptCount val="12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7</c:v>
                </c:pt>
                <c:pt idx="27">
                  <c:v>7</c:v>
                </c:pt>
                <c:pt idx="28">
                  <c:v>6</c:v>
                </c:pt>
                <c:pt idx="29">
                  <c:v>75</c:v>
                </c:pt>
                <c:pt idx="30">
                  <c:v>75</c:v>
                </c:pt>
                <c:pt idx="31">
                  <c:v>74</c:v>
                </c:pt>
                <c:pt idx="32">
                  <c:v>74</c:v>
                </c:pt>
                <c:pt idx="33">
                  <c:v>74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72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69</c:v>
                </c:pt>
                <c:pt idx="47">
                  <c:v>69</c:v>
                </c:pt>
                <c:pt idx="48">
                  <c:v>68</c:v>
                </c:pt>
                <c:pt idx="49">
                  <c:v>68</c:v>
                </c:pt>
                <c:pt idx="50">
                  <c:v>67</c:v>
                </c:pt>
                <c:pt idx="51">
                  <c:v>67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64</c:v>
                </c:pt>
                <c:pt idx="56">
                  <c:v>64</c:v>
                </c:pt>
                <c:pt idx="57">
                  <c:v>63</c:v>
                </c:pt>
                <c:pt idx="58">
                  <c:v>63</c:v>
                </c:pt>
                <c:pt idx="59">
                  <c:v>62</c:v>
                </c:pt>
                <c:pt idx="60">
                  <c:v>62</c:v>
                </c:pt>
                <c:pt idx="61">
                  <c:v>62</c:v>
                </c:pt>
                <c:pt idx="62">
                  <c:v>62</c:v>
                </c:pt>
                <c:pt idx="63">
                  <c:v>62</c:v>
                </c:pt>
                <c:pt idx="64">
                  <c:v>60</c:v>
                </c:pt>
                <c:pt idx="65">
                  <c:v>60</c:v>
                </c:pt>
                <c:pt idx="66">
                  <c:v>59</c:v>
                </c:pt>
                <c:pt idx="67">
                  <c:v>59</c:v>
                </c:pt>
                <c:pt idx="68">
                  <c:v>58</c:v>
                </c:pt>
                <c:pt idx="69">
                  <c:v>57</c:v>
                </c:pt>
                <c:pt idx="70">
                  <c:v>57</c:v>
                </c:pt>
                <c:pt idx="71">
                  <c:v>56</c:v>
                </c:pt>
                <c:pt idx="72">
                  <c:v>56</c:v>
                </c:pt>
                <c:pt idx="73">
                  <c:v>56</c:v>
                </c:pt>
                <c:pt idx="74">
                  <c:v>54</c:v>
                </c:pt>
                <c:pt idx="75">
                  <c:v>54</c:v>
                </c:pt>
                <c:pt idx="76">
                  <c:v>54</c:v>
                </c:pt>
                <c:pt idx="77">
                  <c:v>53</c:v>
                </c:pt>
                <c:pt idx="78">
                  <c:v>53</c:v>
                </c:pt>
                <c:pt idx="79">
                  <c:v>53</c:v>
                </c:pt>
                <c:pt idx="80">
                  <c:v>53</c:v>
                </c:pt>
                <c:pt idx="81">
                  <c:v>52</c:v>
                </c:pt>
                <c:pt idx="82">
                  <c:v>52</c:v>
                </c:pt>
                <c:pt idx="83">
                  <c:v>52</c:v>
                </c:pt>
                <c:pt idx="84">
                  <c:v>51</c:v>
                </c:pt>
                <c:pt idx="85">
                  <c:v>51</c:v>
                </c:pt>
                <c:pt idx="86">
                  <c:v>51</c:v>
                </c:pt>
                <c:pt idx="87">
                  <c:v>49</c:v>
                </c:pt>
                <c:pt idx="88">
                  <c:v>49</c:v>
                </c:pt>
                <c:pt idx="89">
                  <c:v>49</c:v>
                </c:pt>
                <c:pt idx="90">
                  <c:v>48</c:v>
                </c:pt>
                <c:pt idx="91">
                  <c:v>48</c:v>
                </c:pt>
                <c:pt idx="92">
                  <c:v>48</c:v>
                </c:pt>
                <c:pt idx="93">
                  <c:v>47</c:v>
                </c:pt>
                <c:pt idx="94">
                  <c:v>47</c:v>
                </c:pt>
                <c:pt idx="95">
                  <c:v>46</c:v>
                </c:pt>
                <c:pt idx="96">
                  <c:v>46</c:v>
                </c:pt>
                <c:pt idx="97">
                  <c:v>46</c:v>
                </c:pt>
                <c:pt idx="98">
                  <c:v>46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44</c:v>
                </c:pt>
                <c:pt idx="103">
                  <c:v>44</c:v>
                </c:pt>
                <c:pt idx="104">
                  <c:v>43</c:v>
                </c:pt>
                <c:pt idx="105">
                  <c:v>43</c:v>
                </c:pt>
                <c:pt idx="106">
                  <c:v>43</c:v>
                </c:pt>
                <c:pt idx="107">
                  <c:v>43</c:v>
                </c:pt>
                <c:pt idx="108">
                  <c:v>42</c:v>
                </c:pt>
                <c:pt idx="109">
                  <c:v>42</c:v>
                </c:pt>
                <c:pt idx="110">
                  <c:v>42</c:v>
                </c:pt>
                <c:pt idx="111">
                  <c:v>42</c:v>
                </c:pt>
                <c:pt idx="112">
                  <c:v>42</c:v>
                </c:pt>
                <c:pt idx="113">
                  <c:v>41</c:v>
                </c:pt>
                <c:pt idx="114">
                  <c:v>41</c:v>
                </c:pt>
                <c:pt idx="115">
                  <c:v>41</c:v>
                </c:pt>
                <c:pt idx="116">
                  <c:v>39</c:v>
                </c:pt>
                <c:pt idx="117">
                  <c:v>38</c:v>
                </c:pt>
                <c:pt idx="118">
                  <c:v>38</c:v>
                </c:pt>
                <c:pt idx="119">
                  <c:v>38</c:v>
                </c:pt>
                <c:pt idx="120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69-4552-BADB-F478BE558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85072"/>
        <c:axId val="792882120"/>
      </c:lineChart>
      <c:dateAx>
        <c:axId val="792885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82120"/>
        <c:crosses val="autoZero"/>
        <c:auto val="1"/>
        <c:lblOffset val="100"/>
        <c:baseTimeUnit val="days"/>
      </c:dateAx>
      <c:valAx>
        <c:axId val="792882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850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UrChem 39X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0.08304498</c:v>
          </c:tx>
          <c:marker>
            <c:symbol val="none"/>
          </c:marker>
          <c:trendline>
            <c:name>0 Date: 10/27/2018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history'!$BP$36:$BP$156</c:f>
              <c:numCache>
                <c:formatCode>General</c:formatCode>
                <c:ptCount val="12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29</c:v>
                </c:pt>
                <c:pt idx="19">
                  <c:v>29</c:v>
                </c:pt>
                <c:pt idx="20">
                  <c:v>29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22</c:v>
                </c:pt>
                <c:pt idx="50">
                  <c:v>22</c:v>
                </c:pt>
                <c:pt idx="51">
                  <c:v>22</c:v>
                </c:pt>
                <c:pt idx="52">
                  <c:v>22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17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16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14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13</c:v>
                </c:pt>
                <c:pt idx="94">
                  <c:v>13</c:v>
                </c:pt>
                <c:pt idx="95">
                  <c:v>13</c:v>
                </c:pt>
                <c:pt idx="96">
                  <c:v>13</c:v>
                </c:pt>
                <c:pt idx="97">
                  <c:v>13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6-45DC-AB5D-58D0AAF41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94256"/>
        <c:axId val="792892944"/>
      </c:lineChart>
      <c:dateAx>
        <c:axId val="792894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92944"/>
        <c:crosses val="autoZero"/>
        <c:auto val="1"/>
        <c:lblOffset val="100"/>
        <c:baseTimeUnit val="days"/>
      </c:dateAx>
      <c:valAx>
        <c:axId val="792892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942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Urinalysis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0.05882353</c:v>
          </c:tx>
          <c:marker>
            <c:symbol val="none"/>
          </c:marker>
          <c:trendline>
            <c:name>0 Date: 2/16/2019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history'!$A$36:$A$156</c:f>
              <c:numCache>
                <c:formatCode>m/d/yyyy</c:formatCode>
                <c:ptCount val="121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</c:numCache>
            </c:numRef>
          </c:cat>
          <c:val>
            <c:numRef>
              <c:f>'Shelf history'!$BQ$36:$BQ$156</c:f>
              <c:numCache>
                <c:formatCode>General</c:formatCode>
                <c:ptCount val="12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19</c:v>
                </c:pt>
                <c:pt idx="67">
                  <c:v>19</c:v>
                </c:pt>
                <c:pt idx="68">
                  <c:v>19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14</c:v>
                </c:pt>
                <c:pt idx="112">
                  <c:v>14</c:v>
                </c:pt>
                <c:pt idx="113">
                  <c:v>14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C8-4ABB-B5CC-1CA853DCB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8168"/>
        <c:axId val="792839808"/>
      </c:lineChart>
      <c:dateAx>
        <c:axId val="792838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39808"/>
        <c:crosses val="autoZero"/>
        <c:auto val="1"/>
        <c:lblOffset val="100"/>
        <c:baseTimeUnit val="days"/>
      </c:dateAx>
      <c:valAx>
        <c:axId val="792839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38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 Calibrator HS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0.0106383</c:v>
          </c:tx>
          <c:marker>
            <c:symbol val="none"/>
          </c:marker>
          <c:trendline>
            <c:name>0 Date: 10/25/2018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history'!$A$39:$A$156</c:f>
              <c:numCache>
                <c:formatCode>m/d/yyyy</c:formatCode>
                <c:ptCount val="118"/>
                <c:pt idx="0">
                  <c:v>43026</c:v>
                </c:pt>
                <c:pt idx="1">
                  <c:v>43027</c:v>
                </c:pt>
                <c:pt idx="2">
                  <c:v>43028</c:v>
                </c:pt>
                <c:pt idx="3">
                  <c:v>43031</c:v>
                </c:pt>
                <c:pt idx="4">
                  <c:v>43034</c:v>
                </c:pt>
                <c:pt idx="5">
                  <c:v>43035</c:v>
                </c:pt>
                <c:pt idx="6">
                  <c:v>43038</c:v>
                </c:pt>
                <c:pt idx="7">
                  <c:v>43039</c:v>
                </c:pt>
                <c:pt idx="8">
                  <c:v>43040</c:v>
                </c:pt>
                <c:pt idx="9">
                  <c:v>43042</c:v>
                </c:pt>
                <c:pt idx="10">
                  <c:v>43045</c:v>
                </c:pt>
                <c:pt idx="11">
                  <c:v>43047</c:v>
                </c:pt>
                <c:pt idx="12">
                  <c:v>43048</c:v>
                </c:pt>
                <c:pt idx="13">
                  <c:v>43049</c:v>
                </c:pt>
                <c:pt idx="14">
                  <c:v>43052</c:v>
                </c:pt>
                <c:pt idx="15">
                  <c:v>43054</c:v>
                </c:pt>
                <c:pt idx="16">
                  <c:v>43056</c:v>
                </c:pt>
                <c:pt idx="17">
                  <c:v>43059</c:v>
                </c:pt>
                <c:pt idx="18">
                  <c:v>43066</c:v>
                </c:pt>
                <c:pt idx="19">
                  <c:v>43068</c:v>
                </c:pt>
                <c:pt idx="20">
                  <c:v>43069</c:v>
                </c:pt>
                <c:pt idx="21">
                  <c:v>43070</c:v>
                </c:pt>
                <c:pt idx="22">
                  <c:v>43073</c:v>
                </c:pt>
                <c:pt idx="23">
                  <c:v>43075</c:v>
                </c:pt>
                <c:pt idx="24">
                  <c:v>43077</c:v>
                </c:pt>
                <c:pt idx="25">
                  <c:v>43080</c:v>
                </c:pt>
                <c:pt idx="26">
                  <c:v>43081</c:v>
                </c:pt>
                <c:pt idx="27">
                  <c:v>43084</c:v>
                </c:pt>
                <c:pt idx="28">
                  <c:v>43087</c:v>
                </c:pt>
                <c:pt idx="29">
                  <c:v>43089</c:v>
                </c:pt>
                <c:pt idx="30">
                  <c:v>43091</c:v>
                </c:pt>
                <c:pt idx="31">
                  <c:v>43096</c:v>
                </c:pt>
                <c:pt idx="32">
                  <c:v>43098</c:v>
                </c:pt>
                <c:pt idx="33">
                  <c:v>43103</c:v>
                </c:pt>
                <c:pt idx="34">
                  <c:v>43105</c:v>
                </c:pt>
                <c:pt idx="35">
                  <c:v>43108</c:v>
                </c:pt>
                <c:pt idx="36">
                  <c:v>43110</c:v>
                </c:pt>
                <c:pt idx="37">
                  <c:v>43111</c:v>
                </c:pt>
                <c:pt idx="38">
                  <c:v>43115</c:v>
                </c:pt>
                <c:pt idx="39">
                  <c:v>43117</c:v>
                </c:pt>
                <c:pt idx="40">
                  <c:v>43119</c:v>
                </c:pt>
                <c:pt idx="41">
                  <c:v>43122</c:v>
                </c:pt>
                <c:pt idx="42">
                  <c:v>43124</c:v>
                </c:pt>
                <c:pt idx="43">
                  <c:v>43126</c:v>
                </c:pt>
                <c:pt idx="44">
                  <c:v>43129</c:v>
                </c:pt>
                <c:pt idx="45">
                  <c:v>43132</c:v>
                </c:pt>
                <c:pt idx="46">
                  <c:v>43136</c:v>
                </c:pt>
                <c:pt idx="47">
                  <c:v>43139</c:v>
                </c:pt>
                <c:pt idx="48">
                  <c:v>43140</c:v>
                </c:pt>
                <c:pt idx="49">
                  <c:v>43143</c:v>
                </c:pt>
                <c:pt idx="50">
                  <c:v>43145</c:v>
                </c:pt>
                <c:pt idx="51">
                  <c:v>43146</c:v>
                </c:pt>
                <c:pt idx="52">
                  <c:v>43150</c:v>
                </c:pt>
                <c:pt idx="53">
                  <c:v>43153</c:v>
                </c:pt>
                <c:pt idx="54">
                  <c:v>43157</c:v>
                </c:pt>
                <c:pt idx="55">
                  <c:v>43159</c:v>
                </c:pt>
                <c:pt idx="56">
                  <c:v>43161</c:v>
                </c:pt>
                <c:pt idx="57">
                  <c:v>43164</c:v>
                </c:pt>
                <c:pt idx="58">
                  <c:v>43166</c:v>
                </c:pt>
                <c:pt idx="59">
                  <c:v>43168</c:v>
                </c:pt>
                <c:pt idx="60">
                  <c:v>43171</c:v>
                </c:pt>
                <c:pt idx="61">
                  <c:v>43173</c:v>
                </c:pt>
                <c:pt idx="62">
                  <c:v>43175</c:v>
                </c:pt>
                <c:pt idx="63">
                  <c:v>43178</c:v>
                </c:pt>
                <c:pt idx="64">
                  <c:v>43180</c:v>
                </c:pt>
                <c:pt idx="65">
                  <c:v>43182</c:v>
                </c:pt>
                <c:pt idx="66">
                  <c:v>43185</c:v>
                </c:pt>
                <c:pt idx="67">
                  <c:v>43187</c:v>
                </c:pt>
                <c:pt idx="68">
                  <c:v>43192</c:v>
                </c:pt>
                <c:pt idx="69">
                  <c:v>43194</c:v>
                </c:pt>
                <c:pt idx="70">
                  <c:v>43196</c:v>
                </c:pt>
                <c:pt idx="71">
                  <c:v>43199</c:v>
                </c:pt>
                <c:pt idx="72">
                  <c:v>43201</c:v>
                </c:pt>
                <c:pt idx="73">
                  <c:v>43202</c:v>
                </c:pt>
                <c:pt idx="74">
                  <c:v>43206</c:v>
                </c:pt>
                <c:pt idx="75">
                  <c:v>43208</c:v>
                </c:pt>
                <c:pt idx="76">
                  <c:v>43209</c:v>
                </c:pt>
                <c:pt idx="77">
                  <c:v>43213</c:v>
                </c:pt>
                <c:pt idx="78">
                  <c:v>43215</c:v>
                </c:pt>
                <c:pt idx="79">
                  <c:v>43217</c:v>
                </c:pt>
                <c:pt idx="80">
                  <c:v>43220</c:v>
                </c:pt>
                <c:pt idx="81">
                  <c:v>43222</c:v>
                </c:pt>
                <c:pt idx="82">
                  <c:v>43223</c:v>
                </c:pt>
                <c:pt idx="83">
                  <c:v>43227</c:v>
                </c:pt>
                <c:pt idx="84">
                  <c:v>43229</c:v>
                </c:pt>
                <c:pt idx="85">
                  <c:v>43231</c:v>
                </c:pt>
                <c:pt idx="86">
                  <c:v>43234</c:v>
                </c:pt>
                <c:pt idx="87">
                  <c:v>43236</c:v>
                </c:pt>
                <c:pt idx="88">
                  <c:v>43237</c:v>
                </c:pt>
                <c:pt idx="89">
                  <c:v>43241</c:v>
                </c:pt>
                <c:pt idx="90">
                  <c:v>43243</c:v>
                </c:pt>
                <c:pt idx="91">
                  <c:v>43245</c:v>
                </c:pt>
                <c:pt idx="92">
                  <c:v>43249</c:v>
                </c:pt>
                <c:pt idx="93">
                  <c:v>43250</c:v>
                </c:pt>
                <c:pt idx="94">
                  <c:v>43251</c:v>
                </c:pt>
                <c:pt idx="95">
                  <c:v>43255</c:v>
                </c:pt>
                <c:pt idx="96">
                  <c:v>43257</c:v>
                </c:pt>
                <c:pt idx="97">
                  <c:v>43258</c:v>
                </c:pt>
                <c:pt idx="98">
                  <c:v>43262</c:v>
                </c:pt>
                <c:pt idx="99">
                  <c:v>43264</c:v>
                </c:pt>
                <c:pt idx="100">
                  <c:v>43265</c:v>
                </c:pt>
                <c:pt idx="101">
                  <c:v>43269</c:v>
                </c:pt>
                <c:pt idx="102">
                  <c:v>43271</c:v>
                </c:pt>
                <c:pt idx="103">
                  <c:v>43272</c:v>
                </c:pt>
                <c:pt idx="104">
                  <c:v>43273</c:v>
                </c:pt>
                <c:pt idx="105">
                  <c:v>43276</c:v>
                </c:pt>
                <c:pt idx="106">
                  <c:v>43278</c:v>
                </c:pt>
                <c:pt idx="107">
                  <c:v>43279</c:v>
                </c:pt>
                <c:pt idx="108">
                  <c:v>43280</c:v>
                </c:pt>
                <c:pt idx="109">
                  <c:v>43283</c:v>
                </c:pt>
                <c:pt idx="110">
                  <c:v>43285</c:v>
                </c:pt>
                <c:pt idx="111">
                  <c:v>43290</c:v>
                </c:pt>
                <c:pt idx="112">
                  <c:v>43292</c:v>
                </c:pt>
                <c:pt idx="113">
                  <c:v>43293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43308</c:v>
                </c:pt>
              </c:numCache>
            </c:numRef>
          </c:cat>
          <c:val>
            <c:numRef>
              <c:f>'Shelf history'!$BR$39:$BR$156</c:f>
              <c:numCache>
                <c:formatCode>General</c:formatCode>
                <c:ptCount val="11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1-44B4-B03C-078201C5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66376"/>
        <c:axId val="792862112"/>
      </c:lineChart>
      <c:dateAx>
        <c:axId val="792866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62112"/>
        <c:crosses val="autoZero"/>
        <c:auto val="1"/>
        <c:lblOffset val="100"/>
        <c:baseTimeUnit val="days"/>
      </c:dateAx>
      <c:valAx>
        <c:axId val="792862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66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Eth/Amm ctrl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0.07829182</c:v>
          </c:tx>
          <c:marker>
            <c:symbol val="none"/>
          </c:marker>
          <c:trendline>
            <c:name>0 Date: 5/30/2020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history'!$A$40:$A$156</c:f>
              <c:numCache>
                <c:formatCode>m/d/yyyy</c:formatCode>
                <c:ptCount val="117"/>
                <c:pt idx="0">
                  <c:v>43027</c:v>
                </c:pt>
                <c:pt idx="1">
                  <c:v>43028</c:v>
                </c:pt>
                <c:pt idx="2">
                  <c:v>43031</c:v>
                </c:pt>
                <c:pt idx="3">
                  <c:v>43034</c:v>
                </c:pt>
                <c:pt idx="4">
                  <c:v>43035</c:v>
                </c:pt>
                <c:pt idx="5">
                  <c:v>43038</c:v>
                </c:pt>
                <c:pt idx="6">
                  <c:v>43039</c:v>
                </c:pt>
                <c:pt idx="7">
                  <c:v>43040</c:v>
                </c:pt>
                <c:pt idx="8">
                  <c:v>43042</c:v>
                </c:pt>
                <c:pt idx="9">
                  <c:v>43045</c:v>
                </c:pt>
                <c:pt idx="10">
                  <c:v>43047</c:v>
                </c:pt>
                <c:pt idx="11">
                  <c:v>43048</c:v>
                </c:pt>
                <c:pt idx="12">
                  <c:v>43049</c:v>
                </c:pt>
                <c:pt idx="13">
                  <c:v>43052</c:v>
                </c:pt>
                <c:pt idx="14">
                  <c:v>43054</c:v>
                </c:pt>
                <c:pt idx="15">
                  <c:v>43056</c:v>
                </c:pt>
                <c:pt idx="16">
                  <c:v>43059</c:v>
                </c:pt>
                <c:pt idx="17">
                  <c:v>43066</c:v>
                </c:pt>
                <c:pt idx="18">
                  <c:v>43068</c:v>
                </c:pt>
                <c:pt idx="19">
                  <c:v>43069</c:v>
                </c:pt>
                <c:pt idx="20">
                  <c:v>43070</c:v>
                </c:pt>
                <c:pt idx="21">
                  <c:v>43073</c:v>
                </c:pt>
                <c:pt idx="22">
                  <c:v>43075</c:v>
                </c:pt>
                <c:pt idx="23">
                  <c:v>43077</c:v>
                </c:pt>
                <c:pt idx="24">
                  <c:v>43080</c:v>
                </c:pt>
                <c:pt idx="25">
                  <c:v>43081</c:v>
                </c:pt>
                <c:pt idx="26">
                  <c:v>43084</c:v>
                </c:pt>
                <c:pt idx="27">
                  <c:v>43087</c:v>
                </c:pt>
                <c:pt idx="28">
                  <c:v>43089</c:v>
                </c:pt>
                <c:pt idx="29">
                  <c:v>43091</c:v>
                </c:pt>
                <c:pt idx="30">
                  <c:v>43096</c:v>
                </c:pt>
                <c:pt idx="31">
                  <c:v>43098</c:v>
                </c:pt>
                <c:pt idx="32">
                  <c:v>43103</c:v>
                </c:pt>
                <c:pt idx="33">
                  <c:v>43105</c:v>
                </c:pt>
                <c:pt idx="34">
                  <c:v>43108</c:v>
                </c:pt>
                <c:pt idx="35">
                  <c:v>43110</c:v>
                </c:pt>
                <c:pt idx="36">
                  <c:v>43111</c:v>
                </c:pt>
                <c:pt idx="37">
                  <c:v>43115</c:v>
                </c:pt>
                <c:pt idx="38">
                  <c:v>43117</c:v>
                </c:pt>
                <c:pt idx="39">
                  <c:v>43119</c:v>
                </c:pt>
                <c:pt idx="40">
                  <c:v>43122</c:v>
                </c:pt>
                <c:pt idx="41">
                  <c:v>43124</c:v>
                </c:pt>
                <c:pt idx="42">
                  <c:v>43126</c:v>
                </c:pt>
                <c:pt idx="43">
                  <c:v>43129</c:v>
                </c:pt>
                <c:pt idx="44">
                  <c:v>43132</c:v>
                </c:pt>
                <c:pt idx="45">
                  <c:v>43136</c:v>
                </c:pt>
                <c:pt idx="46">
                  <c:v>43139</c:v>
                </c:pt>
                <c:pt idx="47">
                  <c:v>43140</c:v>
                </c:pt>
                <c:pt idx="48">
                  <c:v>43143</c:v>
                </c:pt>
                <c:pt idx="49">
                  <c:v>43145</c:v>
                </c:pt>
                <c:pt idx="50">
                  <c:v>43146</c:v>
                </c:pt>
                <c:pt idx="51">
                  <c:v>43150</c:v>
                </c:pt>
                <c:pt idx="52">
                  <c:v>43153</c:v>
                </c:pt>
                <c:pt idx="53">
                  <c:v>43157</c:v>
                </c:pt>
                <c:pt idx="54">
                  <c:v>43159</c:v>
                </c:pt>
                <c:pt idx="55">
                  <c:v>43161</c:v>
                </c:pt>
                <c:pt idx="56">
                  <c:v>43164</c:v>
                </c:pt>
                <c:pt idx="57">
                  <c:v>43166</c:v>
                </c:pt>
                <c:pt idx="58">
                  <c:v>43168</c:v>
                </c:pt>
                <c:pt idx="59">
                  <c:v>43171</c:v>
                </c:pt>
                <c:pt idx="60">
                  <c:v>43173</c:v>
                </c:pt>
                <c:pt idx="61">
                  <c:v>43175</c:v>
                </c:pt>
                <c:pt idx="62">
                  <c:v>43178</c:v>
                </c:pt>
                <c:pt idx="63">
                  <c:v>43180</c:v>
                </c:pt>
                <c:pt idx="64">
                  <c:v>43182</c:v>
                </c:pt>
                <c:pt idx="65">
                  <c:v>43185</c:v>
                </c:pt>
                <c:pt idx="66">
                  <c:v>43187</c:v>
                </c:pt>
                <c:pt idx="67">
                  <c:v>43192</c:v>
                </c:pt>
                <c:pt idx="68">
                  <c:v>43194</c:v>
                </c:pt>
                <c:pt idx="69">
                  <c:v>43196</c:v>
                </c:pt>
                <c:pt idx="70">
                  <c:v>43199</c:v>
                </c:pt>
                <c:pt idx="71">
                  <c:v>43201</c:v>
                </c:pt>
                <c:pt idx="72">
                  <c:v>43202</c:v>
                </c:pt>
                <c:pt idx="73">
                  <c:v>43206</c:v>
                </c:pt>
                <c:pt idx="74">
                  <c:v>43208</c:v>
                </c:pt>
                <c:pt idx="75">
                  <c:v>43209</c:v>
                </c:pt>
                <c:pt idx="76">
                  <c:v>43213</c:v>
                </c:pt>
                <c:pt idx="77">
                  <c:v>43215</c:v>
                </c:pt>
                <c:pt idx="78">
                  <c:v>43217</c:v>
                </c:pt>
                <c:pt idx="79">
                  <c:v>43220</c:v>
                </c:pt>
                <c:pt idx="80">
                  <c:v>43222</c:v>
                </c:pt>
                <c:pt idx="81">
                  <c:v>43223</c:v>
                </c:pt>
                <c:pt idx="82">
                  <c:v>43227</c:v>
                </c:pt>
                <c:pt idx="83">
                  <c:v>43229</c:v>
                </c:pt>
                <c:pt idx="84">
                  <c:v>43231</c:v>
                </c:pt>
                <c:pt idx="85">
                  <c:v>43234</c:v>
                </c:pt>
                <c:pt idx="86">
                  <c:v>43236</c:v>
                </c:pt>
                <c:pt idx="87">
                  <c:v>43237</c:v>
                </c:pt>
                <c:pt idx="88">
                  <c:v>43241</c:v>
                </c:pt>
                <c:pt idx="89">
                  <c:v>43243</c:v>
                </c:pt>
                <c:pt idx="90">
                  <c:v>43245</c:v>
                </c:pt>
                <c:pt idx="91">
                  <c:v>43249</c:v>
                </c:pt>
                <c:pt idx="92">
                  <c:v>43250</c:v>
                </c:pt>
                <c:pt idx="93">
                  <c:v>43251</c:v>
                </c:pt>
                <c:pt idx="94">
                  <c:v>43255</c:v>
                </c:pt>
                <c:pt idx="95">
                  <c:v>43257</c:v>
                </c:pt>
                <c:pt idx="96">
                  <c:v>43258</c:v>
                </c:pt>
                <c:pt idx="97">
                  <c:v>43262</c:v>
                </c:pt>
                <c:pt idx="98">
                  <c:v>43264</c:v>
                </c:pt>
                <c:pt idx="99">
                  <c:v>43265</c:v>
                </c:pt>
                <c:pt idx="100">
                  <c:v>43269</c:v>
                </c:pt>
                <c:pt idx="101">
                  <c:v>43271</c:v>
                </c:pt>
                <c:pt idx="102">
                  <c:v>43272</c:v>
                </c:pt>
                <c:pt idx="103">
                  <c:v>43273</c:v>
                </c:pt>
                <c:pt idx="104">
                  <c:v>43276</c:v>
                </c:pt>
                <c:pt idx="105">
                  <c:v>43278</c:v>
                </c:pt>
                <c:pt idx="106">
                  <c:v>43279</c:v>
                </c:pt>
                <c:pt idx="107">
                  <c:v>43280</c:v>
                </c:pt>
                <c:pt idx="108">
                  <c:v>43283</c:v>
                </c:pt>
                <c:pt idx="109">
                  <c:v>43285</c:v>
                </c:pt>
                <c:pt idx="110">
                  <c:v>43290</c:v>
                </c:pt>
                <c:pt idx="111">
                  <c:v>43292</c:v>
                </c:pt>
                <c:pt idx="112">
                  <c:v>43293</c:v>
                </c:pt>
                <c:pt idx="113">
                  <c:v>43304</c:v>
                </c:pt>
                <c:pt idx="114">
                  <c:v>43305</c:v>
                </c:pt>
                <c:pt idx="115">
                  <c:v>43306</c:v>
                </c:pt>
                <c:pt idx="116">
                  <c:v>43308</c:v>
                </c:pt>
              </c:numCache>
            </c:numRef>
          </c:cat>
          <c:val>
            <c:numRef>
              <c:f>'Shelf history'!$BS$40:$BS$156</c:f>
              <c:numCache>
                <c:formatCode>General</c:formatCode>
                <c:ptCount val="11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72</c:v>
                </c:pt>
                <c:pt idx="28">
                  <c:v>72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69</c:v>
                </c:pt>
                <c:pt idx="37">
                  <c:v>69</c:v>
                </c:pt>
                <c:pt idx="38">
                  <c:v>69</c:v>
                </c:pt>
                <c:pt idx="39">
                  <c:v>69</c:v>
                </c:pt>
                <c:pt idx="40">
                  <c:v>69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65</c:v>
                </c:pt>
                <c:pt idx="61">
                  <c:v>65</c:v>
                </c:pt>
                <c:pt idx="62">
                  <c:v>64</c:v>
                </c:pt>
                <c:pt idx="63">
                  <c:v>64</c:v>
                </c:pt>
                <c:pt idx="64">
                  <c:v>64</c:v>
                </c:pt>
                <c:pt idx="65">
                  <c:v>64</c:v>
                </c:pt>
                <c:pt idx="66">
                  <c:v>64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62</c:v>
                </c:pt>
                <c:pt idx="73">
                  <c:v>62</c:v>
                </c:pt>
                <c:pt idx="74">
                  <c:v>62</c:v>
                </c:pt>
                <c:pt idx="75">
                  <c:v>62</c:v>
                </c:pt>
                <c:pt idx="76">
                  <c:v>62</c:v>
                </c:pt>
                <c:pt idx="77">
                  <c:v>62</c:v>
                </c:pt>
                <c:pt idx="78">
                  <c:v>61</c:v>
                </c:pt>
                <c:pt idx="79">
                  <c:v>61</c:v>
                </c:pt>
                <c:pt idx="80">
                  <c:v>60</c:v>
                </c:pt>
                <c:pt idx="81">
                  <c:v>60</c:v>
                </c:pt>
                <c:pt idx="82">
                  <c:v>59</c:v>
                </c:pt>
                <c:pt idx="83">
                  <c:v>59</c:v>
                </c:pt>
                <c:pt idx="84">
                  <c:v>59</c:v>
                </c:pt>
                <c:pt idx="85">
                  <c:v>59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56</c:v>
                </c:pt>
                <c:pt idx="97">
                  <c:v>56</c:v>
                </c:pt>
                <c:pt idx="98">
                  <c:v>56</c:v>
                </c:pt>
                <c:pt idx="99">
                  <c:v>56</c:v>
                </c:pt>
                <c:pt idx="100">
                  <c:v>56</c:v>
                </c:pt>
                <c:pt idx="101">
                  <c:v>56</c:v>
                </c:pt>
                <c:pt idx="102">
                  <c:v>56</c:v>
                </c:pt>
                <c:pt idx="103">
                  <c:v>55</c:v>
                </c:pt>
                <c:pt idx="104">
                  <c:v>55</c:v>
                </c:pt>
                <c:pt idx="105">
                  <c:v>55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54</c:v>
                </c:pt>
                <c:pt idx="111">
                  <c:v>54</c:v>
                </c:pt>
                <c:pt idx="112">
                  <c:v>54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26-4062-8E8B-002A08E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79824"/>
        <c:axId val="792889008"/>
      </c:lineChart>
      <c:dateAx>
        <c:axId val="792879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89008"/>
        <c:crosses val="autoZero"/>
        <c:auto val="1"/>
        <c:lblOffset val="100"/>
        <c:baseTimeUnit val="days"/>
      </c:dateAx>
      <c:valAx>
        <c:axId val="792889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798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B-hCG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0.04291845</c:v>
          </c:tx>
          <c:marker>
            <c:symbol val="none"/>
          </c:marker>
          <c:trendline>
            <c:name>0 Date: 9/8/2018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history'!$A$58:$A$156</c:f>
              <c:numCache>
                <c:formatCode>m/d/yyyy</c:formatCode>
                <c:ptCount val="99"/>
                <c:pt idx="0">
                  <c:v>43068</c:v>
                </c:pt>
                <c:pt idx="1">
                  <c:v>43069</c:v>
                </c:pt>
                <c:pt idx="2">
                  <c:v>43070</c:v>
                </c:pt>
                <c:pt idx="3">
                  <c:v>43073</c:v>
                </c:pt>
                <c:pt idx="4">
                  <c:v>43075</c:v>
                </c:pt>
                <c:pt idx="5">
                  <c:v>43077</c:v>
                </c:pt>
                <c:pt idx="6">
                  <c:v>43080</c:v>
                </c:pt>
                <c:pt idx="7">
                  <c:v>43081</c:v>
                </c:pt>
                <c:pt idx="8">
                  <c:v>43084</c:v>
                </c:pt>
                <c:pt idx="9">
                  <c:v>43087</c:v>
                </c:pt>
                <c:pt idx="10">
                  <c:v>43089</c:v>
                </c:pt>
                <c:pt idx="11">
                  <c:v>43091</c:v>
                </c:pt>
                <c:pt idx="12">
                  <c:v>43096</c:v>
                </c:pt>
                <c:pt idx="13">
                  <c:v>43098</c:v>
                </c:pt>
                <c:pt idx="14">
                  <c:v>43103</c:v>
                </c:pt>
                <c:pt idx="15">
                  <c:v>43105</c:v>
                </c:pt>
                <c:pt idx="16">
                  <c:v>43108</c:v>
                </c:pt>
                <c:pt idx="17">
                  <c:v>43110</c:v>
                </c:pt>
                <c:pt idx="18">
                  <c:v>43111</c:v>
                </c:pt>
                <c:pt idx="19">
                  <c:v>43115</c:v>
                </c:pt>
                <c:pt idx="20">
                  <c:v>43117</c:v>
                </c:pt>
                <c:pt idx="21">
                  <c:v>43119</c:v>
                </c:pt>
                <c:pt idx="22">
                  <c:v>43122</c:v>
                </c:pt>
                <c:pt idx="23">
                  <c:v>43124</c:v>
                </c:pt>
                <c:pt idx="24">
                  <c:v>43126</c:v>
                </c:pt>
                <c:pt idx="25">
                  <c:v>43129</c:v>
                </c:pt>
                <c:pt idx="26">
                  <c:v>43132</c:v>
                </c:pt>
                <c:pt idx="27">
                  <c:v>43136</c:v>
                </c:pt>
                <c:pt idx="28">
                  <c:v>43139</c:v>
                </c:pt>
                <c:pt idx="29">
                  <c:v>43140</c:v>
                </c:pt>
                <c:pt idx="30">
                  <c:v>43143</c:v>
                </c:pt>
                <c:pt idx="31">
                  <c:v>43145</c:v>
                </c:pt>
                <c:pt idx="32">
                  <c:v>43146</c:v>
                </c:pt>
                <c:pt idx="33">
                  <c:v>43150</c:v>
                </c:pt>
                <c:pt idx="34">
                  <c:v>43153</c:v>
                </c:pt>
                <c:pt idx="35">
                  <c:v>43157</c:v>
                </c:pt>
                <c:pt idx="36">
                  <c:v>43159</c:v>
                </c:pt>
                <c:pt idx="37">
                  <c:v>43161</c:v>
                </c:pt>
                <c:pt idx="38">
                  <c:v>43164</c:v>
                </c:pt>
                <c:pt idx="39">
                  <c:v>43166</c:v>
                </c:pt>
                <c:pt idx="40">
                  <c:v>43168</c:v>
                </c:pt>
                <c:pt idx="41">
                  <c:v>43171</c:v>
                </c:pt>
                <c:pt idx="42">
                  <c:v>43173</c:v>
                </c:pt>
                <c:pt idx="43">
                  <c:v>43175</c:v>
                </c:pt>
                <c:pt idx="44">
                  <c:v>43178</c:v>
                </c:pt>
                <c:pt idx="45">
                  <c:v>43180</c:v>
                </c:pt>
                <c:pt idx="46">
                  <c:v>43182</c:v>
                </c:pt>
                <c:pt idx="47">
                  <c:v>43185</c:v>
                </c:pt>
                <c:pt idx="48">
                  <c:v>43187</c:v>
                </c:pt>
                <c:pt idx="49">
                  <c:v>43192</c:v>
                </c:pt>
                <c:pt idx="50">
                  <c:v>43194</c:v>
                </c:pt>
                <c:pt idx="51">
                  <c:v>43196</c:v>
                </c:pt>
                <c:pt idx="52">
                  <c:v>43199</c:v>
                </c:pt>
                <c:pt idx="53">
                  <c:v>43201</c:v>
                </c:pt>
                <c:pt idx="54">
                  <c:v>43202</c:v>
                </c:pt>
                <c:pt idx="55">
                  <c:v>43206</c:v>
                </c:pt>
                <c:pt idx="56">
                  <c:v>43208</c:v>
                </c:pt>
                <c:pt idx="57">
                  <c:v>43209</c:v>
                </c:pt>
                <c:pt idx="58">
                  <c:v>43213</c:v>
                </c:pt>
                <c:pt idx="59">
                  <c:v>43215</c:v>
                </c:pt>
                <c:pt idx="60">
                  <c:v>43217</c:v>
                </c:pt>
                <c:pt idx="61">
                  <c:v>43220</c:v>
                </c:pt>
                <c:pt idx="62">
                  <c:v>43222</c:v>
                </c:pt>
                <c:pt idx="63">
                  <c:v>43223</c:v>
                </c:pt>
                <c:pt idx="64">
                  <c:v>43227</c:v>
                </c:pt>
                <c:pt idx="65">
                  <c:v>43229</c:v>
                </c:pt>
                <c:pt idx="66">
                  <c:v>43231</c:v>
                </c:pt>
                <c:pt idx="67">
                  <c:v>43234</c:v>
                </c:pt>
                <c:pt idx="68">
                  <c:v>43236</c:v>
                </c:pt>
                <c:pt idx="69">
                  <c:v>43237</c:v>
                </c:pt>
                <c:pt idx="70">
                  <c:v>43241</c:v>
                </c:pt>
                <c:pt idx="71">
                  <c:v>43243</c:v>
                </c:pt>
                <c:pt idx="72">
                  <c:v>43245</c:v>
                </c:pt>
                <c:pt idx="73">
                  <c:v>43249</c:v>
                </c:pt>
                <c:pt idx="74">
                  <c:v>43250</c:v>
                </c:pt>
                <c:pt idx="75">
                  <c:v>43251</c:v>
                </c:pt>
                <c:pt idx="76">
                  <c:v>43255</c:v>
                </c:pt>
                <c:pt idx="77">
                  <c:v>43257</c:v>
                </c:pt>
                <c:pt idx="78">
                  <c:v>43258</c:v>
                </c:pt>
                <c:pt idx="79">
                  <c:v>43262</c:v>
                </c:pt>
                <c:pt idx="80">
                  <c:v>43264</c:v>
                </c:pt>
                <c:pt idx="81">
                  <c:v>43265</c:v>
                </c:pt>
                <c:pt idx="82">
                  <c:v>43269</c:v>
                </c:pt>
                <c:pt idx="83">
                  <c:v>43271</c:v>
                </c:pt>
                <c:pt idx="84">
                  <c:v>43272</c:v>
                </c:pt>
                <c:pt idx="85">
                  <c:v>43273</c:v>
                </c:pt>
                <c:pt idx="86">
                  <c:v>43276</c:v>
                </c:pt>
                <c:pt idx="87">
                  <c:v>43278</c:v>
                </c:pt>
                <c:pt idx="88">
                  <c:v>43279</c:v>
                </c:pt>
                <c:pt idx="89">
                  <c:v>43280</c:v>
                </c:pt>
                <c:pt idx="90">
                  <c:v>43283</c:v>
                </c:pt>
                <c:pt idx="91">
                  <c:v>43285</c:v>
                </c:pt>
                <c:pt idx="92">
                  <c:v>43290</c:v>
                </c:pt>
                <c:pt idx="93">
                  <c:v>43292</c:v>
                </c:pt>
                <c:pt idx="94">
                  <c:v>43293</c:v>
                </c:pt>
                <c:pt idx="95">
                  <c:v>43304</c:v>
                </c:pt>
                <c:pt idx="96">
                  <c:v>43305</c:v>
                </c:pt>
                <c:pt idx="97">
                  <c:v>43306</c:v>
                </c:pt>
                <c:pt idx="98">
                  <c:v>43308</c:v>
                </c:pt>
              </c:numCache>
            </c:numRef>
          </c:cat>
          <c:val>
            <c:numRef>
              <c:f>'Shelf history'!$BT$58:$BT$156</c:f>
              <c:numCache>
                <c:formatCode>General</c:formatCode>
                <c:ptCount val="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25-45F2-B28F-FEB3B8943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93600"/>
        <c:axId val="792894912"/>
      </c:lineChart>
      <c:dateAx>
        <c:axId val="792893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94912"/>
        <c:crosses val="autoZero"/>
        <c:auto val="1"/>
        <c:lblOffset val="100"/>
        <c:baseTimeUnit val="days"/>
      </c:dateAx>
      <c:valAx>
        <c:axId val="792894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936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B-hCG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0.004608295</c:v>
          </c:tx>
          <c:marker>
            <c:symbol val="none"/>
          </c:marker>
          <c:trendline>
            <c:name>0 Date: 2/25/2019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history'!$A$69:$A$156</c:f>
              <c:numCache>
                <c:formatCode>m/d/yyyy</c:formatCode>
                <c:ptCount val="88"/>
                <c:pt idx="0">
                  <c:v>43091</c:v>
                </c:pt>
                <c:pt idx="1">
                  <c:v>43096</c:v>
                </c:pt>
                <c:pt idx="2">
                  <c:v>43098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43110</c:v>
                </c:pt>
                <c:pt idx="7">
                  <c:v>43111</c:v>
                </c:pt>
                <c:pt idx="8">
                  <c:v>43115</c:v>
                </c:pt>
                <c:pt idx="9">
                  <c:v>43117</c:v>
                </c:pt>
                <c:pt idx="10">
                  <c:v>43119</c:v>
                </c:pt>
                <c:pt idx="11">
                  <c:v>43122</c:v>
                </c:pt>
                <c:pt idx="12">
                  <c:v>43124</c:v>
                </c:pt>
                <c:pt idx="13">
                  <c:v>43126</c:v>
                </c:pt>
                <c:pt idx="14">
                  <c:v>43129</c:v>
                </c:pt>
                <c:pt idx="15">
                  <c:v>43132</c:v>
                </c:pt>
                <c:pt idx="16">
                  <c:v>43136</c:v>
                </c:pt>
                <c:pt idx="17">
                  <c:v>43139</c:v>
                </c:pt>
                <c:pt idx="18">
                  <c:v>43140</c:v>
                </c:pt>
                <c:pt idx="19">
                  <c:v>43143</c:v>
                </c:pt>
                <c:pt idx="20">
                  <c:v>43145</c:v>
                </c:pt>
                <c:pt idx="21">
                  <c:v>43146</c:v>
                </c:pt>
                <c:pt idx="22">
                  <c:v>43150</c:v>
                </c:pt>
                <c:pt idx="23">
                  <c:v>43153</c:v>
                </c:pt>
                <c:pt idx="24">
                  <c:v>43157</c:v>
                </c:pt>
                <c:pt idx="25">
                  <c:v>43159</c:v>
                </c:pt>
                <c:pt idx="26">
                  <c:v>43161</c:v>
                </c:pt>
                <c:pt idx="27">
                  <c:v>43164</c:v>
                </c:pt>
                <c:pt idx="28">
                  <c:v>43166</c:v>
                </c:pt>
                <c:pt idx="29">
                  <c:v>43168</c:v>
                </c:pt>
                <c:pt idx="30">
                  <c:v>43171</c:v>
                </c:pt>
                <c:pt idx="31">
                  <c:v>43173</c:v>
                </c:pt>
                <c:pt idx="32">
                  <c:v>43175</c:v>
                </c:pt>
                <c:pt idx="33">
                  <c:v>43178</c:v>
                </c:pt>
                <c:pt idx="34">
                  <c:v>43180</c:v>
                </c:pt>
                <c:pt idx="35">
                  <c:v>43182</c:v>
                </c:pt>
                <c:pt idx="36">
                  <c:v>43185</c:v>
                </c:pt>
                <c:pt idx="37">
                  <c:v>43187</c:v>
                </c:pt>
                <c:pt idx="38">
                  <c:v>43192</c:v>
                </c:pt>
                <c:pt idx="39">
                  <c:v>43194</c:v>
                </c:pt>
                <c:pt idx="40">
                  <c:v>43196</c:v>
                </c:pt>
                <c:pt idx="41">
                  <c:v>43199</c:v>
                </c:pt>
                <c:pt idx="42">
                  <c:v>43201</c:v>
                </c:pt>
                <c:pt idx="43">
                  <c:v>43202</c:v>
                </c:pt>
                <c:pt idx="44">
                  <c:v>43206</c:v>
                </c:pt>
                <c:pt idx="45">
                  <c:v>43208</c:v>
                </c:pt>
                <c:pt idx="46">
                  <c:v>43209</c:v>
                </c:pt>
                <c:pt idx="47">
                  <c:v>43213</c:v>
                </c:pt>
                <c:pt idx="48">
                  <c:v>43215</c:v>
                </c:pt>
                <c:pt idx="49">
                  <c:v>43217</c:v>
                </c:pt>
                <c:pt idx="50">
                  <c:v>43220</c:v>
                </c:pt>
                <c:pt idx="51">
                  <c:v>43222</c:v>
                </c:pt>
                <c:pt idx="52">
                  <c:v>43223</c:v>
                </c:pt>
                <c:pt idx="53">
                  <c:v>43227</c:v>
                </c:pt>
                <c:pt idx="54">
                  <c:v>43229</c:v>
                </c:pt>
                <c:pt idx="55">
                  <c:v>43231</c:v>
                </c:pt>
                <c:pt idx="56">
                  <c:v>43234</c:v>
                </c:pt>
                <c:pt idx="57">
                  <c:v>43236</c:v>
                </c:pt>
                <c:pt idx="58">
                  <c:v>43237</c:v>
                </c:pt>
                <c:pt idx="59">
                  <c:v>43241</c:v>
                </c:pt>
                <c:pt idx="60">
                  <c:v>43243</c:v>
                </c:pt>
                <c:pt idx="61">
                  <c:v>43245</c:v>
                </c:pt>
                <c:pt idx="62">
                  <c:v>43249</c:v>
                </c:pt>
                <c:pt idx="63">
                  <c:v>43250</c:v>
                </c:pt>
                <c:pt idx="64">
                  <c:v>43251</c:v>
                </c:pt>
                <c:pt idx="65">
                  <c:v>43255</c:v>
                </c:pt>
                <c:pt idx="66">
                  <c:v>43257</c:v>
                </c:pt>
                <c:pt idx="67">
                  <c:v>43258</c:v>
                </c:pt>
                <c:pt idx="68">
                  <c:v>43262</c:v>
                </c:pt>
                <c:pt idx="69">
                  <c:v>43264</c:v>
                </c:pt>
                <c:pt idx="70">
                  <c:v>43265</c:v>
                </c:pt>
                <c:pt idx="71">
                  <c:v>43269</c:v>
                </c:pt>
                <c:pt idx="72">
                  <c:v>43271</c:v>
                </c:pt>
                <c:pt idx="73">
                  <c:v>43272</c:v>
                </c:pt>
                <c:pt idx="74">
                  <c:v>43273</c:v>
                </c:pt>
                <c:pt idx="75">
                  <c:v>43276</c:v>
                </c:pt>
                <c:pt idx="76">
                  <c:v>43278</c:v>
                </c:pt>
                <c:pt idx="77">
                  <c:v>43279</c:v>
                </c:pt>
                <c:pt idx="78">
                  <c:v>43280</c:v>
                </c:pt>
                <c:pt idx="79">
                  <c:v>43283</c:v>
                </c:pt>
                <c:pt idx="80">
                  <c:v>43285</c:v>
                </c:pt>
                <c:pt idx="81">
                  <c:v>43290</c:v>
                </c:pt>
                <c:pt idx="82">
                  <c:v>43292</c:v>
                </c:pt>
                <c:pt idx="83">
                  <c:v>43293</c:v>
                </c:pt>
                <c:pt idx="84">
                  <c:v>43304</c:v>
                </c:pt>
                <c:pt idx="85">
                  <c:v>43305</c:v>
                </c:pt>
                <c:pt idx="86">
                  <c:v>43306</c:v>
                </c:pt>
                <c:pt idx="87">
                  <c:v>43308</c:v>
                </c:pt>
              </c:numCache>
            </c:numRef>
          </c:cat>
          <c:val>
            <c:numRef>
              <c:f>'Shelf history'!$BU$69:$BU$156</c:f>
              <c:numCache>
                <c:formatCode>General</c:formatCode>
                <c:ptCount val="8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8C-46C0-BE68-D20141E32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72280"/>
        <c:axId val="792874248"/>
      </c:lineChart>
      <c:dateAx>
        <c:axId val="792872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792874248"/>
        <c:crosses val="autoZero"/>
        <c:auto val="1"/>
        <c:lblOffset val="100"/>
        <c:baseTimeUnit val="days"/>
      </c:dateAx>
      <c:valAx>
        <c:axId val="792874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28722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9.xml"/><Relationship Id="rId18" Type="http://schemas.openxmlformats.org/officeDocument/2006/relationships/chart" Target="../charts/chart64.xml"/><Relationship Id="rId26" Type="http://schemas.openxmlformats.org/officeDocument/2006/relationships/chart" Target="../charts/chart72.xml"/><Relationship Id="rId39" Type="http://schemas.openxmlformats.org/officeDocument/2006/relationships/chart" Target="../charts/chart85.xml"/><Relationship Id="rId21" Type="http://schemas.openxmlformats.org/officeDocument/2006/relationships/chart" Target="../charts/chart67.xml"/><Relationship Id="rId34" Type="http://schemas.openxmlformats.org/officeDocument/2006/relationships/chart" Target="../charts/chart80.xml"/><Relationship Id="rId42" Type="http://schemas.openxmlformats.org/officeDocument/2006/relationships/chart" Target="../charts/chart88.xml"/><Relationship Id="rId47" Type="http://schemas.openxmlformats.org/officeDocument/2006/relationships/chart" Target="../charts/chart93.xml"/><Relationship Id="rId50" Type="http://schemas.openxmlformats.org/officeDocument/2006/relationships/chart" Target="../charts/chart96.xml"/><Relationship Id="rId55" Type="http://schemas.openxmlformats.org/officeDocument/2006/relationships/chart" Target="../charts/chart101.xml"/><Relationship Id="rId63" Type="http://schemas.openxmlformats.org/officeDocument/2006/relationships/chart" Target="../charts/chart109.xml"/><Relationship Id="rId68" Type="http://schemas.openxmlformats.org/officeDocument/2006/relationships/chart" Target="../charts/chart114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29" Type="http://schemas.openxmlformats.org/officeDocument/2006/relationships/chart" Target="../charts/chart75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24" Type="http://schemas.openxmlformats.org/officeDocument/2006/relationships/chart" Target="../charts/chart70.xml"/><Relationship Id="rId32" Type="http://schemas.openxmlformats.org/officeDocument/2006/relationships/chart" Target="../charts/chart78.xml"/><Relationship Id="rId37" Type="http://schemas.openxmlformats.org/officeDocument/2006/relationships/chart" Target="../charts/chart83.xml"/><Relationship Id="rId40" Type="http://schemas.openxmlformats.org/officeDocument/2006/relationships/chart" Target="../charts/chart86.xml"/><Relationship Id="rId45" Type="http://schemas.openxmlformats.org/officeDocument/2006/relationships/chart" Target="../charts/chart91.xml"/><Relationship Id="rId53" Type="http://schemas.openxmlformats.org/officeDocument/2006/relationships/chart" Target="../charts/chart99.xml"/><Relationship Id="rId58" Type="http://schemas.openxmlformats.org/officeDocument/2006/relationships/chart" Target="../charts/chart104.xml"/><Relationship Id="rId66" Type="http://schemas.openxmlformats.org/officeDocument/2006/relationships/chart" Target="../charts/chart112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23" Type="http://schemas.openxmlformats.org/officeDocument/2006/relationships/chart" Target="../charts/chart69.xml"/><Relationship Id="rId28" Type="http://schemas.openxmlformats.org/officeDocument/2006/relationships/chart" Target="../charts/chart74.xml"/><Relationship Id="rId36" Type="http://schemas.openxmlformats.org/officeDocument/2006/relationships/chart" Target="../charts/chart82.xml"/><Relationship Id="rId49" Type="http://schemas.openxmlformats.org/officeDocument/2006/relationships/chart" Target="../charts/chart95.xml"/><Relationship Id="rId57" Type="http://schemas.openxmlformats.org/officeDocument/2006/relationships/chart" Target="../charts/chart103.xml"/><Relationship Id="rId61" Type="http://schemas.openxmlformats.org/officeDocument/2006/relationships/chart" Target="../charts/chart107.xml"/><Relationship Id="rId10" Type="http://schemas.openxmlformats.org/officeDocument/2006/relationships/chart" Target="../charts/chart56.xml"/><Relationship Id="rId19" Type="http://schemas.openxmlformats.org/officeDocument/2006/relationships/chart" Target="../charts/chart65.xml"/><Relationship Id="rId31" Type="http://schemas.openxmlformats.org/officeDocument/2006/relationships/chart" Target="../charts/chart77.xml"/><Relationship Id="rId44" Type="http://schemas.openxmlformats.org/officeDocument/2006/relationships/chart" Target="../charts/chart90.xml"/><Relationship Id="rId52" Type="http://schemas.openxmlformats.org/officeDocument/2006/relationships/chart" Target="../charts/chart98.xml"/><Relationship Id="rId60" Type="http://schemas.openxmlformats.org/officeDocument/2006/relationships/chart" Target="../charts/chart106.xml"/><Relationship Id="rId65" Type="http://schemas.openxmlformats.org/officeDocument/2006/relationships/chart" Target="../charts/chart111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Relationship Id="rId22" Type="http://schemas.openxmlformats.org/officeDocument/2006/relationships/chart" Target="../charts/chart68.xml"/><Relationship Id="rId27" Type="http://schemas.openxmlformats.org/officeDocument/2006/relationships/chart" Target="../charts/chart73.xml"/><Relationship Id="rId30" Type="http://schemas.openxmlformats.org/officeDocument/2006/relationships/chart" Target="../charts/chart76.xml"/><Relationship Id="rId35" Type="http://schemas.openxmlformats.org/officeDocument/2006/relationships/chart" Target="../charts/chart81.xml"/><Relationship Id="rId43" Type="http://schemas.openxmlformats.org/officeDocument/2006/relationships/chart" Target="../charts/chart89.xml"/><Relationship Id="rId48" Type="http://schemas.openxmlformats.org/officeDocument/2006/relationships/chart" Target="../charts/chart94.xml"/><Relationship Id="rId56" Type="http://schemas.openxmlformats.org/officeDocument/2006/relationships/chart" Target="../charts/chart102.xml"/><Relationship Id="rId64" Type="http://schemas.openxmlformats.org/officeDocument/2006/relationships/chart" Target="../charts/chart110.xml"/><Relationship Id="rId69" Type="http://schemas.openxmlformats.org/officeDocument/2006/relationships/chart" Target="../charts/chart115.xml"/><Relationship Id="rId8" Type="http://schemas.openxmlformats.org/officeDocument/2006/relationships/chart" Target="../charts/chart54.xml"/><Relationship Id="rId51" Type="http://schemas.openxmlformats.org/officeDocument/2006/relationships/chart" Target="../charts/chart97.xml"/><Relationship Id="rId3" Type="http://schemas.openxmlformats.org/officeDocument/2006/relationships/chart" Target="../charts/chart49.xml"/><Relationship Id="rId12" Type="http://schemas.openxmlformats.org/officeDocument/2006/relationships/chart" Target="../charts/chart58.xml"/><Relationship Id="rId17" Type="http://schemas.openxmlformats.org/officeDocument/2006/relationships/chart" Target="../charts/chart63.xml"/><Relationship Id="rId25" Type="http://schemas.openxmlformats.org/officeDocument/2006/relationships/chart" Target="../charts/chart71.xml"/><Relationship Id="rId33" Type="http://schemas.openxmlformats.org/officeDocument/2006/relationships/chart" Target="../charts/chart79.xml"/><Relationship Id="rId38" Type="http://schemas.openxmlformats.org/officeDocument/2006/relationships/chart" Target="../charts/chart84.xml"/><Relationship Id="rId46" Type="http://schemas.openxmlformats.org/officeDocument/2006/relationships/chart" Target="../charts/chart92.xml"/><Relationship Id="rId59" Type="http://schemas.openxmlformats.org/officeDocument/2006/relationships/chart" Target="../charts/chart105.xml"/><Relationship Id="rId67" Type="http://schemas.openxmlformats.org/officeDocument/2006/relationships/chart" Target="../charts/chart113.xml"/><Relationship Id="rId20" Type="http://schemas.openxmlformats.org/officeDocument/2006/relationships/chart" Target="../charts/chart66.xml"/><Relationship Id="rId41" Type="http://schemas.openxmlformats.org/officeDocument/2006/relationships/chart" Target="../charts/chart87.xml"/><Relationship Id="rId54" Type="http://schemas.openxmlformats.org/officeDocument/2006/relationships/chart" Target="../charts/chart100.xml"/><Relationship Id="rId62" Type="http://schemas.openxmlformats.org/officeDocument/2006/relationships/chart" Target="../charts/chart108.xml"/><Relationship Id="rId70" Type="http://schemas.openxmlformats.org/officeDocument/2006/relationships/chart" Target="../charts/chart1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21981</xdr:colOff>
      <xdr:row>0</xdr:row>
      <xdr:rowOff>183173</xdr:rowOff>
    </xdr:from>
    <xdr:to>
      <xdr:col>10</xdr:col>
      <xdr:colOff>14654</xdr:colOff>
      <xdr:row>9</xdr:row>
      <xdr:rowOff>51288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387A328-FC3D-41C9-BCFD-C5182F1B0AF2}"/>
            </a:ext>
          </a:extLst>
        </xdr:cNvPr>
        <xdr:cNvSpPr txBox="1"/>
      </xdr:nvSpPr>
      <xdr:spPr>
        <a:xfrm>
          <a:off x="5260731" y="183173"/>
          <a:ext cx="2425211" cy="15972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 haven't figured out yet</a:t>
          </a:r>
          <a:r>
            <a:rPr lang="en-US" sz="1100" baseline="0"/>
            <a:t> how to deal with lending reagent, there is a DeductDown macro to use to reduce the number lent from the last restock.</a:t>
          </a:r>
          <a:endParaRPr lang="en-US" sz="1100"/>
        </a:p>
        <a:p>
          <a:endParaRPr lang="en-US" sz="1100"/>
        </a:p>
        <a:p>
          <a:r>
            <a:rPr lang="en-US" sz="1100"/>
            <a:t>Sunquest and HMS users be sure to check out www.olmonitor.com!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678" name="TextBox 677">
          <a:extLst>
            <a:ext uri="{FF2B5EF4-FFF2-40B4-BE49-F238E27FC236}">
              <a16:creationId xmlns:a16="http://schemas.microsoft.com/office/drawing/2014/main" id="{35D4BBC2-B7A2-4973-97CF-2F005E53D58E}"/>
            </a:ext>
          </a:extLst>
        </xdr:cNvPr>
        <xdr:cNvSpPr txBox="1"/>
      </xdr:nvSpPr>
      <xdr:spPr>
        <a:xfrm>
          <a:off x="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Predictions as of: 8/2/2018 10:07:33 PM</a:t>
          </a:r>
        </a:p>
        <a:p>
          <a:r>
            <a:rPr lang="en-US" sz="1100"/>
            <a:t>    -    AlkP stability expires in 1 days.</a:t>
          </a:r>
        </a:p>
        <a:p>
          <a:r>
            <a:rPr lang="en-US" sz="1100"/>
            <a:t>Amm has about 6 days left: 8/8/2018    -    Amm stability expires in 7 days.</a:t>
          </a:r>
        </a:p>
        <a:p>
          <a:r>
            <a:rPr lang="en-US" sz="1100"/>
            <a:t>    -    AST stability expires in 5 days.</a:t>
          </a:r>
        </a:p>
        <a:p>
          <a:r>
            <a:rPr lang="en-US" sz="1100"/>
            <a:t>    -    BilT (3840/8) stability expires in 3 days.</a:t>
          </a:r>
        </a:p>
        <a:p>
          <a:r>
            <a:rPr lang="en-US" sz="1100"/>
            <a:t>CaC (11440/10) has about -3 days left: 7/30/2018    -    CaC (11440/10) expiration date soon in:  -15 days.</a:t>
          </a:r>
        </a:p>
        <a:p>
          <a:r>
            <a:rPr lang="en-US" sz="1100"/>
            <a:t>    -    CK stability expires in 0 days.    -    CK expiration date soon in:  -30 days.</a:t>
          </a:r>
        </a:p>
        <a:p>
          <a:r>
            <a:rPr lang="en-US" sz="1100"/>
            <a:t>CO2(7500/10) has about 5 days left: 8/7/2018    -    CO2(7500/10) stability expires in 3 days.    -    CO2(7500/10) expiration date soon in:  -2 days.</a:t>
          </a:r>
        </a:p>
        <a:p>
          <a:endParaRPr lang="en-US" sz="1100"/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19</xdr:col>
      <xdr:colOff>0</xdr:colOff>
      <xdr:row>10</xdr:row>
      <xdr:rowOff>0</xdr:rowOff>
    </xdr:to>
    <xdr:sp macro="" textlink="">
      <xdr:nvSpPr>
        <xdr:cNvPr id="679" name="TextBox 678">
          <a:extLst>
            <a:ext uri="{FF2B5EF4-FFF2-40B4-BE49-F238E27FC236}">
              <a16:creationId xmlns:a16="http://schemas.microsoft.com/office/drawing/2014/main" id="{07988A43-1999-42DE-A47E-6D4F12390368}"/>
            </a:ext>
          </a:extLst>
        </xdr:cNvPr>
        <xdr:cNvSpPr txBox="1"/>
      </xdr:nvSpPr>
      <xdr:spPr>
        <a:xfrm>
          <a:off x="6096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Glu (15000/10) has about 5 days left: 8/7/2018</a:t>
          </a:r>
        </a:p>
        <a:p>
          <a:r>
            <a:rPr lang="en-US" sz="1100"/>
            <a:t>ICTD5 has about -2 days left: 7/31/2018    -    ICTD5 stability expires in 2 days.</a:t>
          </a:r>
        </a:p>
        <a:p>
          <a:r>
            <a:rPr lang="en-US" sz="1100"/>
            <a:t>    -    Phos expiration date soon in:  -19 days.</a:t>
          </a:r>
        </a:p>
        <a:p>
          <a:r>
            <a:rPr lang="en-US" sz="1100"/>
            <a:t>    -    TP expiration date soon in:  12 days.</a:t>
          </a:r>
        </a:p>
        <a:p>
          <a:r>
            <a:rPr lang="en-US" sz="1100"/>
            <a:t>BNP has about 2 days left: 8/4/2018</a:t>
          </a:r>
        </a:p>
        <a:p>
          <a:r>
            <a:rPr lang="en-US" sz="1100"/>
            <a:t>HIV has about 3 days left: 8/5/2018</a:t>
          </a:r>
        </a:p>
        <a:p>
          <a:r>
            <a:rPr lang="en-US" sz="1100"/>
            <a:t>TSH (100) has about 4 days left: 8/6/2018    -    TSH (100) stability expires in 2 days.</a:t>
          </a:r>
        </a:p>
        <a:p>
          <a:endParaRPr lang="en-US" sz="1100"/>
        </a:p>
      </xdr:txBody>
    </xdr:sp>
    <xdr:clientData/>
  </xdr:twoCellAnchor>
  <xdr:twoCellAnchor>
    <xdr:from>
      <xdr:col>20</xdr:col>
      <xdr:colOff>0</xdr:colOff>
      <xdr:row>0</xdr:row>
      <xdr:rowOff>0</xdr:rowOff>
    </xdr:from>
    <xdr:to>
      <xdr:col>29</xdr:col>
      <xdr:colOff>0</xdr:colOff>
      <xdr:row>10</xdr:row>
      <xdr:rowOff>0</xdr:rowOff>
    </xdr:to>
    <xdr:sp macro="" textlink="">
      <xdr:nvSpPr>
        <xdr:cNvPr id="680" name="TextBox 679">
          <a:extLst>
            <a:ext uri="{FF2B5EF4-FFF2-40B4-BE49-F238E27FC236}">
              <a16:creationId xmlns:a16="http://schemas.microsoft.com/office/drawing/2014/main" id="{9067FE7F-1D82-4D8C-AD23-C6BA7735BF31}"/>
            </a:ext>
          </a:extLst>
        </xdr:cNvPr>
        <xdr:cNvSpPr txBox="1"/>
      </xdr:nvSpPr>
      <xdr:spPr>
        <a:xfrm>
          <a:off x="12192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iVanc has about -2 days left: 7/31/2018    -    iVanc stability expires in 0 days.</a:t>
          </a:r>
        </a:p>
        <a:p>
          <a:r>
            <a:rPr lang="en-US" sz="1100"/>
            <a:t>TrigSoln has about 0 days left: 8/2/2018</a:t>
          </a:r>
        </a:p>
        <a:p>
          <a:r>
            <a:rPr lang="en-US" sz="1100"/>
            <a:t>Det A has about 5 days left: 8/7/2018</a:t>
          </a:r>
        </a:p>
        <a:p>
          <a:r>
            <a:rPr lang="en-US" sz="1100"/>
            <a:t>ICT Ref has about 4 days left: 8/6/2018</a:t>
          </a:r>
        </a:p>
        <a:p>
          <a:r>
            <a:rPr lang="en-US" sz="1100"/>
            <a:t>RV has about 4 days left: 8/6/2018</a:t>
          </a:r>
        </a:p>
        <a:p>
          <a:r>
            <a:rPr lang="en-US" sz="1100"/>
            <a:t>AlkWash has about 3 days left: 8/5/2018</a:t>
          </a:r>
        </a:p>
        <a:p>
          <a:r>
            <a:rPr lang="en-US" sz="1100"/>
            <a:t>AcidWash has about 3 days left: 8/5/2018</a:t>
          </a:r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12</xdr:col>
      <xdr:colOff>0</xdr:colOff>
      <xdr:row>27</xdr:row>
      <xdr:rowOff>0</xdr:rowOff>
    </xdr:to>
    <xdr:graphicFrame macro="">
      <xdr:nvGraphicFramePr>
        <xdr:cNvPr id="681" name="Chart 1">
          <a:extLst>
            <a:ext uri="{FF2B5EF4-FFF2-40B4-BE49-F238E27FC236}">
              <a16:creationId xmlns:a16="http://schemas.microsoft.com/office/drawing/2014/main" id="{5B0199F6-6AAB-47E2-81F7-C16A834EE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25</xdr:col>
      <xdr:colOff>0</xdr:colOff>
      <xdr:row>27</xdr:row>
      <xdr:rowOff>0</xdr:rowOff>
    </xdr:to>
    <xdr:graphicFrame macro="">
      <xdr:nvGraphicFramePr>
        <xdr:cNvPr id="682" name="Chart 1">
          <a:extLst>
            <a:ext uri="{FF2B5EF4-FFF2-40B4-BE49-F238E27FC236}">
              <a16:creationId xmlns:a16="http://schemas.microsoft.com/office/drawing/2014/main" id="{348167D4-91A3-46B8-898F-E401C3969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12</xdr:col>
      <xdr:colOff>0</xdr:colOff>
      <xdr:row>44</xdr:row>
      <xdr:rowOff>0</xdr:rowOff>
    </xdr:to>
    <xdr:graphicFrame macro="">
      <xdr:nvGraphicFramePr>
        <xdr:cNvPr id="683" name="Chart 1">
          <a:extLst>
            <a:ext uri="{FF2B5EF4-FFF2-40B4-BE49-F238E27FC236}">
              <a16:creationId xmlns:a16="http://schemas.microsoft.com/office/drawing/2014/main" id="{3837FFDF-2FBB-4803-A6DB-7652E4B0D2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25</xdr:col>
      <xdr:colOff>0</xdr:colOff>
      <xdr:row>44</xdr:row>
      <xdr:rowOff>0</xdr:rowOff>
    </xdr:to>
    <xdr:graphicFrame macro="">
      <xdr:nvGraphicFramePr>
        <xdr:cNvPr id="684" name="Chart 1">
          <a:extLst>
            <a:ext uri="{FF2B5EF4-FFF2-40B4-BE49-F238E27FC236}">
              <a16:creationId xmlns:a16="http://schemas.microsoft.com/office/drawing/2014/main" id="{474CDAAA-C885-4CA1-9B11-F12EE1BE2C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12</xdr:col>
      <xdr:colOff>0</xdr:colOff>
      <xdr:row>61</xdr:row>
      <xdr:rowOff>0</xdr:rowOff>
    </xdr:to>
    <xdr:graphicFrame macro="">
      <xdr:nvGraphicFramePr>
        <xdr:cNvPr id="685" name="Chart 1">
          <a:extLst>
            <a:ext uri="{FF2B5EF4-FFF2-40B4-BE49-F238E27FC236}">
              <a16:creationId xmlns:a16="http://schemas.microsoft.com/office/drawing/2014/main" id="{77763176-8952-4A0E-A106-B5E010EA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45</xdr:row>
      <xdr:rowOff>0</xdr:rowOff>
    </xdr:from>
    <xdr:to>
      <xdr:col>25</xdr:col>
      <xdr:colOff>0</xdr:colOff>
      <xdr:row>61</xdr:row>
      <xdr:rowOff>0</xdr:rowOff>
    </xdr:to>
    <xdr:graphicFrame macro="">
      <xdr:nvGraphicFramePr>
        <xdr:cNvPr id="686" name="Chart 1">
          <a:extLst>
            <a:ext uri="{FF2B5EF4-FFF2-40B4-BE49-F238E27FC236}">
              <a16:creationId xmlns:a16="http://schemas.microsoft.com/office/drawing/2014/main" id="{DC2C0CF2-6C8A-433B-B17E-F38CB1CEFD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62</xdr:row>
      <xdr:rowOff>0</xdr:rowOff>
    </xdr:from>
    <xdr:to>
      <xdr:col>12</xdr:col>
      <xdr:colOff>0</xdr:colOff>
      <xdr:row>78</xdr:row>
      <xdr:rowOff>0</xdr:rowOff>
    </xdr:to>
    <xdr:graphicFrame macro="">
      <xdr:nvGraphicFramePr>
        <xdr:cNvPr id="687" name="Chart 1">
          <a:extLst>
            <a:ext uri="{FF2B5EF4-FFF2-40B4-BE49-F238E27FC236}">
              <a16:creationId xmlns:a16="http://schemas.microsoft.com/office/drawing/2014/main" id="{0AFE43F8-168B-49F5-81EA-892505FD2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62</xdr:row>
      <xdr:rowOff>0</xdr:rowOff>
    </xdr:from>
    <xdr:to>
      <xdr:col>25</xdr:col>
      <xdr:colOff>0</xdr:colOff>
      <xdr:row>78</xdr:row>
      <xdr:rowOff>0</xdr:rowOff>
    </xdr:to>
    <xdr:graphicFrame macro="">
      <xdr:nvGraphicFramePr>
        <xdr:cNvPr id="688" name="Chart 1">
          <a:extLst>
            <a:ext uri="{FF2B5EF4-FFF2-40B4-BE49-F238E27FC236}">
              <a16:creationId xmlns:a16="http://schemas.microsoft.com/office/drawing/2014/main" id="{81717C11-AC48-4A1C-85EA-DA7A538FB9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12</xdr:col>
      <xdr:colOff>0</xdr:colOff>
      <xdr:row>95</xdr:row>
      <xdr:rowOff>0</xdr:rowOff>
    </xdr:to>
    <xdr:graphicFrame macro="">
      <xdr:nvGraphicFramePr>
        <xdr:cNvPr id="689" name="Chart 1">
          <a:extLst>
            <a:ext uri="{FF2B5EF4-FFF2-40B4-BE49-F238E27FC236}">
              <a16:creationId xmlns:a16="http://schemas.microsoft.com/office/drawing/2014/main" id="{EFE9FC8A-C337-4AB7-A107-2251737364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79</xdr:row>
      <xdr:rowOff>0</xdr:rowOff>
    </xdr:from>
    <xdr:to>
      <xdr:col>25</xdr:col>
      <xdr:colOff>0</xdr:colOff>
      <xdr:row>95</xdr:row>
      <xdr:rowOff>0</xdr:rowOff>
    </xdr:to>
    <xdr:graphicFrame macro="">
      <xdr:nvGraphicFramePr>
        <xdr:cNvPr id="690" name="Chart 1">
          <a:extLst>
            <a:ext uri="{FF2B5EF4-FFF2-40B4-BE49-F238E27FC236}">
              <a16:creationId xmlns:a16="http://schemas.microsoft.com/office/drawing/2014/main" id="{E0B704FB-1EDF-4F7C-A2FE-F3F72D704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96</xdr:row>
      <xdr:rowOff>0</xdr:rowOff>
    </xdr:from>
    <xdr:to>
      <xdr:col>12</xdr:col>
      <xdr:colOff>0</xdr:colOff>
      <xdr:row>112</xdr:row>
      <xdr:rowOff>0</xdr:rowOff>
    </xdr:to>
    <xdr:graphicFrame macro="">
      <xdr:nvGraphicFramePr>
        <xdr:cNvPr id="691" name="Chart 1">
          <a:extLst>
            <a:ext uri="{FF2B5EF4-FFF2-40B4-BE49-F238E27FC236}">
              <a16:creationId xmlns:a16="http://schemas.microsoft.com/office/drawing/2014/main" id="{D08B39E5-C2A3-4886-8D98-E53BB47C6D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96</xdr:row>
      <xdr:rowOff>0</xdr:rowOff>
    </xdr:from>
    <xdr:to>
      <xdr:col>25</xdr:col>
      <xdr:colOff>0</xdr:colOff>
      <xdr:row>112</xdr:row>
      <xdr:rowOff>0</xdr:rowOff>
    </xdr:to>
    <xdr:graphicFrame macro="">
      <xdr:nvGraphicFramePr>
        <xdr:cNvPr id="692" name="Chart 1">
          <a:extLst>
            <a:ext uri="{FF2B5EF4-FFF2-40B4-BE49-F238E27FC236}">
              <a16:creationId xmlns:a16="http://schemas.microsoft.com/office/drawing/2014/main" id="{242433CA-B781-495D-B395-A7D85C96D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113</xdr:row>
      <xdr:rowOff>0</xdr:rowOff>
    </xdr:from>
    <xdr:to>
      <xdr:col>12</xdr:col>
      <xdr:colOff>0</xdr:colOff>
      <xdr:row>129</xdr:row>
      <xdr:rowOff>0</xdr:rowOff>
    </xdr:to>
    <xdr:graphicFrame macro="">
      <xdr:nvGraphicFramePr>
        <xdr:cNvPr id="693" name="Chart 1">
          <a:extLst>
            <a:ext uri="{FF2B5EF4-FFF2-40B4-BE49-F238E27FC236}">
              <a16:creationId xmlns:a16="http://schemas.microsoft.com/office/drawing/2014/main" id="{BEDEE3E4-7D62-4392-A7A6-87454A7441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113</xdr:row>
      <xdr:rowOff>0</xdr:rowOff>
    </xdr:from>
    <xdr:to>
      <xdr:col>25</xdr:col>
      <xdr:colOff>0</xdr:colOff>
      <xdr:row>129</xdr:row>
      <xdr:rowOff>0</xdr:rowOff>
    </xdr:to>
    <xdr:graphicFrame macro="">
      <xdr:nvGraphicFramePr>
        <xdr:cNvPr id="694" name="Chart 1">
          <a:extLst>
            <a:ext uri="{FF2B5EF4-FFF2-40B4-BE49-F238E27FC236}">
              <a16:creationId xmlns:a16="http://schemas.microsoft.com/office/drawing/2014/main" id="{E3B3AC61-0E2E-4FFB-9ACC-3B11097554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12</xdr:col>
      <xdr:colOff>0</xdr:colOff>
      <xdr:row>146</xdr:row>
      <xdr:rowOff>0</xdr:rowOff>
    </xdr:to>
    <xdr:graphicFrame macro="">
      <xdr:nvGraphicFramePr>
        <xdr:cNvPr id="695" name="Chart 1">
          <a:extLst>
            <a:ext uri="{FF2B5EF4-FFF2-40B4-BE49-F238E27FC236}">
              <a16:creationId xmlns:a16="http://schemas.microsoft.com/office/drawing/2014/main" id="{7962E3A0-8A36-4636-BF34-6BDE4F1E44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130</xdr:row>
      <xdr:rowOff>0</xdr:rowOff>
    </xdr:from>
    <xdr:to>
      <xdr:col>25</xdr:col>
      <xdr:colOff>0</xdr:colOff>
      <xdr:row>146</xdr:row>
      <xdr:rowOff>0</xdr:rowOff>
    </xdr:to>
    <xdr:graphicFrame macro="">
      <xdr:nvGraphicFramePr>
        <xdr:cNvPr id="696" name="Chart 1">
          <a:extLst>
            <a:ext uri="{FF2B5EF4-FFF2-40B4-BE49-F238E27FC236}">
              <a16:creationId xmlns:a16="http://schemas.microsoft.com/office/drawing/2014/main" id="{37E56071-E880-40D6-BFC9-4A927BEBE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147</xdr:row>
      <xdr:rowOff>0</xdr:rowOff>
    </xdr:from>
    <xdr:to>
      <xdr:col>12</xdr:col>
      <xdr:colOff>0</xdr:colOff>
      <xdr:row>163</xdr:row>
      <xdr:rowOff>0</xdr:rowOff>
    </xdr:to>
    <xdr:graphicFrame macro="">
      <xdr:nvGraphicFramePr>
        <xdr:cNvPr id="697" name="Chart 1">
          <a:extLst>
            <a:ext uri="{FF2B5EF4-FFF2-40B4-BE49-F238E27FC236}">
              <a16:creationId xmlns:a16="http://schemas.microsoft.com/office/drawing/2014/main" id="{82A0E732-DFC5-4B0D-B8D4-01095B2E5C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147</xdr:row>
      <xdr:rowOff>0</xdr:rowOff>
    </xdr:from>
    <xdr:to>
      <xdr:col>25</xdr:col>
      <xdr:colOff>0</xdr:colOff>
      <xdr:row>163</xdr:row>
      <xdr:rowOff>0</xdr:rowOff>
    </xdr:to>
    <xdr:graphicFrame macro="">
      <xdr:nvGraphicFramePr>
        <xdr:cNvPr id="698" name="Chart 1">
          <a:extLst>
            <a:ext uri="{FF2B5EF4-FFF2-40B4-BE49-F238E27FC236}">
              <a16:creationId xmlns:a16="http://schemas.microsoft.com/office/drawing/2014/main" id="{A69D8482-AB29-4166-9619-6CC4285E1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164</xdr:row>
      <xdr:rowOff>0</xdr:rowOff>
    </xdr:from>
    <xdr:to>
      <xdr:col>12</xdr:col>
      <xdr:colOff>0</xdr:colOff>
      <xdr:row>180</xdr:row>
      <xdr:rowOff>0</xdr:rowOff>
    </xdr:to>
    <xdr:graphicFrame macro="">
      <xdr:nvGraphicFramePr>
        <xdr:cNvPr id="699" name="Chart 1">
          <a:extLst>
            <a:ext uri="{FF2B5EF4-FFF2-40B4-BE49-F238E27FC236}">
              <a16:creationId xmlns:a16="http://schemas.microsoft.com/office/drawing/2014/main" id="{34B6BA6A-7239-42EA-9333-DE4BE97757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25</xdr:col>
      <xdr:colOff>0</xdr:colOff>
      <xdr:row>180</xdr:row>
      <xdr:rowOff>0</xdr:rowOff>
    </xdr:to>
    <xdr:graphicFrame macro="">
      <xdr:nvGraphicFramePr>
        <xdr:cNvPr id="700" name="Chart 1">
          <a:extLst>
            <a:ext uri="{FF2B5EF4-FFF2-40B4-BE49-F238E27FC236}">
              <a16:creationId xmlns:a16="http://schemas.microsoft.com/office/drawing/2014/main" id="{8D22D406-05C0-43E4-938C-5C004615CA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12</xdr:col>
      <xdr:colOff>0</xdr:colOff>
      <xdr:row>197</xdr:row>
      <xdr:rowOff>0</xdr:rowOff>
    </xdr:to>
    <xdr:graphicFrame macro="">
      <xdr:nvGraphicFramePr>
        <xdr:cNvPr id="701" name="Chart 1">
          <a:extLst>
            <a:ext uri="{FF2B5EF4-FFF2-40B4-BE49-F238E27FC236}">
              <a16:creationId xmlns:a16="http://schemas.microsoft.com/office/drawing/2014/main" id="{D74627EA-047F-44CC-B957-870D08035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181</xdr:row>
      <xdr:rowOff>0</xdr:rowOff>
    </xdr:from>
    <xdr:to>
      <xdr:col>25</xdr:col>
      <xdr:colOff>0</xdr:colOff>
      <xdr:row>197</xdr:row>
      <xdr:rowOff>0</xdr:rowOff>
    </xdr:to>
    <xdr:graphicFrame macro="">
      <xdr:nvGraphicFramePr>
        <xdr:cNvPr id="702" name="Chart 1">
          <a:extLst>
            <a:ext uri="{FF2B5EF4-FFF2-40B4-BE49-F238E27FC236}">
              <a16:creationId xmlns:a16="http://schemas.microsoft.com/office/drawing/2014/main" id="{855BDCDB-C74F-4E59-94F3-054838A354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198</xdr:row>
      <xdr:rowOff>0</xdr:rowOff>
    </xdr:from>
    <xdr:to>
      <xdr:col>12</xdr:col>
      <xdr:colOff>0</xdr:colOff>
      <xdr:row>214</xdr:row>
      <xdr:rowOff>0</xdr:rowOff>
    </xdr:to>
    <xdr:graphicFrame macro="">
      <xdr:nvGraphicFramePr>
        <xdr:cNvPr id="703" name="Chart 1">
          <a:extLst>
            <a:ext uri="{FF2B5EF4-FFF2-40B4-BE49-F238E27FC236}">
              <a16:creationId xmlns:a16="http://schemas.microsoft.com/office/drawing/2014/main" id="{D6299AE3-8EAF-4E3F-AE46-E1809FB5A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198</xdr:row>
      <xdr:rowOff>0</xdr:rowOff>
    </xdr:from>
    <xdr:to>
      <xdr:col>25</xdr:col>
      <xdr:colOff>0</xdr:colOff>
      <xdr:row>214</xdr:row>
      <xdr:rowOff>0</xdr:rowOff>
    </xdr:to>
    <xdr:graphicFrame macro="">
      <xdr:nvGraphicFramePr>
        <xdr:cNvPr id="704" name="Chart 1">
          <a:extLst>
            <a:ext uri="{FF2B5EF4-FFF2-40B4-BE49-F238E27FC236}">
              <a16:creationId xmlns:a16="http://schemas.microsoft.com/office/drawing/2014/main" id="{3880FEAD-D342-4E14-94A5-DD489C271E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215</xdr:row>
      <xdr:rowOff>0</xdr:rowOff>
    </xdr:from>
    <xdr:to>
      <xdr:col>12</xdr:col>
      <xdr:colOff>0</xdr:colOff>
      <xdr:row>231</xdr:row>
      <xdr:rowOff>0</xdr:rowOff>
    </xdr:to>
    <xdr:graphicFrame macro="">
      <xdr:nvGraphicFramePr>
        <xdr:cNvPr id="705" name="Chart 1">
          <a:extLst>
            <a:ext uri="{FF2B5EF4-FFF2-40B4-BE49-F238E27FC236}">
              <a16:creationId xmlns:a16="http://schemas.microsoft.com/office/drawing/2014/main" id="{25503E62-A937-43EE-B821-C0D5B17DC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215</xdr:row>
      <xdr:rowOff>0</xdr:rowOff>
    </xdr:from>
    <xdr:to>
      <xdr:col>25</xdr:col>
      <xdr:colOff>0</xdr:colOff>
      <xdr:row>231</xdr:row>
      <xdr:rowOff>0</xdr:rowOff>
    </xdr:to>
    <xdr:graphicFrame macro="">
      <xdr:nvGraphicFramePr>
        <xdr:cNvPr id="706" name="Chart 1">
          <a:extLst>
            <a:ext uri="{FF2B5EF4-FFF2-40B4-BE49-F238E27FC236}">
              <a16:creationId xmlns:a16="http://schemas.microsoft.com/office/drawing/2014/main" id="{A73F7942-237A-4F6D-8881-40A48D88C8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232</xdr:row>
      <xdr:rowOff>0</xdr:rowOff>
    </xdr:from>
    <xdr:to>
      <xdr:col>12</xdr:col>
      <xdr:colOff>0</xdr:colOff>
      <xdr:row>248</xdr:row>
      <xdr:rowOff>0</xdr:rowOff>
    </xdr:to>
    <xdr:graphicFrame macro="">
      <xdr:nvGraphicFramePr>
        <xdr:cNvPr id="707" name="Chart 1">
          <a:extLst>
            <a:ext uri="{FF2B5EF4-FFF2-40B4-BE49-F238E27FC236}">
              <a16:creationId xmlns:a16="http://schemas.microsoft.com/office/drawing/2014/main" id="{67C1DED4-B0DB-48E7-A5BF-5B6E61DD89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232</xdr:row>
      <xdr:rowOff>0</xdr:rowOff>
    </xdr:from>
    <xdr:to>
      <xdr:col>25</xdr:col>
      <xdr:colOff>0</xdr:colOff>
      <xdr:row>248</xdr:row>
      <xdr:rowOff>0</xdr:rowOff>
    </xdr:to>
    <xdr:graphicFrame macro="">
      <xdr:nvGraphicFramePr>
        <xdr:cNvPr id="708" name="Chart 1">
          <a:extLst>
            <a:ext uri="{FF2B5EF4-FFF2-40B4-BE49-F238E27FC236}">
              <a16:creationId xmlns:a16="http://schemas.microsoft.com/office/drawing/2014/main" id="{C30F5D4F-9771-4F47-96E3-0D8DDE7A53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249</xdr:row>
      <xdr:rowOff>0</xdr:rowOff>
    </xdr:from>
    <xdr:to>
      <xdr:col>12</xdr:col>
      <xdr:colOff>0</xdr:colOff>
      <xdr:row>265</xdr:row>
      <xdr:rowOff>0</xdr:rowOff>
    </xdr:to>
    <xdr:graphicFrame macro="">
      <xdr:nvGraphicFramePr>
        <xdr:cNvPr id="709" name="Chart 1">
          <a:extLst>
            <a:ext uri="{FF2B5EF4-FFF2-40B4-BE49-F238E27FC236}">
              <a16:creationId xmlns:a16="http://schemas.microsoft.com/office/drawing/2014/main" id="{0802C9E3-4F82-49AC-82CB-E6F5CA6AC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249</xdr:row>
      <xdr:rowOff>0</xdr:rowOff>
    </xdr:from>
    <xdr:to>
      <xdr:col>25</xdr:col>
      <xdr:colOff>0</xdr:colOff>
      <xdr:row>265</xdr:row>
      <xdr:rowOff>0</xdr:rowOff>
    </xdr:to>
    <xdr:graphicFrame macro="">
      <xdr:nvGraphicFramePr>
        <xdr:cNvPr id="710" name="Chart 1">
          <a:extLst>
            <a:ext uri="{FF2B5EF4-FFF2-40B4-BE49-F238E27FC236}">
              <a16:creationId xmlns:a16="http://schemas.microsoft.com/office/drawing/2014/main" id="{EA324DE2-80CE-4B45-99A9-46A7BC5DC4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266</xdr:row>
      <xdr:rowOff>0</xdr:rowOff>
    </xdr:from>
    <xdr:to>
      <xdr:col>12</xdr:col>
      <xdr:colOff>0</xdr:colOff>
      <xdr:row>282</xdr:row>
      <xdr:rowOff>0</xdr:rowOff>
    </xdr:to>
    <xdr:graphicFrame macro="">
      <xdr:nvGraphicFramePr>
        <xdr:cNvPr id="711" name="Chart 1">
          <a:extLst>
            <a:ext uri="{FF2B5EF4-FFF2-40B4-BE49-F238E27FC236}">
              <a16:creationId xmlns:a16="http://schemas.microsoft.com/office/drawing/2014/main" id="{5807C4EB-FD0F-4D69-ADE6-DE3AFFE4B4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13</xdr:col>
      <xdr:colOff>0</xdr:colOff>
      <xdr:row>266</xdr:row>
      <xdr:rowOff>0</xdr:rowOff>
    </xdr:from>
    <xdr:to>
      <xdr:col>25</xdr:col>
      <xdr:colOff>0</xdr:colOff>
      <xdr:row>282</xdr:row>
      <xdr:rowOff>0</xdr:rowOff>
    </xdr:to>
    <xdr:graphicFrame macro="">
      <xdr:nvGraphicFramePr>
        <xdr:cNvPr id="712" name="Chart 1">
          <a:extLst>
            <a:ext uri="{FF2B5EF4-FFF2-40B4-BE49-F238E27FC236}">
              <a16:creationId xmlns:a16="http://schemas.microsoft.com/office/drawing/2014/main" id="{ACB1EA4E-2816-4843-9C61-A89EB060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283</xdr:row>
      <xdr:rowOff>0</xdr:rowOff>
    </xdr:from>
    <xdr:to>
      <xdr:col>12</xdr:col>
      <xdr:colOff>0</xdr:colOff>
      <xdr:row>299</xdr:row>
      <xdr:rowOff>0</xdr:rowOff>
    </xdr:to>
    <xdr:graphicFrame macro="">
      <xdr:nvGraphicFramePr>
        <xdr:cNvPr id="713" name="Chart 1">
          <a:extLst>
            <a:ext uri="{FF2B5EF4-FFF2-40B4-BE49-F238E27FC236}">
              <a16:creationId xmlns:a16="http://schemas.microsoft.com/office/drawing/2014/main" id="{777E702B-51C1-4ED3-8AD7-F6394D7A3A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13</xdr:col>
      <xdr:colOff>0</xdr:colOff>
      <xdr:row>283</xdr:row>
      <xdr:rowOff>0</xdr:rowOff>
    </xdr:from>
    <xdr:to>
      <xdr:col>25</xdr:col>
      <xdr:colOff>0</xdr:colOff>
      <xdr:row>299</xdr:row>
      <xdr:rowOff>0</xdr:rowOff>
    </xdr:to>
    <xdr:graphicFrame macro="">
      <xdr:nvGraphicFramePr>
        <xdr:cNvPr id="714" name="Chart 1">
          <a:extLst>
            <a:ext uri="{FF2B5EF4-FFF2-40B4-BE49-F238E27FC236}">
              <a16:creationId xmlns:a16="http://schemas.microsoft.com/office/drawing/2014/main" id="{CB6C3EEC-6500-4627-BE38-3A07A83145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300</xdr:row>
      <xdr:rowOff>0</xdr:rowOff>
    </xdr:from>
    <xdr:to>
      <xdr:col>12</xdr:col>
      <xdr:colOff>0</xdr:colOff>
      <xdr:row>316</xdr:row>
      <xdr:rowOff>0</xdr:rowOff>
    </xdr:to>
    <xdr:graphicFrame macro="">
      <xdr:nvGraphicFramePr>
        <xdr:cNvPr id="715" name="Chart 1">
          <a:extLst>
            <a:ext uri="{FF2B5EF4-FFF2-40B4-BE49-F238E27FC236}">
              <a16:creationId xmlns:a16="http://schemas.microsoft.com/office/drawing/2014/main" id="{1BC3319E-13A5-4D7F-9501-EA7D2A1AC5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13</xdr:col>
      <xdr:colOff>0</xdr:colOff>
      <xdr:row>300</xdr:row>
      <xdr:rowOff>0</xdr:rowOff>
    </xdr:from>
    <xdr:to>
      <xdr:col>25</xdr:col>
      <xdr:colOff>0</xdr:colOff>
      <xdr:row>316</xdr:row>
      <xdr:rowOff>0</xdr:rowOff>
    </xdr:to>
    <xdr:graphicFrame macro="">
      <xdr:nvGraphicFramePr>
        <xdr:cNvPr id="716" name="Chart 1">
          <a:extLst>
            <a:ext uri="{FF2B5EF4-FFF2-40B4-BE49-F238E27FC236}">
              <a16:creationId xmlns:a16="http://schemas.microsoft.com/office/drawing/2014/main" id="{A6FE6E14-51F8-45CE-8FF4-FBB479813E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317</xdr:row>
      <xdr:rowOff>0</xdr:rowOff>
    </xdr:from>
    <xdr:to>
      <xdr:col>12</xdr:col>
      <xdr:colOff>0</xdr:colOff>
      <xdr:row>333</xdr:row>
      <xdr:rowOff>0</xdr:rowOff>
    </xdr:to>
    <xdr:graphicFrame macro="">
      <xdr:nvGraphicFramePr>
        <xdr:cNvPr id="717" name="Chart 1">
          <a:extLst>
            <a:ext uri="{FF2B5EF4-FFF2-40B4-BE49-F238E27FC236}">
              <a16:creationId xmlns:a16="http://schemas.microsoft.com/office/drawing/2014/main" id="{F3754E48-5D08-4005-9109-E9229308FA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13</xdr:col>
      <xdr:colOff>0</xdr:colOff>
      <xdr:row>317</xdr:row>
      <xdr:rowOff>0</xdr:rowOff>
    </xdr:from>
    <xdr:to>
      <xdr:col>25</xdr:col>
      <xdr:colOff>0</xdr:colOff>
      <xdr:row>333</xdr:row>
      <xdr:rowOff>0</xdr:rowOff>
    </xdr:to>
    <xdr:graphicFrame macro="">
      <xdr:nvGraphicFramePr>
        <xdr:cNvPr id="718" name="Chart 1">
          <a:extLst>
            <a:ext uri="{FF2B5EF4-FFF2-40B4-BE49-F238E27FC236}">
              <a16:creationId xmlns:a16="http://schemas.microsoft.com/office/drawing/2014/main" id="{D6493208-1774-4C5C-BC37-B6E596508C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334</xdr:row>
      <xdr:rowOff>0</xdr:rowOff>
    </xdr:from>
    <xdr:to>
      <xdr:col>12</xdr:col>
      <xdr:colOff>0</xdr:colOff>
      <xdr:row>350</xdr:row>
      <xdr:rowOff>0</xdr:rowOff>
    </xdr:to>
    <xdr:graphicFrame macro="">
      <xdr:nvGraphicFramePr>
        <xdr:cNvPr id="719" name="Chart 1">
          <a:extLst>
            <a:ext uri="{FF2B5EF4-FFF2-40B4-BE49-F238E27FC236}">
              <a16:creationId xmlns:a16="http://schemas.microsoft.com/office/drawing/2014/main" id="{3697A555-E80C-4D71-B97B-3A4B50D7AA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13</xdr:col>
      <xdr:colOff>0</xdr:colOff>
      <xdr:row>334</xdr:row>
      <xdr:rowOff>0</xdr:rowOff>
    </xdr:from>
    <xdr:to>
      <xdr:col>25</xdr:col>
      <xdr:colOff>0</xdr:colOff>
      <xdr:row>350</xdr:row>
      <xdr:rowOff>0</xdr:rowOff>
    </xdr:to>
    <xdr:graphicFrame macro="">
      <xdr:nvGraphicFramePr>
        <xdr:cNvPr id="720" name="Chart 1">
          <a:extLst>
            <a:ext uri="{FF2B5EF4-FFF2-40B4-BE49-F238E27FC236}">
              <a16:creationId xmlns:a16="http://schemas.microsoft.com/office/drawing/2014/main" id="{7EED5BE6-E5BC-408F-9B5F-878C19BD0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351</xdr:row>
      <xdr:rowOff>0</xdr:rowOff>
    </xdr:from>
    <xdr:to>
      <xdr:col>12</xdr:col>
      <xdr:colOff>0</xdr:colOff>
      <xdr:row>367</xdr:row>
      <xdr:rowOff>0</xdr:rowOff>
    </xdr:to>
    <xdr:graphicFrame macro="">
      <xdr:nvGraphicFramePr>
        <xdr:cNvPr id="721" name="Chart 1">
          <a:extLst>
            <a:ext uri="{FF2B5EF4-FFF2-40B4-BE49-F238E27FC236}">
              <a16:creationId xmlns:a16="http://schemas.microsoft.com/office/drawing/2014/main" id="{23D4E213-6817-4362-8D91-E1FF2043C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13</xdr:col>
      <xdr:colOff>0</xdr:colOff>
      <xdr:row>351</xdr:row>
      <xdr:rowOff>0</xdr:rowOff>
    </xdr:from>
    <xdr:to>
      <xdr:col>25</xdr:col>
      <xdr:colOff>0</xdr:colOff>
      <xdr:row>367</xdr:row>
      <xdr:rowOff>0</xdr:rowOff>
    </xdr:to>
    <xdr:graphicFrame macro="">
      <xdr:nvGraphicFramePr>
        <xdr:cNvPr id="722" name="Chart 1">
          <a:extLst>
            <a:ext uri="{FF2B5EF4-FFF2-40B4-BE49-F238E27FC236}">
              <a16:creationId xmlns:a16="http://schemas.microsoft.com/office/drawing/2014/main" id="{9F80B916-6E80-4488-BE3E-ACB7FE7F5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368</xdr:row>
      <xdr:rowOff>0</xdr:rowOff>
    </xdr:from>
    <xdr:to>
      <xdr:col>12</xdr:col>
      <xdr:colOff>0</xdr:colOff>
      <xdr:row>384</xdr:row>
      <xdr:rowOff>0</xdr:rowOff>
    </xdr:to>
    <xdr:graphicFrame macro="">
      <xdr:nvGraphicFramePr>
        <xdr:cNvPr id="723" name="Chart 1">
          <a:extLst>
            <a:ext uri="{FF2B5EF4-FFF2-40B4-BE49-F238E27FC236}">
              <a16:creationId xmlns:a16="http://schemas.microsoft.com/office/drawing/2014/main" id="{0CDCF15C-EC96-42FD-B332-32314A9DE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13</xdr:col>
      <xdr:colOff>0</xdr:colOff>
      <xdr:row>368</xdr:row>
      <xdr:rowOff>0</xdr:rowOff>
    </xdr:from>
    <xdr:to>
      <xdr:col>25</xdr:col>
      <xdr:colOff>0</xdr:colOff>
      <xdr:row>384</xdr:row>
      <xdr:rowOff>0</xdr:rowOff>
    </xdr:to>
    <xdr:graphicFrame macro="">
      <xdr:nvGraphicFramePr>
        <xdr:cNvPr id="724" name="Chart 1">
          <a:extLst>
            <a:ext uri="{FF2B5EF4-FFF2-40B4-BE49-F238E27FC236}">
              <a16:creationId xmlns:a16="http://schemas.microsoft.com/office/drawing/2014/main" id="{47BB26F6-E3EE-4B5C-B869-99CB9D9291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12</xdr:col>
      <xdr:colOff>0</xdr:colOff>
      <xdr:row>401</xdr:row>
      <xdr:rowOff>0</xdr:rowOff>
    </xdr:to>
    <xdr:graphicFrame macro="">
      <xdr:nvGraphicFramePr>
        <xdr:cNvPr id="725" name="Chart 1">
          <a:extLst>
            <a:ext uri="{FF2B5EF4-FFF2-40B4-BE49-F238E27FC236}">
              <a16:creationId xmlns:a16="http://schemas.microsoft.com/office/drawing/2014/main" id="{968C7C43-1C54-47C5-9753-C61B582B2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13</xdr:col>
      <xdr:colOff>0</xdr:colOff>
      <xdr:row>385</xdr:row>
      <xdr:rowOff>0</xdr:rowOff>
    </xdr:from>
    <xdr:to>
      <xdr:col>25</xdr:col>
      <xdr:colOff>0</xdr:colOff>
      <xdr:row>401</xdr:row>
      <xdr:rowOff>0</xdr:rowOff>
    </xdr:to>
    <xdr:graphicFrame macro="">
      <xdr:nvGraphicFramePr>
        <xdr:cNvPr id="726" name="Chart 1">
          <a:extLst>
            <a:ext uri="{FF2B5EF4-FFF2-40B4-BE49-F238E27FC236}">
              <a16:creationId xmlns:a16="http://schemas.microsoft.com/office/drawing/2014/main" id="{82969385-5D1E-4C35-9F8D-B93BCBC88B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AF66AE1-F5B4-4810-A4D6-7E8AA9F7ED16}"/>
            </a:ext>
          </a:extLst>
        </xdr:cNvPr>
        <xdr:cNvSpPr txBox="1"/>
      </xdr:nvSpPr>
      <xdr:spPr>
        <a:xfrm>
          <a:off x="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Predictions as of: 8/5/2018 6:47:13 PM</a:t>
          </a:r>
        </a:p>
        <a:p>
          <a:r>
            <a:rPr lang="en-US" sz="1100"/>
            <a:t>Crea (7500/10) has about 19 days left: 8/24/2018</a:t>
          </a:r>
        </a:p>
        <a:p>
          <a:r>
            <a:rPr lang="en-US" sz="1100"/>
            <a:t>Mg has about 21 days left: 8/26/2018</a:t>
          </a:r>
        </a:p>
        <a:p>
          <a:r>
            <a:rPr lang="en-US" sz="1100"/>
            <a:t>    -    ICT Clean expiration date soon in:  -3 days.</a:t>
          </a:r>
        </a:p>
        <a:p>
          <a:r>
            <a:rPr lang="en-US" sz="1100"/>
            <a:t>    -    WBA expiration date soon in:  13 days.</a:t>
          </a:r>
        </a:p>
        <a:p>
          <a:r>
            <a:rPr lang="en-US" sz="1100"/>
            <a:t>Amm has about 17 days left: 8/22/2018</a:t>
          </a:r>
        </a:p>
        <a:p>
          <a:endParaRPr lang="en-US" sz="1100"/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19</xdr:col>
      <xdr:colOff>0</xdr:colOff>
      <xdr:row>10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5E657D7-4BF8-46EF-8500-95289CF213D9}"/>
            </a:ext>
          </a:extLst>
        </xdr:cNvPr>
        <xdr:cNvSpPr txBox="1"/>
      </xdr:nvSpPr>
      <xdr:spPr>
        <a:xfrm>
          <a:off x="6096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iVanc has about 14 days left: 8/19/2018</a:t>
          </a:r>
        </a:p>
        <a:p>
          <a:r>
            <a:rPr lang="en-US" sz="1100"/>
            <a:t>TnI has about 13 days left: 8/18/2018</a:t>
          </a:r>
        </a:p>
        <a:p>
          <a:r>
            <a:rPr lang="en-US" sz="1100"/>
            <a:t>TSH (100) has about 18 days left: 8/23/2018</a:t>
          </a:r>
        </a:p>
        <a:p>
          <a:r>
            <a:rPr lang="en-US" sz="1100"/>
            <a:t>Bili Calibrator has about 28 days left: 9/2/2018</a:t>
          </a:r>
        </a:p>
        <a:p>
          <a:r>
            <a:rPr lang="en-US" sz="1100"/>
            <a:t>Empty Wedge 90ml has about 22 days left: 8/27/2018</a:t>
          </a:r>
        </a:p>
        <a:p>
          <a:endParaRPr lang="en-US" sz="1100"/>
        </a:p>
      </xdr:txBody>
    </xdr:sp>
    <xdr:clientData/>
  </xdr:twoCellAnchor>
  <xdr:twoCellAnchor>
    <xdr:from>
      <xdr:col>20</xdr:col>
      <xdr:colOff>0</xdr:colOff>
      <xdr:row>0</xdr:row>
      <xdr:rowOff>0</xdr:rowOff>
    </xdr:from>
    <xdr:to>
      <xdr:col>29</xdr:col>
      <xdr:colOff>0</xdr:colOff>
      <xdr:row>10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8534374-61BA-47FE-AE3B-28EC99C7A6C5}"/>
            </a:ext>
          </a:extLst>
        </xdr:cNvPr>
        <xdr:cNvSpPr txBox="1"/>
      </xdr:nvSpPr>
      <xdr:spPr>
        <a:xfrm>
          <a:off x="12192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FE/Mg Calibrator has about 24 days left: 8/29/2018</a:t>
          </a:r>
        </a:p>
        <a:p>
          <a:r>
            <a:rPr lang="en-US" sz="1100"/>
            <a:t>MCC Calibrator has about 13 days left: 8/18/2018</a:t>
          </a:r>
        </a:p>
        <a:p>
          <a:r>
            <a:rPr lang="en-US" sz="1100"/>
            <a:t>    -    iVanc Calibrator expiration date soon in:  -1 days.</a:t>
          </a:r>
        </a:p>
        <a:p>
          <a:r>
            <a:rPr lang="en-US" sz="1100"/>
            <a:t>TSH Calibrator has about 16 days left: 8/21/2018    -    TSH Calibrator expiration date soon in:  23 days.</a:t>
          </a:r>
        </a:p>
        <a:p>
          <a:r>
            <a:rPr lang="en-US" sz="1100"/>
            <a:t>HIV Control has about 19 days left: 8/24/2018</a:t>
          </a:r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12</xdr:col>
      <xdr:colOff>0</xdr:colOff>
      <xdr:row>27</xdr:row>
      <xdr:rowOff>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3BF17B19-3D5C-4C7D-A31F-35B3343A9A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25</xdr:col>
      <xdr:colOff>0</xdr:colOff>
      <xdr:row>27</xdr:row>
      <xdr:rowOff>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39216D7-6B33-4498-8D70-A181C889E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12</xdr:col>
      <xdr:colOff>0</xdr:colOff>
      <xdr:row>44</xdr:row>
      <xdr:rowOff>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686B3256-FFF0-435E-9BF1-79A1DDBBE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25</xdr:col>
      <xdr:colOff>0</xdr:colOff>
      <xdr:row>44</xdr:row>
      <xdr:rowOff>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F6AC73DF-41C8-4BCA-B850-A3242EA7D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12</xdr:col>
      <xdr:colOff>0</xdr:colOff>
      <xdr:row>61</xdr:row>
      <xdr:rowOff>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61D33CD1-F795-47DD-BF96-9EF861C939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45</xdr:row>
      <xdr:rowOff>0</xdr:rowOff>
    </xdr:from>
    <xdr:to>
      <xdr:col>25</xdr:col>
      <xdr:colOff>0</xdr:colOff>
      <xdr:row>61</xdr:row>
      <xdr:rowOff>0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3FFA1AC-BD65-4DAD-BD71-0DF3CA6F51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62</xdr:row>
      <xdr:rowOff>0</xdr:rowOff>
    </xdr:from>
    <xdr:to>
      <xdr:col>12</xdr:col>
      <xdr:colOff>0</xdr:colOff>
      <xdr:row>78</xdr:row>
      <xdr:rowOff>0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B441A592-BCD8-4409-9FEB-92D50AC983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62</xdr:row>
      <xdr:rowOff>0</xdr:rowOff>
    </xdr:from>
    <xdr:to>
      <xdr:col>25</xdr:col>
      <xdr:colOff>0</xdr:colOff>
      <xdr:row>78</xdr:row>
      <xdr:rowOff>0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A2A01559-4E72-46FD-B9C9-A49BE9AE49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12</xdr:col>
      <xdr:colOff>0</xdr:colOff>
      <xdr:row>95</xdr:row>
      <xdr:rowOff>0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83DFD22A-904D-4291-9D3E-E7B19627C0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79</xdr:row>
      <xdr:rowOff>0</xdr:rowOff>
    </xdr:from>
    <xdr:to>
      <xdr:col>25</xdr:col>
      <xdr:colOff>0</xdr:colOff>
      <xdr:row>95</xdr:row>
      <xdr:rowOff>0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FDF6714-7C7C-4AAA-9307-DBFCE7E21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96</xdr:row>
      <xdr:rowOff>0</xdr:rowOff>
    </xdr:from>
    <xdr:to>
      <xdr:col>12</xdr:col>
      <xdr:colOff>0</xdr:colOff>
      <xdr:row>112</xdr:row>
      <xdr:rowOff>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B02FA0D9-A3DC-4A6F-9D54-429E088CD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96</xdr:row>
      <xdr:rowOff>0</xdr:rowOff>
    </xdr:from>
    <xdr:to>
      <xdr:col>25</xdr:col>
      <xdr:colOff>0</xdr:colOff>
      <xdr:row>112</xdr:row>
      <xdr:rowOff>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A6378000-96A3-4774-A01A-59F10B14B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113</xdr:row>
      <xdr:rowOff>0</xdr:rowOff>
    </xdr:from>
    <xdr:to>
      <xdr:col>12</xdr:col>
      <xdr:colOff>0</xdr:colOff>
      <xdr:row>129</xdr:row>
      <xdr:rowOff>0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1C97F1FD-D6A2-4226-A195-F7D155C5C9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113</xdr:row>
      <xdr:rowOff>0</xdr:rowOff>
    </xdr:from>
    <xdr:to>
      <xdr:col>25</xdr:col>
      <xdr:colOff>0</xdr:colOff>
      <xdr:row>129</xdr:row>
      <xdr:rowOff>0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FDAB1DEB-4951-43E6-853F-DDC0A66D6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12</xdr:col>
      <xdr:colOff>0</xdr:colOff>
      <xdr:row>146</xdr:row>
      <xdr:rowOff>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72F02777-9C9E-42A5-860D-C966F3AFB1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130</xdr:row>
      <xdr:rowOff>0</xdr:rowOff>
    </xdr:from>
    <xdr:to>
      <xdr:col>25</xdr:col>
      <xdr:colOff>0</xdr:colOff>
      <xdr:row>146</xdr:row>
      <xdr:rowOff>0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F40A9E0A-6095-4846-870E-EB119F9740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147</xdr:row>
      <xdr:rowOff>0</xdr:rowOff>
    </xdr:from>
    <xdr:to>
      <xdr:col>12</xdr:col>
      <xdr:colOff>0</xdr:colOff>
      <xdr:row>163</xdr:row>
      <xdr:rowOff>0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32C4C207-FF2E-45D3-869B-DC829ADAC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147</xdr:row>
      <xdr:rowOff>0</xdr:rowOff>
    </xdr:from>
    <xdr:to>
      <xdr:col>25</xdr:col>
      <xdr:colOff>0</xdr:colOff>
      <xdr:row>163</xdr:row>
      <xdr:rowOff>0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BCBA5769-E736-49D8-8DBC-C1D5FB4B3A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164</xdr:row>
      <xdr:rowOff>0</xdr:rowOff>
    </xdr:from>
    <xdr:to>
      <xdr:col>12</xdr:col>
      <xdr:colOff>0</xdr:colOff>
      <xdr:row>180</xdr:row>
      <xdr:rowOff>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8D791582-267F-46D9-A942-7BFD3E999D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25</xdr:col>
      <xdr:colOff>0</xdr:colOff>
      <xdr:row>180</xdr:row>
      <xdr:rowOff>0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16F8B90F-7658-4532-B558-20373DC68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12</xdr:col>
      <xdr:colOff>0</xdr:colOff>
      <xdr:row>197</xdr:row>
      <xdr:rowOff>0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0B77EACF-0753-4C35-A523-815ECB284C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181</xdr:row>
      <xdr:rowOff>0</xdr:rowOff>
    </xdr:from>
    <xdr:to>
      <xdr:col>25</xdr:col>
      <xdr:colOff>0</xdr:colOff>
      <xdr:row>197</xdr:row>
      <xdr:rowOff>0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DB310305-7DBC-43AD-A9D3-F100A55E2A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198</xdr:row>
      <xdr:rowOff>0</xdr:rowOff>
    </xdr:from>
    <xdr:to>
      <xdr:col>12</xdr:col>
      <xdr:colOff>0</xdr:colOff>
      <xdr:row>214</xdr:row>
      <xdr:rowOff>0</xdr:rowOff>
    </xdr:to>
    <xdr:graphicFrame macro="">
      <xdr:nvGraphicFramePr>
        <xdr:cNvPr id="27" name="Chart 1">
          <a:extLst>
            <a:ext uri="{FF2B5EF4-FFF2-40B4-BE49-F238E27FC236}">
              <a16:creationId xmlns:a16="http://schemas.microsoft.com/office/drawing/2014/main" id="{C3D6A24A-6B8C-4695-A4FE-9BB6BEB53F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198</xdr:row>
      <xdr:rowOff>0</xdr:rowOff>
    </xdr:from>
    <xdr:to>
      <xdr:col>25</xdr:col>
      <xdr:colOff>0</xdr:colOff>
      <xdr:row>214</xdr:row>
      <xdr:rowOff>0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id="{E55B4A2D-E365-47C5-9E5B-148FAECB96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215</xdr:row>
      <xdr:rowOff>0</xdr:rowOff>
    </xdr:from>
    <xdr:to>
      <xdr:col>12</xdr:col>
      <xdr:colOff>0</xdr:colOff>
      <xdr:row>231</xdr:row>
      <xdr:rowOff>0</xdr:rowOff>
    </xdr:to>
    <xdr:graphicFrame macro="">
      <xdr:nvGraphicFramePr>
        <xdr:cNvPr id="29" name="Chart 1">
          <a:extLst>
            <a:ext uri="{FF2B5EF4-FFF2-40B4-BE49-F238E27FC236}">
              <a16:creationId xmlns:a16="http://schemas.microsoft.com/office/drawing/2014/main" id="{BF538D56-4A88-4220-BF63-67BE0D3658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215</xdr:row>
      <xdr:rowOff>0</xdr:rowOff>
    </xdr:from>
    <xdr:to>
      <xdr:col>25</xdr:col>
      <xdr:colOff>0</xdr:colOff>
      <xdr:row>231</xdr:row>
      <xdr:rowOff>0</xdr:rowOff>
    </xdr:to>
    <xdr:graphicFrame macro="">
      <xdr:nvGraphicFramePr>
        <xdr:cNvPr id="30" name="Chart 1">
          <a:extLst>
            <a:ext uri="{FF2B5EF4-FFF2-40B4-BE49-F238E27FC236}">
              <a16:creationId xmlns:a16="http://schemas.microsoft.com/office/drawing/2014/main" id="{FF5ED3D7-FE8A-434C-AB8C-573A40883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232</xdr:row>
      <xdr:rowOff>0</xdr:rowOff>
    </xdr:from>
    <xdr:to>
      <xdr:col>12</xdr:col>
      <xdr:colOff>0</xdr:colOff>
      <xdr:row>248</xdr:row>
      <xdr:rowOff>0</xdr:rowOff>
    </xdr:to>
    <xdr:graphicFrame macro="">
      <xdr:nvGraphicFramePr>
        <xdr:cNvPr id="31" name="Chart 1">
          <a:extLst>
            <a:ext uri="{FF2B5EF4-FFF2-40B4-BE49-F238E27FC236}">
              <a16:creationId xmlns:a16="http://schemas.microsoft.com/office/drawing/2014/main" id="{35E6D380-35CF-4A39-90AC-9366A33BDF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232</xdr:row>
      <xdr:rowOff>0</xdr:rowOff>
    </xdr:from>
    <xdr:to>
      <xdr:col>25</xdr:col>
      <xdr:colOff>0</xdr:colOff>
      <xdr:row>248</xdr:row>
      <xdr:rowOff>0</xdr:rowOff>
    </xdr:to>
    <xdr:graphicFrame macro="">
      <xdr:nvGraphicFramePr>
        <xdr:cNvPr id="2496" name="Chart 1">
          <a:extLst>
            <a:ext uri="{FF2B5EF4-FFF2-40B4-BE49-F238E27FC236}">
              <a16:creationId xmlns:a16="http://schemas.microsoft.com/office/drawing/2014/main" id="{D37705BE-F2E5-4BD5-BA93-C0A0F6D17C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249</xdr:row>
      <xdr:rowOff>0</xdr:rowOff>
    </xdr:from>
    <xdr:to>
      <xdr:col>12</xdr:col>
      <xdr:colOff>0</xdr:colOff>
      <xdr:row>265</xdr:row>
      <xdr:rowOff>0</xdr:rowOff>
    </xdr:to>
    <xdr:graphicFrame macro="">
      <xdr:nvGraphicFramePr>
        <xdr:cNvPr id="2497" name="Chart 1">
          <a:extLst>
            <a:ext uri="{FF2B5EF4-FFF2-40B4-BE49-F238E27FC236}">
              <a16:creationId xmlns:a16="http://schemas.microsoft.com/office/drawing/2014/main" id="{DDABB1D9-83E8-4A01-AC11-1A146CED01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249</xdr:row>
      <xdr:rowOff>0</xdr:rowOff>
    </xdr:from>
    <xdr:to>
      <xdr:col>25</xdr:col>
      <xdr:colOff>0</xdr:colOff>
      <xdr:row>265</xdr:row>
      <xdr:rowOff>0</xdr:rowOff>
    </xdr:to>
    <xdr:graphicFrame macro="">
      <xdr:nvGraphicFramePr>
        <xdr:cNvPr id="2498" name="Chart 1">
          <a:extLst>
            <a:ext uri="{FF2B5EF4-FFF2-40B4-BE49-F238E27FC236}">
              <a16:creationId xmlns:a16="http://schemas.microsoft.com/office/drawing/2014/main" id="{6983933A-95DD-4C34-8185-2FB2C787E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266</xdr:row>
      <xdr:rowOff>0</xdr:rowOff>
    </xdr:from>
    <xdr:to>
      <xdr:col>12</xdr:col>
      <xdr:colOff>0</xdr:colOff>
      <xdr:row>282</xdr:row>
      <xdr:rowOff>0</xdr:rowOff>
    </xdr:to>
    <xdr:graphicFrame macro="">
      <xdr:nvGraphicFramePr>
        <xdr:cNvPr id="2499" name="Chart 1">
          <a:extLst>
            <a:ext uri="{FF2B5EF4-FFF2-40B4-BE49-F238E27FC236}">
              <a16:creationId xmlns:a16="http://schemas.microsoft.com/office/drawing/2014/main" id="{2A4E9E4D-8727-4ECB-B07A-472BF960D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13</xdr:col>
      <xdr:colOff>0</xdr:colOff>
      <xdr:row>266</xdr:row>
      <xdr:rowOff>0</xdr:rowOff>
    </xdr:from>
    <xdr:to>
      <xdr:col>25</xdr:col>
      <xdr:colOff>0</xdr:colOff>
      <xdr:row>282</xdr:row>
      <xdr:rowOff>0</xdr:rowOff>
    </xdr:to>
    <xdr:graphicFrame macro="">
      <xdr:nvGraphicFramePr>
        <xdr:cNvPr id="2500" name="Chart 1">
          <a:extLst>
            <a:ext uri="{FF2B5EF4-FFF2-40B4-BE49-F238E27FC236}">
              <a16:creationId xmlns:a16="http://schemas.microsoft.com/office/drawing/2014/main" id="{976ADA6B-0555-4B4D-ABF9-87B8B25B14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283</xdr:row>
      <xdr:rowOff>0</xdr:rowOff>
    </xdr:from>
    <xdr:to>
      <xdr:col>12</xdr:col>
      <xdr:colOff>0</xdr:colOff>
      <xdr:row>299</xdr:row>
      <xdr:rowOff>0</xdr:rowOff>
    </xdr:to>
    <xdr:graphicFrame macro="">
      <xdr:nvGraphicFramePr>
        <xdr:cNvPr id="2501" name="Chart 1">
          <a:extLst>
            <a:ext uri="{FF2B5EF4-FFF2-40B4-BE49-F238E27FC236}">
              <a16:creationId xmlns:a16="http://schemas.microsoft.com/office/drawing/2014/main" id="{8AF927D3-3B6E-446D-AF46-DEE74B875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13</xdr:col>
      <xdr:colOff>0</xdr:colOff>
      <xdr:row>283</xdr:row>
      <xdr:rowOff>0</xdr:rowOff>
    </xdr:from>
    <xdr:to>
      <xdr:col>25</xdr:col>
      <xdr:colOff>0</xdr:colOff>
      <xdr:row>299</xdr:row>
      <xdr:rowOff>0</xdr:rowOff>
    </xdr:to>
    <xdr:graphicFrame macro="">
      <xdr:nvGraphicFramePr>
        <xdr:cNvPr id="2575" name="Chart 1">
          <a:extLst>
            <a:ext uri="{FF2B5EF4-FFF2-40B4-BE49-F238E27FC236}">
              <a16:creationId xmlns:a16="http://schemas.microsoft.com/office/drawing/2014/main" id="{DB5CAFF4-040C-430F-B9B1-381703E532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300</xdr:row>
      <xdr:rowOff>0</xdr:rowOff>
    </xdr:from>
    <xdr:to>
      <xdr:col>12</xdr:col>
      <xdr:colOff>0</xdr:colOff>
      <xdr:row>316</xdr:row>
      <xdr:rowOff>0</xdr:rowOff>
    </xdr:to>
    <xdr:graphicFrame macro="">
      <xdr:nvGraphicFramePr>
        <xdr:cNvPr id="2576" name="Chart 1">
          <a:extLst>
            <a:ext uri="{FF2B5EF4-FFF2-40B4-BE49-F238E27FC236}">
              <a16:creationId xmlns:a16="http://schemas.microsoft.com/office/drawing/2014/main" id="{684FD9C8-93E3-4713-ADBD-9CC3C428C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13</xdr:col>
      <xdr:colOff>0</xdr:colOff>
      <xdr:row>300</xdr:row>
      <xdr:rowOff>0</xdr:rowOff>
    </xdr:from>
    <xdr:to>
      <xdr:col>25</xdr:col>
      <xdr:colOff>0</xdr:colOff>
      <xdr:row>316</xdr:row>
      <xdr:rowOff>0</xdr:rowOff>
    </xdr:to>
    <xdr:graphicFrame macro="">
      <xdr:nvGraphicFramePr>
        <xdr:cNvPr id="2577" name="Chart 1">
          <a:extLst>
            <a:ext uri="{FF2B5EF4-FFF2-40B4-BE49-F238E27FC236}">
              <a16:creationId xmlns:a16="http://schemas.microsoft.com/office/drawing/2014/main" id="{555F3757-02E2-4D14-94B0-BEDA220E0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317</xdr:row>
      <xdr:rowOff>0</xdr:rowOff>
    </xdr:from>
    <xdr:to>
      <xdr:col>12</xdr:col>
      <xdr:colOff>0</xdr:colOff>
      <xdr:row>333</xdr:row>
      <xdr:rowOff>0</xdr:rowOff>
    </xdr:to>
    <xdr:graphicFrame macro="">
      <xdr:nvGraphicFramePr>
        <xdr:cNvPr id="2578" name="Chart 1">
          <a:extLst>
            <a:ext uri="{FF2B5EF4-FFF2-40B4-BE49-F238E27FC236}">
              <a16:creationId xmlns:a16="http://schemas.microsoft.com/office/drawing/2014/main" id="{BAF12AE7-CF7A-47BC-B2C2-60A2856346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13</xdr:col>
      <xdr:colOff>0</xdr:colOff>
      <xdr:row>317</xdr:row>
      <xdr:rowOff>0</xdr:rowOff>
    </xdr:from>
    <xdr:to>
      <xdr:col>25</xdr:col>
      <xdr:colOff>0</xdr:colOff>
      <xdr:row>333</xdr:row>
      <xdr:rowOff>0</xdr:rowOff>
    </xdr:to>
    <xdr:graphicFrame macro="">
      <xdr:nvGraphicFramePr>
        <xdr:cNvPr id="2579" name="Chart 1">
          <a:extLst>
            <a:ext uri="{FF2B5EF4-FFF2-40B4-BE49-F238E27FC236}">
              <a16:creationId xmlns:a16="http://schemas.microsoft.com/office/drawing/2014/main" id="{9FD1FD0B-0644-4425-ACCB-82EB72A23F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334</xdr:row>
      <xdr:rowOff>0</xdr:rowOff>
    </xdr:from>
    <xdr:to>
      <xdr:col>12</xdr:col>
      <xdr:colOff>0</xdr:colOff>
      <xdr:row>350</xdr:row>
      <xdr:rowOff>0</xdr:rowOff>
    </xdr:to>
    <xdr:graphicFrame macro="">
      <xdr:nvGraphicFramePr>
        <xdr:cNvPr id="2580" name="Chart 1">
          <a:extLst>
            <a:ext uri="{FF2B5EF4-FFF2-40B4-BE49-F238E27FC236}">
              <a16:creationId xmlns:a16="http://schemas.microsoft.com/office/drawing/2014/main" id="{45A69F6D-C107-4B91-9020-D135905CA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13</xdr:col>
      <xdr:colOff>0</xdr:colOff>
      <xdr:row>334</xdr:row>
      <xdr:rowOff>0</xdr:rowOff>
    </xdr:from>
    <xdr:to>
      <xdr:col>25</xdr:col>
      <xdr:colOff>0</xdr:colOff>
      <xdr:row>350</xdr:row>
      <xdr:rowOff>0</xdr:rowOff>
    </xdr:to>
    <xdr:graphicFrame macro="">
      <xdr:nvGraphicFramePr>
        <xdr:cNvPr id="2581" name="Chart 1">
          <a:extLst>
            <a:ext uri="{FF2B5EF4-FFF2-40B4-BE49-F238E27FC236}">
              <a16:creationId xmlns:a16="http://schemas.microsoft.com/office/drawing/2014/main" id="{698FB58C-8875-48AC-A81B-2267C684D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351</xdr:row>
      <xdr:rowOff>0</xdr:rowOff>
    </xdr:from>
    <xdr:to>
      <xdr:col>12</xdr:col>
      <xdr:colOff>0</xdr:colOff>
      <xdr:row>367</xdr:row>
      <xdr:rowOff>0</xdr:rowOff>
    </xdr:to>
    <xdr:graphicFrame macro="">
      <xdr:nvGraphicFramePr>
        <xdr:cNvPr id="2582" name="Chart 1">
          <a:extLst>
            <a:ext uri="{FF2B5EF4-FFF2-40B4-BE49-F238E27FC236}">
              <a16:creationId xmlns:a16="http://schemas.microsoft.com/office/drawing/2014/main" id="{88F7694D-00C1-49BD-ADED-FCD3B08BFF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13</xdr:col>
      <xdr:colOff>0</xdr:colOff>
      <xdr:row>351</xdr:row>
      <xdr:rowOff>0</xdr:rowOff>
    </xdr:from>
    <xdr:to>
      <xdr:col>25</xdr:col>
      <xdr:colOff>0</xdr:colOff>
      <xdr:row>367</xdr:row>
      <xdr:rowOff>0</xdr:rowOff>
    </xdr:to>
    <xdr:graphicFrame macro="">
      <xdr:nvGraphicFramePr>
        <xdr:cNvPr id="2583" name="Chart 1">
          <a:extLst>
            <a:ext uri="{FF2B5EF4-FFF2-40B4-BE49-F238E27FC236}">
              <a16:creationId xmlns:a16="http://schemas.microsoft.com/office/drawing/2014/main" id="{5B8FD407-88CA-44CB-A630-B75B0B3795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368</xdr:row>
      <xdr:rowOff>0</xdr:rowOff>
    </xdr:from>
    <xdr:to>
      <xdr:col>12</xdr:col>
      <xdr:colOff>0</xdr:colOff>
      <xdr:row>384</xdr:row>
      <xdr:rowOff>0</xdr:rowOff>
    </xdr:to>
    <xdr:graphicFrame macro="">
      <xdr:nvGraphicFramePr>
        <xdr:cNvPr id="2584" name="Chart 1">
          <a:extLst>
            <a:ext uri="{FF2B5EF4-FFF2-40B4-BE49-F238E27FC236}">
              <a16:creationId xmlns:a16="http://schemas.microsoft.com/office/drawing/2014/main" id="{D8A8C815-8D8A-4100-9C4A-8AA082358E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13</xdr:col>
      <xdr:colOff>0</xdr:colOff>
      <xdr:row>368</xdr:row>
      <xdr:rowOff>0</xdr:rowOff>
    </xdr:from>
    <xdr:to>
      <xdr:col>25</xdr:col>
      <xdr:colOff>0</xdr:colOff>
      <xdr:row>384</xdr:row>
      <xdr:rowOff>0</xdr:rowOff>
    </xdr:to>
    <xdr:graphicFrame macro="">
      <xdr:nvGraphicFramePr>
        <xdr:cNvPr id="2585" name="Chart 1">
          <a:extLst>
            <a:ext uri="{FF2B5EF4-FFF2-40B4-BE49-F238E27FC236}">
              <a16:creationId xmlns:a16="http://schemas.microsoft.com/office/drawing/2014/main" id="{C3F1A510-5960-43A4-BA3C-015431066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12</xdr:col>
      <xdr:colOff>0</xdr:colOff>
      <xdr:row>401</xdr:row>
      <xdr:rowOff>0</xdr:rowOff>
    </xdr:to>
    <xdr:graphicFrame macro="">
      <xdr:nvGraphicFramePr>
        <xdr:cNvPr id="2586" name="Chart 1">
          <a:extLst>
            <a:ext uri="{FF2B5EF4-FFF2-40B4-BE49-F238E27FC236}">
              <a16:creationId xmlns:a16="http://schemas.microsoft.com/office/drawing/2014/main" id="{76FB1E82-ECA1-4E7C-BF6C-D358E28896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13</xdr:col>
      <xdr:colOff>0</xdr:colOff>
      <xdr:row>385</xdr:row>
      <xdr:rowOff>0</xdr:rowOff>
    </xdr:from>
    <xdr:to>
      <xdr:col>25</xdr:col>
      <xdr:colOff>0</xdr:colOff>
      <xdr:row>401</xdr:row>
      <xdr:rowOff>0</xdr:rowOff>
    </xdr:to>
    <xdr:graphicFrame macro="">
      <xdr:nvGraphicFramePr>
        <xdr:cNvPr id="2587" name="Chart 1">
          <a:extLst>
            <a:ext uri="{FF2B5EF4-FFF2-40B4-BE49-F238E27FC236}">
              <a16:creationId xmlns:a16="http://schemas.microsoft.com/office/drawing/2014/main" id="{B1B6FC8C-1506-40FE-9215-27510AD94F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402</xdr:row>
      <xdr:rowOff>0</xdr:rowOff>
    </xdr:from>
    <xdr:to>
      <xdr:col>12</xdr:col>
      <xdr:colOff>0</xdr:colOff>
      <xdr:row>418</xdr:row>
      <xdr:rowOff>0</xdr:rowOff>
    </xdr:to>
    <xdr:graphicFrame macro="">
      <xdr:nvGraphicFramePr>
        <xdr:cNvPr id="2588" name="Chart 1">
          <a:extLst>
            <a:ext uri="{FF2B5EF4-FFF2-40B4-BE49-F238E27FC236}">
              <a16:creationId xmlns:a16="http://schemas.microsoft.com/office/drawing/2014/main" id="{8FC78239-AE41-4667-BFF2-55617CF71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13</xdr:col>
      <xdr:colOff>0</xdr:colOff>
      <xdr:row>402</xdr:row>
      <xdr:rowOff>0</xdr:rowOff>
    </xdr:from>
    <xdr:to>
      <xdr:col>25</xdr:col>
      <xdr:colOff>0</xdr:colOff>
      <xdr:row>418</xdr:row>
      <xdr:rowOff>0</xdr:rowOff>
    </xdr:to>
    <xdr:graphicFrame macro="">
      <xdr:nvGraphicFramePr>
        <xdr:cNvPr id="2589" name="Chart 1">
          <a:extLst>
            <a:ext uri="{FF2B5EF4-FFF2-40B4-BE49-F238E27FC236}">
              <a16:creationId xmlns:a16="http://schemas.microsoft.com/office/drawing/2014/main" id="{11706F99-C3EB-4AFC-B3D0-432A2A99C2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419</xdr:row>
      <xdr:rowOff>0</xdr:rowOff>
    </xdr:from>
    <xdr:to>
      <xdr:col>12</xdr:col>
      <xdr:colOff>0</xdr:colOff>
      <xdr:row>435</xdr:row>
      <xdr:rowOff>0</xdr:rowOff>
    </xdr:to>
    <xdr:graphicFrame macro="">
      <xdr:nvGraphicFramePr>
        <xdr:cNvPr id="2590" name="Chart 1">
          <a:extLst>
            <a:ext uri="{FF2B5EF4-FFF2-40B4-BE49-F238E27FC236}">
              <a16:creationId xmlns:a16="http://schemas.microsoft.com/office/drawing/2014/main" id="{52164597-F121-4AF8-ACD1-6CF4FFD47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</xdr:col>
      <xdr:colOff>0</xdr:colOff>
      <xdr:row>419</xdr:row>
      <xdr:rowOff>0</xdr:rowOff>
    </xdr:from>
    <xdr:to>
      <xdr:col>25</xdr:col>
      <xdr:colOff>0</xdr:colOff>
      <xdr:row>435</xdr:row>
      <xdr:rowOff>0</xdr:rowOff>
    </xdr:to>
    <xdr:graphicFrame macro="">
      <xdr:nvGraphicFramePr>
        <xdr:cNvPr id="2591" name="Chart 1">
          <a:extLst>
            <a:ext uri="{FF2B5EF4-FFF2-40B4-BE49-F238E27FC236}">
              <a16:creationId xmlns:a16="http://schemas.microsoft.com/office/drawing/2014/main" id="{4E81E400-69C1-4907-BCF6-AE40A824D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436</xdr:row>
      <xdr:rowOff>0</xdr:rowOff>
    </xdr:from>
    <xdr:to>
      <xdr:col>12</xdr:col>
      <xdr:colOff>0</xdr:colOff>
      <xdr:row>452</xdr:row>
      <xdr:rowOff>0</xdr:rowOff>
    </xdr:to>
    <xdr:graphicFrame macro="">
      <xdr:nvGraphicFramePr>
        <xdr:cNvPr id="2592" name="Chart 1">
          <a:extLst>
            <a:ext uri="{FF2B5EF4-FFF2-40B4-BE49-F238E27FC236}">
              <a16:creationId xmlns:a16="http://schemas.microsoft.com/office/drawing/2014/main" id="{32E20854-98F2-4E03-9D32-335F0588C1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13</xdr:col>
      <xdr:colOff>0</xdr:colOff>
      <xdr:row>436</xdr:row>
      <xdr:rowOff>0</xdr:rowOff>
    </xdr:from>
    <xdr:to>
      <xdr:col>25</xdr:col>
      <xdr:colOff>0</xdr:colOff>
      <xdr:row>452</xdr:row>
      <xdr:rowOff>0</xdr:rowOff>
    </xdr:to>
    <xdr:graphicFrame macro="">
      <xdr:nvGraphicFramePr>
        <xdr:cNvPr id="2593" name="Chart 1">
          <a:extLst>
            <a:ext uri="{FF2B5EF4-FFF2-40B4-BE49-F238E27FC236}">
              <a16:creationId xmlns:a16="http://schemas.microsoft.com/office/drawing/2014/main" id="{60AEB775-F695-450F-9B77-4F9FA26E40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453</xdr:row>
      <xdr:rowOff>0</xdr:rowOff>
    </xdr:from>
    <xdr:to>
      <xdr:col>12</xdr:col>
      <xdr:colOff>0</xdr:colOff>
      <xdr:row>469</xdr:row>
      <xdr:rowOff>0</xdr:rowOff>
    </xdr:to>
    <xdr:graphicFrame macro="">
      <xdr:nvGraphicFramePr>
        <xdr:cNvPr id="2594" name="Chart 1">
          <a:extLst>
            <a:ext uri="{FF2B5EF4-FFF2-40B4-BE49-F238E27FC236}">
              <a16:creationId xmlns:a16="http://schemas.microsoft.com/office/drawing/2014/main" id="{13F92BF4-AD46-42A2-8BA0-423EAD43B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13</xdr:col>
      <xdr:colOff>0</xdr:colOff>
      <xdr:row>453</xdr:row>
      <xdr:rowOff>0</xdr:rowOff>
    </xdr:from>
    <xdr:to>
      <xdr:col>25</xdr:col>
      <xdr:colOff>0</xdr:colOff>
      <xdr:row>469</xdr:row>
      <xdr:rowOff>0</xdr:rowOff>
    </xdr:to>
    <xdr:graphicFrame macro="">
      <xdr:nvGraphicFramePr>
        <xdr:cNvPr id="2595" name="Chart 1">
          <a:extLst>
            <a:ext uri="{FF2B5EF4-FFF2-40B4-BE49-F238E27FC236}">
              <a16:creationId xmlns:a16="http://schemas.microsoft.com/office/drawing/2014/main" id="{E7E89CD2-9E71-4862-93A0-2FE80938AA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470</xdr:row>
      <xdr:rowOff>0</xdr:rowOff>
    </xdr:from>
    <xdr:to>
      <xdr:col>12</xdr:col>
      <xdr:colOff>0</xdr:colOff>
      <xdr:row>486</xdr:row>
      <xdr:rowOff>0</xdr:rowOff>
    </xdr:to>
    <xdr:graphicFrame macro="">
      <xdr:nvGraphicFramePr>
        <xdr:cNvPr id="2596" name="Chart 1">
          <a:extLst>
            <a:ext uri="{FF2B5EF4-FFF2-40B4-BE49-F238E27FC236}">
              <a16:creationId xmlns:a16="http://schemas.microsoft.com/office/drawing/2014/main" id="{3A6CEBE7-232E-42F6-B262-4BD91471A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13</xdr:col>
      <xdr:colOff>0</xdr:colOff>
      <xdr:row>470</xdr:row>
      <xdr:rowOff>0</xdr:rowOff>
    </xdr:from>
    <xdr:to>
      <xdr:col>25</xdr:col>
      <xdr:colOff>0</xdr:colOff>
      <xdr:row>486</xdr:row>
      <xdr:rowOff>0</xdr:rowOff>
    </xdr:to>
    <xdr:graphicFrame macro="">
      <xdr:nvGraphicFramePr>
        <xdr:cNvPr id="2597" name="Chart 1">
          <a:extLst>
            <a:ext uri="{FF2B5EF4-FFF2-40B4-BE49-F238E27FC236}">
              <a16:creationId xmlns:a16="http://schemas.microsoft.com/office/drawing/2014/main" id="{DDB7A7F6-F137-4CCB-B4CC-2D0F37A02A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487</xdr:row>
      <xdr:rowOff>0</xdr:rowOff>
    </xdr:from>
    <xdr:to>
      <xdr:col>12</xdr:col>
      <xdr:colOff>0</xdr:colOff>
      <xdr:row>503</xdr:row>
      <xdr:rowOff>0</xdr:rowOff>
    </xdr:to>
    <xdr:graphicFrame macro="">
      <xdr:nvGraphicFramePr>
        <xdr:cNvPr id="2598" name="Chart 1">
          <a:extLst>
            <a:ext uri="{FF2B5EF4-FFF2-40B4-BE49-F238E27FC236}">
              <a16:creationId xmlns:a16="http://schemas.microsoft.com/office/drawing/2014/main" id="{E7A43B1B-C0F7-4773-9A85-F99876649E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13</xdr:col>
      <xdr:colOff>0</xdr:colOff>
      <xdr:row>487</xdr:row>
      <xdr:rowOff>0</xdr:rowOff>
    </xdr:from>
    <xdr:to>
      <xdr:col>25</xdr:col>
      <xdr:colOff>0</xdr:colOff>
      <xdr:row>503</xdr:row>
      <xdr:rowOff>0</xdr:rowOff>
    </xdr:to>
    <xdr:graphicFrame macro="">
      <xdr:nvGraphicFramePr>
        <xdr:cNvPr id="2599" name="Chart 1">
          <a:extLst>
            <a:ext uri="{FF2B5EF4-FFF2-40B4-BE49-F238E27FC236}">
              <a16:creationId xmlns:a16="http://schemas.microsoft.com/office/drawing/2014/main" id="{A50DBEC9-2BC9-4664-9808-CD93277DF7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504</xdr:row>
      <xdr:rowOff>0</xdr:rowOff>
    </xdr:from>
    <xdr:to>
      <xdr:col>12</xdr:col>
      <xdr:colOff>0</xdr:colOff>
      <xdr:row>520</xdr:row>
      <xdr:rowOff>0</xdr:rowOff>
    </xdr:to>
    <xdr:graphicFrame macro="">
      <xdr:nvGraphicFramePr>
        <xdr:cNvPr id="2600" name="Chart 1">
          <a:extLst>
            <a:ext uri="{FF2B5EF4-FFF2-40B4-BE49-F238E27FC236}">
              <a16:creationId xmlns:a16="http://schemas.microsoft.com/office/drawing/2014/main" id="{3BB7E8B0-D944-4EC5-B2EE-9CF941864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13</xdr:col>
      <xdr:colOff>0</xdr:colOff>
      <xdr:row>504</xdr:row>
      <xdr:rowOff>0</xdr:rowOff>
    </xdr:from>
    <xdr:to>
      <xdr:col>25</xdr:col>
      <xdr:colOff>0</xdr:colOff>
      <xdr:row>520</xdr:row>
      <xdr:rowOff>0</xdr:rowOff>
    </xdr:to>
    <xdr:graphicFrame macro="">
      <xdr:nvGraphicFramePr>
        <xdr:cNvPr id="2601" name="Chart 1">
          <a:extLst>
            <a:ext uri="{FF2B5EF4-FFF2-40B4-BE49-F238E27FC236}">
              <a16:creationId xmlns:a16="http://schemas.microsoft.com/office/drawing/2014/main" id="{699838CE-3AB9-4B1E-8537-DD3E79016B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521</xdr:row>
      <xdr:rowOff>0</xdr:rowOff>
    </xdr:from>
    <xdr:to>
      <xdr:col>12</xdr:col>
      <xdr:colOff>0</xdr:colOff>
      <xdr:row>537</xdr:row>
      <xdr:rowOff>0</xdr:rowOff>
    </xdr:to>
    <xdr:graphicFrame macro="">
      <xdr:nvGraphicFramePr>
        <xdr:cNvPr id="2602" name="Chart 1">
          <a:extLst>
            <a:ext uri="{FF2B5EF4-FFF2-40B4-BE49-F238E27FC236}">
              <a16:creationId xmlns:a16="http://schemas.microsoft.com/office/drawing/2014/main" id="{E038F43D-2051-4A6A-A4CF-BFC1B2619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13</xdr:col>
      <xdr:colOff>0</xdr:colOff>
      <xdr:row>521</xdr:row>
      <xdr:rowOff>0</xdr:rowOff>
    </xdr:from>
    <xdr:to>
      <xdr:col>25</xdr:col>
      <xdr:colOff>0</xdr:colOff>
      <xdr:row>537</xdr:row>
      <xdr:rowOff>0</xdr:rowOff>
    </xdr:to>
    <xdr:graphicFrame macro="">
      <xdr:nvGraphicFramePr>
        <xdr:cNvPr id="2603" name="Chart 1">
          <a:extLst>
            <a:ext uri="{FF2B5EF4-FFF2-40B4-BE49-F238E27FC236}">
              <a16:creationId xmlns:a16="http://schemas.microsoft.com/office/drawing/2014/main" id="{3659B305-9557-41C6-92A0-7D2944FA4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538</xdr:row>
      <xdr:rowOff>0</xdr:rowOff>
    </xdr:from>
    <xdr:to>
      <xdr:col>12</xdr:col>
      <xdr:colOff>0</xdr:colOff>
      <xdr:row>554</xdr:row>
      <xdr:rowOff>0</xdr:rowOff>
    </xdr:to>
    <xdr:graphicFrame macro="">
      <xdr:nvGraphicFramePr>
        <xdr:cNvPr id="2604" name="Chart 1">
          <a:extLst>
            <a:ext uri="{FF2B5EF4-FFF2-40B4-BE49-F238E27FC236}">
              <a16:creationId xmlns:a16="http://schemas.microsoft.com/office/drawing/2014/main" id="{742C8364-4659-4DA9-9343-8CE971A168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13</xdr:col>
      <xdr:colOff>0</xdr:colOff>
      <xdr:row>538</xdr:row>
      <xdr:rowOff>0</xdr:rowOff>
    </xdr:from>
    <xdr:to>
      <xdr:col>25</xdr:col>
      <xdr:colOff>0</xdr:colOff>
      <xdr:row>554</xdr:row>
      <xdr:rowOff>0</xdr:rowOff>
    </xdr:to>
    <xdr:graphicFrame macro="">
      <xdr:nvGraphicFramePr>
        <xdr:cNvPr id="2605" name="Chart 1">
          <a:extLst>
            <a:ext uri="{FF2B5EF4-FFF2-40B4-BE49-F238E27FC236}">
              <a16:creationId xmlns:a16="http://schemas.microsoft.com/office/drawing/2014/main" id="{64D1F6CB-5028-4D0D-AA92-8E5D3C788F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555</xdr:row>
      <xdr:rowOff>0</xdr:rowOff>
    </xdr:from>
    <xdr:to>
      <xdr:col>12</xdr:col>
      <xdr:colOff>0</xdr:colOff>
      <xdr:row>571</xdr:row>
      <xdr:rowOff>0</xdr:rowOff>
    </xdr:to>
    <xdr:graphicFrame macro="">
      <xdr:nvGraphicFramePr>
        <xdr:cNvPr id="2606" name="Chart 1">
          <a:extLst>
            <a:ext uri="{FF2B5EF4-FFF2-40B4-BE49-F238E27FC236}">
              <a16:creationId xmlns:a16="http://schemas.microsoft.com/office/drawing/2014/main" id="{86BF4EC5-CFAD-45DD-9438-7C3EC68EB0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13</xdr:col>
      <xdr:colOff>0</xdr:colOff>
      <xdr:row>555</xdr:row>
      <xdr:rowOff>0</xdr:rowOff>
    </xdr:from>
    <xdr:to>
      <xdr:col>25</xdr:col>
      <xdr:colOff>0</xdr:colOff>
      <xdr:row>571</xdr:row>
      <xdr:rowOff>0</xdr:rowOff>
    </xdr:to>
    <xdr:graphicFrame macro="">
      <xdr:nvGraphicFramePr>
        <xdr:cNvPr id="2607" name="Chart 1">
          <a:extLst>
            <a:ext uri="{FF2B5EF4-FFF2-40B4-BE49-F238E27FC236}">
              <a16:creationId xmlns:a16="http://schemas.microsoft.com/office/drawing/2014/main" id="{C114355A-4784-4E81-81B1-358891680F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572</xdr:row>
      <xdr:rowOff>0</xdr:rowOff>
    </xdr:from>
    <xdr:to>
      <xdr:col>12</xdr:col>
      <xdr:colOff>0</xdr:colOff>
      <xdr:row>588</xdr:row>
      <xdr:rowOff>0</xdr:rowOff>
    </xdr:to>
    <xdr:graphicFrame macro="">
      <xdr:nvGraphicFramePr>
        <xdr:cNvPr id="2608" name="Chart 1">
          <a:extLst>
            <a:ext uri="{FF2B5EF4-FFF2-40B4-BE49-F238E27FC236}">
              <a16:creationId xmlns:a16="http://schemas.microsoft.com/office/drawing/2014/main" id="{5AC1D7C7-600E-4BA8-B73D-257D47DC69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13</xdr:col>
      <xdr:colOff>0</xdr:colOff>
      <xdr:row>572</xdr:row>
      <xdr:rowOff>0</xdr:rowOff>
    </xdr:from>
    <xdr:to>
      <xdr:col>25</xdr:col>
      <xdr:colOff>0</xdr:colOff>
      <xdr:row>588</xdr:row>
      <xdr:rowOff>0</xdr:rowOff>
    </xdr:to>
    <xdr:graphicFrame macro="">
      <xdr:nvGraphicFramePr>
        <xdr:cNvPr id="2609" name="Chart 1">
          <a:extLst>
            <a:ext uri="{FF2B5EF4-FFF2-40B4-BE49-F238E27FC236}">
              <a16:creationId xmlns:a16="http://schemas.microsoft.com/office/drawing/2014/main" id="{E65D9E54-6E6B-476F-A36C-3E70F6722F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12</xdr:col>
      <xdr:colOff>0</xdr:colOff>
      <xdr:row>605</xdr:row>
      <xdr:rowOff>0</xdr:rowOff>
    </xdr:to>
    <xdr:graphicFrame macro="">
      <xdr:nvGraphicFramePr>
        <xdr:cNvPr id="2610" name="Chart 1">
          <a:extLst>
            <a:ext uri="{FF2B5EF4-FFF2-40B4-BE49-F238E27FC236}">
              <a16:creationId xmlns:a16="http://schemas.microsoft.com/office/drawing/2014/main" id="{C1C5B51F-E4EE-47D1-A0B2-5012A4B6A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13</xdr:col>
      <xdr:colOff>0</xdr:colOff>
      <xdr:row>589</xdr:row>
      <xdr:rowOff>0</xdr:rowOff>
    </xdr:from>
    <xdr:to>
      <xdr:col>25</xdr:col>
      <xdr:colOff>0</xdr:colOff>
      <xdr:row>605</xdr:row>
      <xdr:rowOff>0</xdr:rowOff>
    </xdr:to>
    <xdr:graphicFrame macro="">
      <xdr:nvGraphicFramePr>
        <xdr:cNvPr id="2611" name="Chart 1">
          <a:extLst>
            <a:ext uri="{FF2B5EF4-FFF2-40B4-BE49-F238E27FC236}">
              <a16:creationId xmlns:a16="http://schemas.microsoft.com/office/drawing/2014/main" id="{7831ACEC-3A78-4221-AFF6-09FBA32547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E49" totalsRowShown="0">
  <autoFilter ref="A1:E49" xr:uid="{00000000-0009-0000-0100-000002000000}"/>
  <tableColumns count="5">
    <tableColumn id="1" xr3:uid="{00000000-0010-0000-0000-000001000000}" name="Reagent" dataDxfId="1"/>
    <tableColumn id="2" xr3:uid="{00000000-0010-0000-0000-000002000000}" name="Count/Vol"/>
    <tableColumn id="3" xr3:uid="{00000000-0010-0000-0000-000003000000}" name="Stability"/>
    <tableColumn id="4" xr3:uid="{00000000-0010-0000-0000-000004000000}" name="Expiration"/>
    <tableColumn id="5" xr3:uid="{00000000-0010-0000-0000-000005000000}" name="Column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" displayName="Table24" ref="A1:F70" totalsRowShown="0">
  <autoFilter ref="A1:F70" xr:uid="{00000000-0009-0000-0100-000003000000}"/>
  <tableColumns count="6">
    <tableColumn id="1" xr3:uid="{00000000-0010-0000-0100-000001000000}" name="Reagent" dataDxfId="0"/>
    <tableColumn id="2" xr3:uid="{00000000-0010-0000-0100-000002000000}" name="Wedge/count"/>
    <tableColumn id="4" xr3:uid="{00000000-0010-0000-0100-000004000000}" name="Expiration"/>
    <tableColumn id="3" xr3:uid="{00000000-0010-0000-0100-000003000000}" name="New lot expiration"/>
    <tableColumn id="5" xr3:uid="{00000000-0010-0000-0100-000005000000}" name="Column1"/>
    <tableColumn id="6" xr3:uid="{00000000-0010-0000-0100-000006000000}" name="Column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9"/>
  <sheetViews>
    <sheetView topLeftCell="A2" workbookViewId="0">
      <selection activeCell="B50" sqref="B50"/>
    </sheetView>
  </sheetViews>
  <sheetFormatPr defaultRowHeight="15" x14ac:dyDescent="0.25"/>
  <cols>
    <col min="1" max="1" width="14.140625" bestFit="1" customWidth="1"/>
    <col min="2" max="2" width="12.42578125" bestFit="1" customWidth="1"/>
    <col min="3" max="3" width="10.42578125" customWidth="1"/>
    <col min="4" max="4" width="12.140625" customWidth="1"/>
    <col min="5" max="5" width="9.7109375" bestFit="1" customWidth="1"/>
  </cols>
  <sheetData>
    <row r="1" spans="1:5" x14ac:dyDescent="0.25">
      <c r="A1" t="s">
        <v>43</v>
      </c>
      <c r="B1" t="s">
        <v>51</v>
      </c>
      <c r="C1" t="s">
        <v>44</v>
      </c>
      <c r="D1" t="s">
        <v>45</v>
      </c>
      <c r="E1" t="s">
        <v>81</v>
      </c>
    </row>
    <row r="2" spans="1:5" x14ac:dyDescent="0.25">
      <c r="A2" s="1" t="s">
        <v>32</v>
      </c>
      <c r="B2">
        <v>244</v>
      </c>
      <c r="C2">
        <v>37</v>
      </c>
      <c r="D2" s="17">
        <v>43594</v>
      </c>
    </row>
    <row r="3" spans="1:5" x14ac:dyDescent="0.25">
      <c r="A3" s="1" t="s">
        <v>20</v>
      </c>
      <c r="B3">
        <v>239</v>
      </c>
      <c r="C3">
        <v>7</v>
      </c>
      <c r="D3" s="17">
        <v>43520</v>
      </c>
    </row>
    <row r="4" spans="1:5" x14ac:dyDescent="0.25">
      <c r="A4" s="1" t="s">
        <v>21</v>
      </c>
      <c r="B4">
        <v>307</v>
      </c>
      <c r="C4">
        <v>5</v>
      </c>
      <c r="D4" s="17">
        <v>43427</v>
      </c>
    </row>
    <row r="5" spans="1:5" x14ac:dyDescent="0.25">
      <c r="A5" s="1" t="s">
        <v>22</v>
      </c>
      <c r="B5">
        <v>66</v>
      </c>
      <c r="C5">
        <v>13</v>
      </c>
      <c r="D5" s="17">
        <v>43585</v>
      </c>
    </row>
    <row r="6" spans="1:5" x14ac:dyDescent="0.25">
      <c r="A6" s="1" t="s">
        <v>23</v>
      </c>
      <c r="B6">
        <v>304</v>
      </c>
      <c r="C6">
        <v>11</v>
      </c>
      <c r="D6" s="17">
        <v>43461</v>
      </c>
    </row>
    <row r="7" spans="1:5" x14ac:dyDescent="0.25">
      <c r="A7" s="1" t="s">
        <v>24</v>
      </c>
      <c r="B7">
        <v>197</v>
      </c>
      <c r="C7">
        <v>23</v>
      </c>
      <c r="D7" s="17">
        <v>43404</v>
      </c>
    </row>
    <row r="8" spans="1:5" x14ac:dyDescent="0.25">
      <c r="A8" s="1" t="s">
        <v>25</v>
      </c>
      <c r="B8">
        <v>213</v>
      </c>
      <c r="C8">
        <v>9</v>
      </c>
      <c r="D8" s="17">
        <v>43646</v>
      </c>
    </row>
    <row r="9" spans="1:5" x14ac:dyDescent="0.25">
      <c r="A9" s="1" t="s">
        <v>33</v>
      </c>
      <c r="B9">
        <v>45</v>
      </c>
      <c r="C9">
        <v>18</v>
      </c>
      <c r="D9" s="17">
        <v>43299</v>
      </c>
    </row>
    <row r="10" spans="1:5" x14ac:dyDescent="0.25">
      <c r="A10" s="1" t="s">
        <v>26</v>
      </c>
      <c r="B10">
        <v>170</v>
      </c>
      <c r="C10">
        <v>6</v>
      </c>
      <c r="D10" s="17">
        <v>43284</v>
      </c>
    </row>
    <row r="11" spans="1:5" x14ac:dyDescent="0.25">
      <c r="A11" s="1" t="s">
        <v>27</v>
      </c>
      <c r="B11">
        <v>186</v>
      </c>
      <c r="C11">
        <v>9</v>
      </c>
      <c r="D11" s="17">
        <v>43312</v>
      </c>
    </row>
    <row r="12" spans="1:5" x14ac:dyDescent="0.25">
      <c r="A12" s="1" t="s">
        <v>34</v>
      </c>
      <c r="B12">
        <v>322</v>
      </c>
      <c r="C12">
        <v>3</v>
      </c>
      <c r="D12" s="17">
        <v>43598</v>
      </c>
    </row>
    <row r="13" spans="1:5" x14ac:dyDescent="0.25">
      <c r="A13" s="1" t="s">
        <v>28</v>
      </c>
      <c r="B13">
        <v>105</v>
      </c>
      <c r="C13">
        <v>27</v>
      </c>
      <c r="D13" s="17">
        <v>43404</v>
      </c>
    </row>
    <row r="14" spans="1:5" x14ac:dyDescent="0.25">
      <c r="A14" s="1" t="s">
        <v>29</v>
      </c>
      <c r="B14">
        <v>163</v>
      </c>
      <c r="C14">
        <v>23</v>
      </c>
      <c r="D14" s="17">
        <v>43434</v>
      </c>
    </row>
    <row r="15" spans="1:5" x14ac:dyDescent="0.25">
      <c r="A15" s="1" t="s">
        <v>47</v>
      </c>
      <c r="B15">
        <v>259</v>
      </c>
      <c r="D15" s="17">
        <v>43496</v>
      </c>
    </row>
    <row r="16" spans="1:5" x14ac:dyDescent="0.25">
      <c r="A16" s="6" t="s">
        <v>37</v>
      </c>
      <c r="B16">
        <v>168</v>
      </c>
      <c r="C16">
        <v>19</v>
      </c>
      <c r="D16" s="17">
        <v>43859</v>
      </c>
    </row>
    <row r="17" spans="1:4" x14ac:dyDescent="0.25">
      <c r="A17" s="1" t="s">
        <v>35</v>
      </c>
      <c r="B17">
        <v>150</v>
      </c>
      <c r="C17">
        <v>8</v>
      </c>
      <c r="D17" s="17">
        <v>43502</v>
      </c>
    </row>
    <row r="18" spans="1:4" x14ac:dyDescent="0.25">
      <c r="A18" s="1" t="s">
        <v>30</v>
      </c>
      <c r="B18">
        <v>1309</v>
      </c>
      <c r="C18">
        <v>51</v>
      </c>
      <c r="D18" s="17">
        <v>43295</v>
      </c>
    </row>
    <row r="19" spans="1:4" x14ac:dyDescent="0.25">
      <c r="A19" s="1" t="s">
        <v>48</v>
      </c>
      <c r="B19">
        <v>805</v>
      </c>
    </row>
    <row r="20" spans="1:4" x14ac:dyDescent="0.25">
      <c r="A20" s="5" t="s">
        <v>36</v>
      </c>
      <c r="B20">
        <v>306</v>
      </c>
      <c r="C20">
        <v>3</v>
      </c>
      <c r="D20" s="17">
        <v>43326</v>
      </c>
    </row>
    <row r="21" spans="1:4" ht="15.75" thickBot="1" x14ac:dyDescent="0.3">
      <c r="A21" s="2" t="s">
        <v>31</v>
      </c>
      <c r="B21">
        <v>1697</v>
      </c>
      <c r="C21">
        <v>23</v>
      </c>
      <c r="D21" s="17">
        <v>43476</v>
      </c>
    </row>
    <row r="22" spans="1:4" x14ac:dyDescent="0.25">
      <c r="A22" s="7" t="s">
        <v>38</v>
      </c>
      <c r="B22">
        <v>30</v>
      </c>
      <c r="C22">
        <v>14</v>
      </c>
      <c r="D22" s="17">
        <v>43440</v>
      </c>
    </row>
    <row r="23" spans="1:4" x14ac:dyDescent="0.25">
      <c r="A23" s="1" t="s">
        <v>77</v>
      </c>
      <c r="B23">
        <v>84</v>
      </c>
      <c r="C23">
        <v>25</v>
      </c>
      <c r="D23" s="17">
        <v>43368</v>
      </c>
    </row>
    <row r="24" spans="1:4" x14ac:dyDescent="0.25">
      <c r="A24" s="1" t="s">
        <v>39</v>
      </c>
      <c r="B24">
        <v>0</v>
      </c>
      <c r="C24">
        <v>0</v>
      </c>
      <c r="D24" s="17">
        <v>43646</v>
      </c>
    </row>
    <row r="25" spans="1:4" x14ac:dyDescent="0.25">
      <c r="A25" s="1" t="s">
        <v>40</v>
      </c>
      <c r="B25">
        <v>35</v>
      </c>
      <c r="C25">
        <v>19</v>
      </c>
      <c r="D25" s="17">
        <v>43408</v>
      </c>
    </row>
    <row r="26" spans="1:4" ht="15.75" thickBot="1" x14ac:dyDescent="0.3">
      <c r="A26" s="13" t="s">
        <v>49</v>
      </c>
      <c r="B26" s="14">
        <v>12</v>
      </c>
      <c r="C26" s="12">
        <v>6</v>
      </c>
      <c r="D26" s="18">
        <v>43538</v>
      </c>
    </row>
    <row r="27" spans="1:4" x14ac:dyDescent="0.25">
      <c r="A27" s="1" t="s">
        <v>42</v>
      </c>
      <c r="B27">
        <v>60</v>
      </c>
      <c r="C27">
        <v>25</v>
      </c>
      <c r="D27" s="17">
        <v>43496</v>
      </c>
    </row>
    <row r="28" spans="1:4" x14ac:dyDescent="0.25">
      <c r="A28" s="1" t="s">
        <v>41</v>
      </c>
      <c r="B28">
        <v>32</v>
      </c>
      <c r="C28">
        <v>8</v>
      </c>
      <c r="D28" s="17">
        <v>43622</v>
      </c>
    </row>
    <row r="29" spans="1:4" x14ac:dyDescent="0.25">
      <c r="A29" s="3" t="s">
        <v>17</v>
      </c>
      <c r="B29">
        <v>604</v>
      </c>
    </row>
    <row r="30" spans="1:4" x14ac:dyDescent="0.25">
      <c r="A30" s="1" t="s">
        <v>6</v>
      </c>
      <c r="B30">
        <v>161</v>
      </c>
      <c r="C30" t="s">
        <v>46</v>
      </c>
    </row>
    <row r="31" spans="1:4" x14ac:dyDescent="0.25">
      <c r="A31" s="1" t="s">
        <v>7</v>
      </c>
      <c r="B31">
        <v>118</v>
      </c>
    </row>
    <row r="32" spans="1:4" x14ac:dyDescent="0.25">
      <c r="A32" s="3" t="s">
        <v>15</v>
      </c>
      <c r="B32">
        <v>62</v>
      </c>
    </row>
    <row r="33" spans="1:2" x14ac:dyDescent="0.25">
      <c r="A33" s="3" t="s">
        <v>16</v>
      </c>
      <c r="B33">
        <v>90</v>
      </c>
    </row>
    <row r="34" spans="1:2" x14ac:dyDescent="0.25">
      <c r="A34" s="8" t="s">
        <v>10</v>
      </c>
      <c r="B34">
        <v>278</v>
      </c>
    </row>
    <row r="35" spans="1:2" x14ac:dyDescent="0.25">
      <c r="A35" s="3" t="s">
        <v>11</v>
      </c>
      <c r="B35">
        <v>869</v>
      </c>
    </row>
    <row r="36" spans="1:2" x14ac:dyDescent="0.25">
      <c r="A36" s="3" t="s">
        <v>12</v>
      </c>
    </row>
    <row r="37" spans="1:2" x14ac:dyDescent="0.25">
      <c r="A37" s="3" t="s">
        <v>13</v>
      </c>
    </row>
    <row r="38" spans="1:2" x14ac:dyDescent="0.25">
      <c r="A38" s="3" t="s">
        <v>14</v>
      </c>
    </row>
    <row r="39" spans="1:2" x14ac:dyDescent="0.25">
      <c r="A39" s="3" t="s">
        <v>18</v>
      </c>
    </row>
    <row r="40" spans="1:2" ht="15.75" thickBot="1" x14ac:dyDescent="0.3">
      <c r="A40" s="4" t="s">
        <v>19</v>
      </c>
    </row>
    <row r="41" spans="1:2" x14ac:dyDescent="0.25">
      <c r="A41" s="1" t="s">
        <v>0</v>
      </c>
      <c r="B41">
        <v>172</v>
      </c>
    </row>
    <row r="42" spans="1:2" x14ac:dyDescent="0.25">
      <c r="A42" s="1" t="s">
        <v>1</v>
      </c>
    </row>
    <row r="43" spans="1:2" x14ac:dyDescent="0.25">
      <c r="A43" s="1" t="s">
        <v>2</v>
      </c>
    </row>
    <row r="44" spans="1:2" x14ac:dyDescent="0.25">
      <c r="A44" s="1" t="s">
        <v>3</v>
      </c>
    </row>
    <row r="45" spans="1:2" x14ac:dyDescent="0.25">
      <c r="A45" s="1" t="s">
        <v>4</v>
      </c>
    </row>
    <row r="46" spans="1:2" x14ac:dyDescent="0.25">
      <c r="A46" s="1" t="s">
        <v>5</v>
      </c>
    </row>
    <row r="47" spans="1:2" x14ac:dyDescent="0.25">
      <c r="A47" s="1" t="s">
        <v>8</v>
      </c>
    </row>
    <row r="48" spans="1:2" ht="15.75" thickBot="1" x14ac:dyDescent="0.3">
      <c r="A48" s="2" t="s">
        <v>9</v>
      </c>
    </row>
    <row r="49" spans="1:4" x14ac:dyDescent="0.25">
      <c r="A49" s="6" t="s">
        <v>52</v>
      </c>
      <c r="B49" s="16">
        <v>43308</v>
      </c>
      <c r="C49" s="15"/>
      <c r="D49" s="15"/>
    </row>
  </sheetData>
  <conditionalFormatting sqref="C2:C28">
    <cfRule type="colorScale" priority="2">
      <colorScale>
        <cfvo type="num" val="1"/>
        <cfvo type="num" val="2"/>
        <color rgb="FFFF7128"/>
        <color rgb="FFFFEF9C"/>
      </colorScale>
    </cfRule>
  </conditionalFormatting>
  <conditionalFormatting sqref="B2:B28">
    <cfRule type="colorScale" priority="1">
      <colorScale>
        <cfvo type="num" val="6"/>
        <cfvo type="num" val="10"/>
        <cfvo type="num" val="25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70"/>
  <sheetViews>
    <sheetView tabSelected="1" zoomScale="130" zoomScaleNormal="130" workbookViewId="0">
      <selection activeCell="J10" sqref="J10"/>
    </sheetView>
  </sheetViews>
  <sheetFormatPr defaultRowHeight="15" x14ac:dyDescent="0.25"/>
  <cols>
    <col min="1" max="1" width="20.28515625" bestFit="1" customWidth="1"/>
    <col min="2" max="2" width="15.140625" bestFit="1" customWidth="1"/>
    <col min="3" max="3" width="12.28515625" bestFit="1" customWidth="1"/>
    <col min="4" max="4" width="11.28515625" bestFit="1" customWidth="1"/>
    <col min="5" max="5" width="10.28515625" bestFit="1" customWidth="1"/>
  </cols>
  <sheetData>
    <row r="1" spans="1:6" x14ac:dyDescent="0.25">
      <c r="A1" t="s">
        <v>43</v>
      </c>
      <c r="B1" t="s">
        <v>50</v>
      </c>
      <c r="C1" t="s">
        <v>45</v>
      </c>
      <c r="D1" t="s">
        <v>79</v>
      </c>
      <c r="E1" t="s">
        <v>81</v>
      </c>
      <c r="F1" t="s">
        <v>83</v>
      </c>
    </row>
    <row r="2" spans="1:6" x14ac:dyDescent="0.25">
      <c r="A2" s="1" t="s">
        <v>32</v>
      </c>
      <c r="B2">
        <f>5+10+10+4</f>
        <v>29</v>
      </c>
      <c r="C2" s="17">
        <v>43594</v>
      </c>
      <c r="D2" s="17">
        <v>43810</v>
      </c>
    </row>
    <row r="3" spans="1:6" x14ac:dyDescent="0.25">
      <c r="A3" s="1" t="s">
        <v>34</v>
      </c>
      <c r="B3">
        <v>7</v>
      </c>
      <c r="C3" s="17">
        <v>43682</v>
      </c>
      <c r="D3" s="17">
        <v>43709</v>
      </c>
    </row>
    <row r="4" spans="1:6" x14ac:dyDescent="0.25">
      <c r="A4" s="1" t="s">
        <v>33</v>
      </c>
      <c r="B4">
        <v>9</v>
      </c>
      <c r="C4" s="17">
        <v>43476</v>
      </c>
    </row>
    <row r="5" spans="1:6" x14ac:dyDescent="0.25">
      <c r="A5" s="6" t="s">
        <v>37</v>
      </c>
      <c r="B5">
        <v>2</v>
      </c>
      <c r="C5" s="17">
        <v>43859</v>
      </c>
    </row>
    <row r="6" spans="1:6" x14ac:dyDescent="0.25">
      <c r="A6" s="1" t="s">
        <v>35</v>
      </c>
      <c r="B6">
        <f>5+10+3</f>
        <v>18</v>
      </c>
      <c r="C6" s="17">
        <v>43616</v>
      </c>
    </row>
    <row r="7" spans="1:6" ht="15.75" thickBot="1" x14ac:dyDescent="0.3">
      <c r="A7" s="9" t="s">
        <v>36</v>
      </c>
      <c r="B7">
        <v>19</v>
      </c>
      <c r="C7" s="17">
        <v>43591</v>
      </c>
    </row>
    <row r="8" spans="1:6" x14ac:dyDescent="0.25">
      <c r="A8" s="8" t="s">
        <v>13</v>
      </c>
      <c r="B8">
        <v>5</v>
      </c>
      <c r="C8" s="17">
        <v>43518</v>
      </c>
    </row>
    <row r="9" spans="1:6" ht="15.75" thickBot="1" x14ac:dyDescent="0.3">
      <c r="A9" s="4" t="s">
        <v>10</v>
      </c>
      <c r="B9">
        <v>7</v>
      </c>
      <c r="C9" s="17">
        <v>43631</v>
      </c>
      <c r="D9" s="17">
        <v>43738</v>
      </c>
    </row>
    <row r="10" spans="1:6" x14ac:dyDescent="0.25">
      <c r="A10" s="8" t="s">
        <v>17</v>
      </c>
      <c r="B10">
        <v>5</v>
      </c>
      <c r="C10" s="17">
        <v>43648</v>
      </c>
    </row>
    <row r="11" spans="1:6" x14ac:dyDescent="0.25">
      <c r="A11" s="1" t="s">
        <v>5</v>
      </c>
      <c r="B11">
        <v>6</v>
      </c>
      <c r="C11" s="17">
        <v>43330</v>
      </c>
      <c r="D11" s="17">
        <v>43579</v>
      </c>
    </row>
    <row r="12" spans="1:6" x14ac:dyDescent="0.25">
      <c r="A12" s="3" t="s">
        <v>16</v>
      </c>
      <c r="B12">
        <v>5</v>
      </c>
      <c r="C12" s="17">
        <v>43532</v>
      </c>
    </row>
    <row r="13" spans="1:6" x14ac:dyDescent="0.25">
      <c r="A13" s="3" t="s">
        <v>15</v>
      </c>
      <c r="B13">
        <v>5</v>
      </c>
      <c r="C13" s="17">
        <v>43584</v>
      </c>
      <c r="D13" s="17">
        <v>43657</v>
      </c>
    </row>
    <row r="14" spans="1:6" x14ac:dyDescent="0.25">
      <c r="A14" s="1" t="s">
        <v>7</v>
      </c>
      <c r="B14">
        <v>3</v>
      </c>
      <c r="C14" s="17">
        <v>43669</v>
      </c>
    </row>
    <row r="15" spans="1:6" ht="15.75" thickBot="1" x14ac:dyDescent="0.3">
      <c r="A15" s="2" t="s">
        <v>6</v>
      </c>
      <c r="B15">
        <v>3</v>
      </c>
      <c r="C15" s="17">
        <v>43562</v>
      </c>
      <c r="D15" s="17">
        <v>43628</v>
      </c>
      <c r="E15" s="17">
        <v>43714</v>
      </c>
      <c r="F15" t="s">
        <v>46</v>
      </c>
    </row>
    <row r="16" spans="1:6" ht="15.75" thickBot="1" x14ac:dyDescent="0.3">
      <c r="A16" s="10" t="s">
        <v>22</v>
      </c>
      <c r="B16">
        <v>3</v>
      </c>
      <c r="C16" s="17">
        <v>43585</v>
      </c>
    </row>
    <row r="17" spans="1:6" x14ac:dyDescent="0.25">
      <c r="A17" s="7" t="s">
        <v>20</v>
      </c>
      <c r="B17">
        <v>8</v>
      </c>
      <c r="C17" s="17">
        <v>43539</v>
      </c>
    </row>
    <row r="18" spans="1:6" x14ac:dyDescent="0.25">
      <c r="A18" s="1" t="s">
        <v>21</v>
      </c>
      <c r="B18">
        <v>12</v>
      </c>
      <c r="C18" s="17">
        <v>43427</v>
      </c>
    </row>
    <row r="19" spans="1:6" x14ac:dyDescent="0.25">
      <c r="A19" s="1" t="s">
        <v>23</v>
      </c>
      <c r="B19">
        <v>15</v>
      </c>
      <c r="C19" s="17">
        <v>43461</v>
      </c>
    </row>
    <row r="20" spans="1:6" x14ac:dyDescent="0.25">
      <c r="A20" s="1" t="s">
        <v>24</v>
      </c>
      <c r="B20">
        <v>13</v>
      </c>
      <c r="C20" s="17">
        <v>43404</v>
      </c>
    </row>
    <row r="21" spans="1:6" ht="15.75" thickBot="1" x14ac:dyDescent="0.3">
      <c r="A21" s="2" t="s">
        <v>25</v>
      </c>
      <c r="B21">
        <v>15</v>
      </c>
      <c r="C21" s="17">
        <v>43646</v>
      </c>
    </row>
    <row r="22" spans="1:6" x14ac:dyDescent="0.25">
      <c r="A22" s="7" t="s">
        <v>26</v>
      </c>
      <c r="B22">
        <v>5</v>
      </c>
      <c r="C22" s="17">
        <v>43350</v>
      </c>
    </row>
    <row r="23" spans="1:6" x14ac:dyDescent="0.25">
      <c r="A23" s="1" t="s">
        <v>27</v>
      </c>
      <c r="B23">
        <v>10</v>
      </c>
      <c r="C23" s="17">
        <v>43555</v>
      </c>
    </row>
    <row r="24" spans="1:6" x14ac:dyDescent="0.25">
      <c r="A24" s="1" t="s">
        <v>28</v>
      </c>
      <c r="B24">
        <v>2</v>
      </c>
      <c r="C24" s="17">
        <v>43404</v>
      </c>
    </row>
    <row r="25" spans="1:6" x14ac:dyDescent="0.25">
      <c r="A25" s="1" t="s">
        <v>29</v>
      </c>
      <c r="B25">
        <v>10</v>
      </c>
      <c r="C25" s="17">
        <v>43434</v>
      </c>
    </row>
    <row r="26" spans="1:6" x14ac:dyDescent="0.25">
      <c r="A26" s="1" t="s">
        <v>30</v>
      </c>
      <c r="B26">
        <v>3</v>
      </c>
      <c r="C26" s="17">
        <v>43551</v>
      </c>
    </row>
    <row r="27" spans="1:6" ht="15.75" thickBot="1" x14ac:dyDescent="0.3">
      <c r="A27" s="2" t="s">
        <v>31</v>
      </c>
      <c r="B27" s="12">
        <v>10</v>
      </c>
      <c r="C27" s="17">
        <v>43476</v>
      </c>
    </row>
    <row r="28" spans="1:6" x14ac:dyDescent="0.25">
      <c r="A28" s="25" t="s">
        <v>78</v>
      </c>
      <c r="B28" s="26">
        <v>2</v>
      </c>
      <c r="C28" s="21">
        <v>43450</v>
      </c>
    </row>
    <row r="29" spans="1:6" x14ac:dyDescent="0.25">
      <c r="A29" s="24" t="s">
        <v>38</v>
      </c>
      <c r="B29" s="23">
        <v>3</v>
      </c>
      <c r="C29" s="17">
        <v>43525</v>
      </c>
    </row>
    <row r="30" spans="1:6" x14ac:dyDescent="0.25">
      <c r="A30" s="1" t="s">
        <v>40</v>
      </c>
      <c r="B30">
        <v>3</v>
      </c>
      <c r="C30" s="17">
        <v>43408</v>
      </c>
      <c r="D30" s="17">
        <v>43508</v>
      </c>
      <c r="F30" t="s">
        <v>46</v>
      </c>
    </row>
    <row r="31" spans="1:6" x14ac:dyDescent="0.25">
      <c r="A31" s="11" t="s">
        <v>49</v>
      </c>
      <c r="B31">
        <v>2</v>
      </c>
      <c r="C31" s="17">
        <v>43684</v>
      </c>
    </row>
    <row r="32" spans="1:6" x14ac:dyDescent="0.25">
      <c r="A32" s="1" t="s">
        <v>42</v>
      </c>
      <c r="B32">
        <v>2</v>
      </c>
      <c r="C32" s="17">
        <v>43496</v>
      </c>
    </row>
    <row r="33" spans="1:6" ht="15.75" thickBot="1" x14ac:dyDescent="0.3">
      <c r="A33" s="2" t="s">
        <v>41</v>
      </c>
      <c r="B33" s="12">
        <v>2</v>
      </c>
      <c r="C33" s="18">
        <v>43685</v>
      </c>
    </row>
    <row r="34" spans="1:6" x14ac:dyDescent="0.25">
      <c r="A34" s="8" t="s">
        <v>12</v>
      </c>
      <c r="B34">
        <v>7</v>
      </c>
      <c r="C34" s="17">
        <v>43394</v>
      </c>
    </row>
    <row r="35" spans="1:6" ht="15.75" thickBot="1" x14ac:dyDescent="0.3">
      <c r="A35" s="4" t="s">
        <v>11</v>
      </c>
      <c r="B35">
        <v>8</v>
      </c>
      <c r="C35" s="17">
        <v>43494</v>
      </c>
      <c r="D35" s="17">
        <v>43614</v>
      </c>
      <c r="F35" t="s">
        <v>46</v>
      </c>
    </row>
    <row r="36" spans="1:6" x14ac:dyDescent="0.25">
      <c r="A36" s="1" t="s">
        <v>4</v>
      </c>
      <c r="B36">
        <v>200</v>
      </c>
    </row>
    <row r="37" spans="1:6" x14ac:dyDescent="0.25">
      <c r="A37" s="1" t="s">
        <v>0</v>
      </c>
      <c r="B37">
        <f>(17*500)+300+0</f>
        <v>8800</v>
      </c>
    </row>
    <row r="38" spans="1:6" ht="15.75" thickBot="1" x14ac:dyDescent="0.3">
      <c r="A38" s="2" t="s">
        <v>9</v>
      </c>
      <c r="B38">
        <f>200+200+60</f>
        <v>460</v>
      </c>
    </row>
    <row r="39" spans="1:6" x14ac:dyDescent="0.25">
      <c r="A39" s="1" t="s">
        <v>73</v>
      </c>
      <c r="B39">
        <v>8</v>
      </c>
    </row>
    <row r="40" spans="1:6" x14ac:dyDescent="0.25">
      <c r="A40" s="1" t="s">
        <v>72</v>
      </c>
      <c r="B40">
        <f>(8*250)+200+30+100</f>
        <v>2330</v>
      </c>
    </row>
    <row r="41" spans="1:6" x14ac:dyDescent="0.25">
      <c r="A41" s="7" t="s">
        <v>48</v>
      </c>
      <c r="B41" t="s">
        <v>46</v>
      </c>
    </row>
    <row r="42" spans="1:6" x14ac:dyDescent="0.25">
      <c r="A42" s="1" t="s">
        <v>47</v>
      </c>
      <c r="B42" t="s">
        <v>46</v>
      </c>
    </row>
    <row r="43" spans="1:6" x14ac:dyDescent="0.25">
      <c r="A43" s="3" t="s">
        <v>14</v>
      </c>
    </row>
    <row r="44" spans="1:6" ht="15.75" thickBot="1" x14ac:dyDescent="0.3">
      <c r="A44" s="4" t="s">
        <v>19</v>
      </c>
      <c r="B44">
        <v>1</v>
      </c>
      <c r="C44" s="17">
        <v>43546</v>
      </c>
    </row>
    <row r="45" spans="1:6" x14ac:dyDescent="0.25">
      <c r="A45" s="1" t="s">
        <v>2</v>
      </c>
      <c r="B45">
        <f>18+14+20</f>
        <v>52</v>
      </c>
    </row>
    <row r="46" spans="1:6" ht="15.75" thickBot="1" x14ac:dyDescent="0.3">
      <c r="A46" s="2" t="s">
        <v>3</v>
      </c>
      <c r="B46" s="14">
        <v>20</v>
      </c>
      <c r="C46" s="12"/>
    </row>
    <row r="47" spans="1:6" x14ac:dyDescent="0.25">
      <c r="A47" s="7" t="s">
        <v>55</v>
      </c>
      <c r="B47">
        <v>3</v>
      </c>
      <c r="C47" s="17">
        <v>43524</v>
      </c>
    </row>
    <row r="48" spans="1:6" x14ac:dyDescent="0.25">
      <c r="A48" s="1" t="s">
        <v>75</v>
      </c>
      <c r="B48">
        <v>1</v>
      </c>
      <c r="C48" s="17">
        <v>43585</v>
      </c>
    </row>
    <row r="49" spans="1:6" x14ac:dyDescent="0.25">
      <c r="A49" s="1" t="s">
        <v>65</v>
      </c>
      <c r="B49">
        <v>1</v>
      </c>
      <c r="C49" s="17">
        <v>43422</v>
      </c>
    </row>
    <row r="50" spans="1:6" x14ac:dyDescent="0.25">
      <c r="A50" s="1" t="s">
        <v>62</v>
      </c>
      <c r="B50">
        <v>2</v>
      </c>
      <c r="C50" s="17">
        <v>43365</v>
      </c>
    </row>
    <row r="51" spans="1:6" x14ac:dyDescent="0.25">
      <c r="A51" s="1" t="s">
        <v>63</v>
      </c>
      <c r="B51">
        <v>1</v>
      </c>
      <c r="C51" s="17">
        <v>43738</v>
      </c>
    </row>
    <row r="52" spans="1:6" x14ac:dyDescent="0.25">
      <c r="A52" s="1" t="s">
        <v>64</v>
      </c>
      <c r="B52">
        <v>1</v>
      </c>
      <c r="C52" s="17">
        <v>43340</v>
      </c>
    </row>
    <row r="53" spans="1:6" x14ac:dyDescent="0.25">
      <c r="A53" s="1" t="s">
        <v>74</v>
      </c>
      <c r="B53">
        <v>3</v>
      </c>
      <c r="C53" s="17">
        <v>43316</v>
      </c>
      <c r="D53" s="17">
        <v>43564</v>
      </c>
    </row>
    <row r="54" spans="1:6" x14ac:dyDescent="0.25">
      <c r="A54" s="1" t="s">
        <v>80</v>
      </c>
      <c r="B54">
        <v>1</v>
      </c>
      <c r="C54" s="17">
        <v>43422</v>
      </c>
    </row>
    <row r="55" spans="1:6" x14ac:dyDescent="0.25">
      <c r="A55" s="7" t="s">
        <v>60</v>
      </c>
      <c r="B55">
        <v>2</v>
      </c>
      <c r="C55" s="17">
        <v>43385</v>
      </c>
    </row>
    <row r="56" spans="1:6" x14ac:dyDescent="0.25">
      <c r="A56" s="1" t="s">
        <v>54</v>
      </c>
      <c r="B56">
        <v>2</v>
      </c>
      <c r="C56" s="17">
        <v>43405</v>
      </c>
    </row>
    <row r="57" spans="1:6" x14ac:dyDescent="0.25">
      <c r="A57" s="1" t="s">
        <v>56</v>
      </c>
      <c r="B57">
        <v>1</v>
      </c>
      <c r="C57" s="17">
        <v>43506</v>
      </c>
    </row>
    <row r="58" spans="1:6" x14ac:dyDescent="0.25">
      <c r="A58" s="1" t="s">
        <v>53</v>
      </c>
      <c r="B58">
        <v>2</v>
      </c>
      <c r="C58" s="17">
        <v>43524</v>
      </c>
    </row>
    <row r="59" spans="1:6" ht="15.75" thickBot="1" x14ac:dyDescent="0.3">
      <c r="A59" s="2" t="s">
        <v>59</v>
      </c>
      <c r="B59" s="12">
        <v>1</v>
      </c>
      <c r="C59" s="17">
        <v>43677</v>
      </c>
    </row>
    <row r="60" spans="1:6" x14ac:dyDescent="0.25">
      <c r="A60" s="1" t="s">
        <v>76</v>
      </c>
      <c r="B60">
        <f>(8*6) + 5</f>
        <v>53</v>
      </c>
      <c r="C60" s="17">
        <v>43496</v>
      </c>
    </row>
    <row r="61" spans="1:6" x14ac:dyDescent="0.25">
      <c r="A61" s="1" t="s">
        <v>67</v>
      </c>
      <c r="B61" s="19">
        <f>12-4</f>
        <v>8</v>
      </c>
      <c r="C61" s="21">
        <v>43555</v>
      </c>
    </row>
    <row r="62" spans="1:6" ht="15.75" thickBot="1" x14ac:dyDescent="0.3">
      <c r="A62" s="2" t="s">
        <v>68</v>
      </c>
      <c r="B62" s="20">
        <f>(4*3) +0</f>
        <v>12</v>
      </c>
      <c r="C62" s="22">
        <v>43644</v>
      </c>
      <c r="E62" t="s">
        <v>46</v>
      </c>
    </row>
    <row r="63" spans="1:6" x14ac:dyDescent="0.25">
      <c r="A63" s="7" t="s">
        <v>57</v>
      </c>
      <c r="B63">
        <v>6</v>
      </c>
      <c r="C63" s="17">
        <v>43644</v>
      </c>
    </row>
    <row r="64" spans="1:6" x14ac:dyDescent="0.25">
      <c r="A64" s="6" t="s">
        <v>58</v>
      </c>
      <c r="B64">
        <v>12</v>
      </c>
      <c r="C64" s="17">
        <v>43590</v>
      </c>
      <c r="D64" s="17">
        <v>43648</v>
      </c>
      <c r="F64" t="s">
        <v>46</v>
      </c>
    </row>
    <row r="65" spans="1:6" ht="15.75" thickBot="1" x14ac:dyDescent="0.3">
      <c r="A65" s="4" t="s">
        <v>18</v>
      </c>
      <c r="B65" s="12">
        <v>17</v>
      </c>
      <c r="C65" s="17">
        <v>43314</v>
      </c>
      <c r="D65" s="17">
        <v>43655</v>
      </c>
      <c r="F65" t="s">
        <v>46</v>
      </c>
    </row>
    <row r="66" spans="1:6" x14ac:dyDescent="0.25">
      <c r="A66" s="7" t="s">
        <v>69</v>
      </c>
      <c r="B66">
        <f xml:space="preserve"> (25*6) -14</f>
        <v>136</v>
      </c>
      <c r="C66" s="17">
        <v>43465</v>
      </c>
    </row>
    <row r="67" spans="1:6" x14ac:dyDescent="0.25">
      <c r="A67" s="1" t="s">
        <v>66</v>
      </c>
      <c r="B67">
        <f xml:space="preserve"> (6*6) + 1</f>
        <v>37</v>
      </c>
      <c r="C67" s="17">
        <v>43982</v>
      </c>
    </row>
    <row r="68" spans="1:6" x14ac:dyDescent="0.25">
      <c r="A68" s="1" t="s">
        <v>70</v>
      </c>
      <c r="B68">
        <f xml:space="preserve"> (6*12) +4</f>
        <v>76</v>
      </c>
      <c r="C68" s="17">
        <v>43496</v>
      </c>
    </row>
    <row r="69" spans="1:6" x14ac:dyDescent="0.25">
      <c r="A69" s="1" t="s">
        <v>71</v>
      </c>
      <c r="B69">
        <f>0 + (12*11) -5</f>
        <v>127</v>
      </c>
      <c r="C69" s="17">
        <v>43524</v>
      </c>
      <c r="E69" t="s">
        <v>82</v>
      </c>
    </row>
    <row r="70" spans="1:6" x14ac:dyDescent="0.25">
      <c r="A70" s="6" t="s">
        <v>52</v>
      </c>
      <c r="B70" s="17">
        <v>43308</v>
      </c>
      <c r="D70" t="s">
        <v>46</v>
      </c>
    </row>
  </sheetData>
  <conditionalFormatting sqref="B2:B27 B34:B70">
    <cfRule type="colorScale" priority="2">
      <colorScale>
        <cfvo type="num" val="2"/>
        <cfvo type="num" val="4"/>
        <cfvo type="num" val="6"/>
        <color rgb="FFF8696B"/>
        <color rgb="FFFFEB84"/>
        <color rgb="FF63BE7B"/>
      </colorScale>
    </cfRule>
  </conditionalFormatting>
  <conditionalFormatting sqref="B28:B33">
    <cfRule type="colorScale" priority="1">
      <colorScale>
        <cfvo type="num" val="0"/>
        <cfvo type="percentile" val="1"/>
        <cfvo type="num" val="2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V82"/>
  <sheetViews>
    <sheetView workbookViewId="0">
      <pane ySplit="1" topLeftCell="A57" activePane="bottomLeft" state="frozen"/>
      <selection pane="bottomLeft" activeCell="H89" sqref="H89"/>
    </sheetView>
  </sheetViews>
  <sheetFormatPr defaultRowHeight="15" x14ac:dyDescent="0.25"/>
  <cols>
    <col min="1" max="1" width="10.7109375" bestFit="1" customWidth="1"/>
  </cols>
  <sheetData>
    <row r="1" spans="1:48" x14ac:dyDescent="0.25">
      <c r="A1" t="s">
        <v>52</v>
      </c>
      <c r="B1" t="s">
        <v>32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33</v>
      </c>
      <c r="J1" t="s">
        <v>26</v>
      </c>
      <c r="K1" t="s">
        <v>27</v>
      </c>
      <c r="L1" t="s">
        <v>34</v>
      </c>
      <c r="M1" t="s">
        <v>28</v>
      </c>
      <c r="N1" t="s">
        <v>29</v>
      </c>
      <c r="O1" t="s">
        <v>47</v>
      </c>
      <c r="P1" t="s">
        <v>37</v>
      </c>
      <c r="Q1" t="s">
        <v>35</v>
      </c>
      <c r="R1" t="s">
        <v>30</v>
      </c>
      <c r="S1" t="s">
        <v>48</v>
      </c>
      <c r="T1" t="s">
        <v>36</v>
      </c>
      <c r="U1" t="s">
        <v>31</v>
      </c>
      <c r="V1" t="s">
        <v>38</v>
      </c>
      <c r="W1" t="s">
        <v>39</v>
      </c>
      <c r="X1" t="s">
        <v>40</v>
      </c>
      <c r="Y1" t="s">
        <v>41</v>
      </c>
      <c r="Z1" t="s">
        <v>42</v>
      </c>
      <c r="AA1" t="s">
        <v>49</v>
      </c>
      <c r="AB1" t="s">
        <v>10</v>
      </c>
      <c r="AC1" t="s">
        <v>11</v>
      </c>
      <c r="AD1" t="s">
        <v>12</v>
      </c>
      <c r="AE1" t="s">
        <v>13</v>
      </c>
      <c r="AF1" t="s">
        <v>14</v>
      </c>
      <c r="AG1" t="s">
        <v>15</v>
      </c>
      <c r="AH1" t="s">
        <v>16</v>
      </c>
      <c r="AI1" t="s">
        <v>17</v>
      </c>
      <c r="AJ1" t="s">
        <v>18</v>
      </c>
      <c r="AK1" t="s">
        <v>19</v>
      </c>
      <c r="AL1" t="s">
        <v>0</v>
      </c>
      <c r="AM1" t="s">
        <v>1</v>
      </c>
      <c r="AN1" t="s">
        <v>2</v>
      </c>
      <c r="AO1" t="s">
        <v>3</v>
      </c>
      <c r="AP1" t="s">
        <v>4</v>
      </c>
      <c r="AQ1" t="s">
        <v>5</v>
      </c>
      <c r="AR1" t="s">
        <v>6</v>
      </c>
      <c r="AS1" t="s">
        <v>7</v>
      </c>
      <c r="AT1" t="s">
        <v>8</v>
      </c>
      <c r="AU1" t="s">
        <v>9</v>
      </c>
      <c r="AV1" t="s">
        <v>77</v>
      </c>
    </row>
    <row r="2" spans="1:48" x14ac:dyDescent="0.25">
      <c r="A2" s="17">
        <v>43110</v>
      </c>
      <c r="B2">
        <v>195</v>
      </c>
      <c r="C2">
        <v>283</v>
      </c>
      <c r="D2">
        <v>344</v>
      </c>
      <c r="E2">
        <v>49</v>
      </c>
      <c r="F2">
        <v>365</v>
      </c>
      <c r="G2">
        <v>152</v>
      </c>
      <c r="H2">
        <v>218</v>
      </c>
      <c r="I2">
        <v>294</v>
      </c>
      <c r="J2">
        <v>233</v>
      </c>
      <c r="K2">
        <v>680</v>
      </c>
      <c r="L2">
        <v>307</v>
      </c>
      <c r="M2">
        <v>75</v>
      </c>
      <c r="N2">
        <v>101</v>
      </c>
      <c r="O2">
        <v>383</v>
      </c>
      <c r="P2">
        <v>107</v>
      </c>
      <c r="Q2">
        <v>52</v>
      </c>
      <c r="R2">
        <v>1323</v>
      </c>
      <c r="S2">
        <v>830</v>
      </c>
      <c r="T2">
        <v>380</v>
      </c>
      <c r="U2">
        <v>1650</v>
      </c>
      <c r="V2">
        <v>8</v>
      </c>
      <c r="W2">
        <v>31</v>
      </c>
      <c r="X2">
        <v>44</v>
      </c>
      <c r="Y2">
        <v>80</v>
      </c>
      <c r="Z2">
        <v>13</v>
      </c>
      <c r="AA2">
        <v>65</v>
      </c>
      <c r="AB2">
        <v>245</v>
      </c>
      <c r="AC2">
        <v>301</v>
      </c>
      <c r="AG2">
        <v>52</v>
      </c>
      <c r="AH2">
        <v>90</v>
      </c>
      <c r="AI2">
        <v>616</v>
      </c>
      <c r="AL2">
        <v>108</v>
      </c>
      <c r="AR2">
        <v>125</v>
      </c>
      <c r="AS2">
        <v>421</v>
      </c>
      <c r="AV2">
        <v>13</v>
      </c>
    </row>
    <row r="3" spans="1:48" x14ac:dyDescent="0.25">
      <c r="A3" s="17">
        <v>43111</v>
      </c>
      <c r="B3">
        <v>192</v>
      </c>
      <c r="C3">
        <v>280</v>
      </c>
      <c r="D3">
        <v>341</v>
      </c>
      <c r="E3">
        <v>41</v>
      </c>
      <c r="F3">
        <v>362</v>
      </c>
      <c r="G3">
        <v>150</v>
      </c>
      <c r="H3">
        <v>207</v>
      </c>
      <c r="I3">
        <v>276</v>
      </c>
      <c r="J3">
        <v>231</v>
      </c>
      <c r="K3">
        <v>659</v>
      </c>
      <c r="L3">
        <v>287</v>
      </c>
      <c r="M3">
        <v>71</v>
      </c>
      <c r="N3">
        <v>82</v>
      </c>
      <c r="O3">
        <v>366</v>
      </c>
      <c r="P3">
        <v>97</v>
      </c>
      <c r="Q3">
        <v>1085</v>
      </c>
      <c r="R3">
        <v>1321</v>
      </c>
      <c r="S3">
        <v>827</v>
      </c>
      <c r="T3">
        <v>377</v>
      </c>
      <c r="U3">
        <v>1621</v>
      </c>
      <c r="V3">
        <v>94</v>
      </c>
      <c r="W3">
        <v>18</v>
      </c>
      <c r="X3">
        <v>39</v>
      </c>
      <c r="Y3">
        <v>75</v>
      </c>
      <c r="Z3">
        <v>98</v>
      </c>
      <c r="AA3">
        <v>62</v>
      </c>
      <c r="AB3">
        <v>124</v>
      </c>
      <c r="AC3">
        <v>192</v>
      </c>
      <c r="AG3">
        <v>88</v>
      </c>
      <c r="AH3">
        <v>90</v>
      </c>
      <c r="AI3">
        <v>552</v>
      </c>
      <c r="AL3">
        <v>176</v>
      </c>
      <c r="AR3">
        <v>105</v>
      </c>
      <c r="AS3">
        <v>407</v>
      </c>
      <c r="AV3">
        <v>10</v>
      </c>
    </row>
    <row r="4" spans="1:48" x14ac:dyDescent="0.25">
      <c r="A4" s="17">
        <v>43115</v>
      </c>
      <c r="B4">
        <v>178</v>
      </c>
      <c r="C4">
        <v>288</v>
      </c>
      <c r="D4">
        <v>371</v>
      </c>
      <c r="E4">
        <v>10</v>
      </c>
      <c r="F4">
        <v>346</v>
      </c>
      <c r="G4">
        <v>141</v>
      </c>
      <c r="H4">
        <v>194</v>
      </c>
      <c r="I4">
        <v>222</v>
      </c>
      <c r="J4">
        <v>222</v>
      </c>
      <c r="K4">
        <v>606</v>
      </c>
      <c r="L4">
        <v>310</v>
      </c>
      <c r="M4">
        <v>60</v>
      </c>
      <c r="N4">
        <v>31</v>
      </c>
      <c r="O4">
        <v>319</v>
      </c>
      <c r="P4">
        <v>56</v>
      </c>
      <c r="Q4">
        <v>937</v>
      </c>
      <c r="R4">
        <v>1309</v>
      </c>
      <c r="S4">
        <v>817</v>
      </c>
      <c r="T4">
        <v>359</v>
      </c>
      <c r="U4">
        <v>1568</v>
      </c>
      <c r="V4">
        <v>55</v>
      </c>
      <c r="W4">
        <v>70</v>
      </c>
      <c r="X4">
        <v>17</v>
      </c>
      <c r="Y4">
        <v>63</v>
      </c>
      <c r="Z4">
        <v>59</v>
      </c>
      <c r="AA4">
        <v>49</v>
      </c>
      <c r="AB4">
        <v>684</v>
      </c>
      <c r="AC4">
        <v>727</v>
      </c>
      <c r="AG4">
        <v>34</v>
      </c>
      <c r="AH4">
        <v>90</v>
      </c>
      <c r="AI4">
        <v>1784</v>
      </c>
      <c r="AL4">
        <v>264</v>
      </c>
      <c r="AR4">
        <v>434</v>
      </c>
      <c r="AS4">
        <v>359</v>
      </c>
      <c r="AV4">
        <v>74</v>
      </c>
    </row>
    <row r="5" spans="1:48" x14ac:dyDescent="0.25">
      <c r="A5" s="17">
        <v>43117</v>
      </c>
      <c r="B5">
        <v>154</v>
      </c>
      <c r="C5">
        <v>280</v>
      </c>
      <c r="D5">
        <v>362</v>
      </c>
      <c r="E5">
        <v>59</v>
      </c>
      <c r="F5">
        <v>337</v>
      </c>
      <c r="G5">
        <v>121</v>
      </c>
      <c r="H5">
        <v>172</v>
      </c>
      <c r="I5">
        <v>143</v>
      </c>
      <c r="J5">
        <v>218</v>
      </c>
      <c r="K5">
        <v>544</v>
      </c>
      <c r="L5">
        <v>234</v>
      </c>
      <c r="M5">
        <v>52</v>
      </c>
      <c r="N5">
        <v>272</v>
      </c>
      <c r="O5">
        <v>270</v>
      </c>
      <c r="P5">
        <v>11</v>
      </c>
      <c r="Q5">
        <v>821</v>
      </c>
      <c r="R5">
        <v>1265</v>
      </c>
      <c r="S5">
        <v>779</v>
      </c>
      <c r="T5">
        <v>330</v>
      </c>
      <c r="U5">
        <v>1501</v>
      </c>
      <c r="V5">
        <v>47</v>
      </c>
      <c r="W5">
        <v>64</v>
      </c>
      <c r="X5">
        <v>7</v>
      </c>
      <c r="Y5">
        <v>57</v>
      </c>
      <c r="Z5">
        <v>53</v>
      </c>
      <c r="AA5">
        <v>42</v>
      </c>
      <c r="AB5">
        <v>532</v>
      </c>
      <c r="AC5">
        <v>586</v>
      </c>
      <c r="AG5">
        <v>80</v>
      </c>
      <c r="AH5">
        <v>90</v>
      </c>
      <c r="AI5">
        <v>1605</v>
      </c>
      <c r="AL5">
        <v>172</v>
      </c>
      <c r="AR5">
        <v>379</v>
      </c>
      <c r="AS5">
        <v>322</v>
      </c>
      <c r="AV5">
        <v>67</v>
      </c>
    </row>
    <row r="6" spans="1:48" x14ac:dyDescent="0.25">
      <c r="A6" s="17">
        <v>43119</v>
      </c>
      <c r="B6">
        <v>145</v>
      </c>
      <c r="C6">
        <v>302</v>
      </c>
      <c r="D6">
        <v>352</v>
      </c>
      <c r="E6">
        <v>44</v>
      </c>
      <c r="F6">
        <v>329</v>
      </c>
      <c r="G6">
        <v>188</v>
      </c>
      <c r="H6">
        <v>259</v>
      </c>
      <c r="I6">
        <v>94</v>
      </c>
      <c r="J6">
        <v>213</v>
      </c>
      <c r="K6">
        <v>738</v>
      </c>
      <c r="L6">
        <v>178</v>
      </c>
      <c r="M6">
        <v>286</v>
      </c>
      <c r="N6">
        <v>220</v>
      </c>
      <c r="O6">
        <v>219</v>
      </c>
      <c r="P6">
        <v>139</v>
      </c>
      <c r="Q6">
        <v>726</v>
      </c>
      <c r="R6">
        <v>1258</v>
      </c>
      <c r="S6">
        <v>774</v>
      </c>
      <c r="T6">
        <v>322</v>
      </c>
      <c r="U6">
        <v>1437</v>
      </c>
      <c r="V6">
        <v>26</v>
      </c>
      <c r="W6">
        <v>46</v>
      </c>
      <c r="X6">
        <v>80</v>
      </c>
      <c r="Y6">
        <v>51</v>
      </c>
      <c r="Z6">
        <v>36</v>
      </c>
      <c r="AA6">
        <v>36</v>
      </c>
      <c r="AB6">
        <v>385</v>
      </c>
      <c r="AC6">
        <v>456</v>
      </c>
      <c r="AG6">
        <v>56</v>
      </c>
      <c r="AH6">
        <v>90</v>
      </c>
      <c r="AI6">
        <v>1459</v>
      </c>
      <c r="AL6">
        <v>120</v>
      </c>
      <c r="AR6">
        <v>326</v>
      </c>
      <c r="AS6">
        <v>287</v>
      </c>
      <c r="AV6">
        <v>60</v>
      </c>
    </row>
    <row r="7" spans="1:48" x14ac:dyDescent="0.25">
      <c r="A7" s="17">
        <v>43122</v>
      </c>
      <c r="B7">
        <v>124</v>
      </c>
      <c r="C7">
        <v>288</v>
      </c>
      <c r="D7">
        <v>325</v>
      </c>
      <c r="E7">
        <v>13</v>
      </c>
      <c r="F7">
        <v>314</v>
      </c>
      <c r="G7">
        <v>171</v>
      </c>
      <c r="H7">
        <v>240</v>
      </c>
      <c r="I7">
        <v>47</v>
      </c>
      <c r="J7">
        <v>202</v>
      </c>
      <c r="K7">
        <v>694</v>
      </c>
      <c r="L7">
        <v>318</v>
      </c>
      <c r="M7">
        <v>276</v>
      </c>
      <c r="N7">
        <v>176</v>
      </c>
      <c r="O7">
        <v>191</v>
      </c>
      <c r="P7">
        <v>99</v>
      </c>
      <c r="Q7">
        <v>607</v>
      </c>
      <c r="R7">
        <v>1248</v>
      </c>
      <c r="S7">
        <v>759</v>
      </c>
      <c r="T7">
        <v>301</v>
      </c>
      <c r="U7">
        <v>1390</v>
      </c>
      <c r="V7">
        <v>17</v>
      </c>
      <c r="W7">
        <v>37</v>
      </c>
      <c r="X7">
        <v>65</v>
      </c>
      <c r="Y7">
        <v>42</v>
      </c>
      <c r="Z7">
        <v>26</v>
      </c>
      <c r="AA7">
        <v>27</v>
      </c>
      <c r="AB7">
        <v>188</v>
      </c>
      <c r="AC7">
        <v>273</v>
      </c>
      <c r="AG7">
        <v>27</v>
      </c>
      <c r="AH7">
        <v>90</v>
      </c>
      <c r="AI7">
        <v>1261</v>
      </c>
      <c r="AL7">
        <v>307</v>
      </c>
      <c r="AR7">
        <v>283</v>
      </c>
      <c r="AS7">
        <v>259</v>
      </c>
      <c r="AV7">
        <v>51</v>
      </c>
    </row>
    <row r="8" spans="1:48" x14ac:dyDescent="0.25">
      <c r="A8" s="17">
        <v>43124</v>
      </c>
      <c r="B8">
        <v>116</v>
      </c>
      <c r="C8">
        <v>263</v>
      </c>
      <c r="D8">
        <v>296</v>
      </c>
      <c r="E8">
        <v>62</v>
      </c>
      <c r="F8">
        <v>284</v>
      </c>
      <c r="G8">
        <v>168</v>
      </c>
      <c r="H8">
        <v>233</v>
      </c>
      <c r="I8">
        <v>13</v>
      </c>
      <c r="J8">
        <v>180</v>
      </c>
      <c r="K8">
        <v>654</v>
      </c>
      <c r="L8">
        <v>274</v>
      </c>
      <c r="M8">
        <v>268</v>
      </c>
      <c r="N8">
        <v>136</v>
      </c>
      <c r="O8">
        <v>442</v>
      </c>
      <c r="P8">
        <v>77</v>
      </c>
      <c r="Q8">
        <v>521</v>
      </c>
      <c r="R8">
        <v>1246</v>
      </c>
      <c r="S8">
        <v>753</v>
      </c>
      <c r="T8">
        <v>292</v>
      </c>
      <c r="U8">
        <v>1344</v>
      </c>
      <c r="V8">
        <v>94</v>
      </c>
      <c r="W8">
        <v>22</v>
      </c>
      <c r="X8">
        <v>50</v>
      </c>
      <c r="Y8">
        <v>35</v>
      </c>
      <c r="Z8">
        <v>10</v>
      </c>
      <c r="AA8">
        <v>21</v>
      </c>
      <c r="AB8">
        <v>912</v>
      </c>
      <c r="AC8">
        <v>923</v>
      </c>
      <c r="AG8">
        <v>88</v>
      </c>
      <c r="AH8">
        <v>90</v>
      </c>
      <c r="AI8">
        <v>1122</v>
      </c>
      <c r="AL8">
        <v>183</v>
      </c>
      <c r="AR8">
        <v>239</v>
      </c>
      <c r="AS8">
        <v>229</v>
      </c>
      <c r="AV8">
        <v>45</v>
      </c>
    </row>
    <row r="9" spans="1:48" x14ac:dyDescent="0.25">
      <c r="A9" s="17">
        <v>43126</v>
      </c>
      <c r="B9">
        <v>108</v>
      </c>
      <c r="C9">
        <v>255</v>
      </c>
      <c r="D9">
        <v>278</v>
      </c>
      <c r="E9">
        <v>46</v>
      </c>
      <c r="F9">
        <v>276</v>
      </c>
      <c r="G9">
        <v>164</v>
      </c>
      <c r="H9">
        <v>226</v>
      </c>
      <c r="I9">
        <v>296</v>
      </c>
      <c r="J9">
        <v>173</v>
      </c>
      <c r="K9">
        <v>609</v>
      </c>
      <c r="L9">
        <v>299</v>
      </c>
      <c r="M9">
        <v>260</v>
      </c>
      <c r="N9">
        <v>92</v>
      </c>
      <c r="O9">
        <v>400</v>
      </c>
      <c r="P9">
        <v>55</v>
      </c>
      <c r="Q9">
        <v>429</v>
      </c>
      <c r="R9">
        <v>1241</v>
      </c>
      <c r="S9">
        <v>745</v>
      </c>
      <c r="T9">
        <v>283</v>
      </c>
      <c r="U9">
        <v>1300</v>
      </c>
      <c r="V9">
        <v>87</v>
      </c>
      <c r="W9">
        <v>16</v>
      </c>
      <c r="X9">
        <v>40</v>
      </c>
      <c r="Y9">
        <v>14</v>
      </c>
      <c r="Z9">
        <v>4</v>
      </c>
      <c r="AA9">
        <v>13</v>
      </c>
      <c r="AB9">
        <v>770</v>
      </c>
      <c r="AC9">
        <v>794</v>
      </c>
      <c r="AG9">
        <v>90</v>
      </c>
      <c r="AH9">
        <v>90</v>
      </c>
      <c r="AI9">
        <v>987</v>
      </c>
      <c r="AL9">
        <v>290</v>
      </c>
      <c r="AR9">
        <v>183</v>
      </c>
      <c r="AS9">
        <v>192</v>
      </c>
      <c r="AV9">
        <v>39</v>
      </c>
    </row>
    <row r="10" spans="1:48" x14ac:dyDescent="0.25">
      <c r="A10" s="17">
        <v>43129</v>
      </c>
      <c r="B10">
        <v>98</v>
      </c>
      <c r="C10">
        <v>298</v>
      </c>
      <c r="D10">
        <v>388</v>
      </c>
      <c r="E10">
        <v>23</v>
      </c>
      <c r="F10">
        <v>266</v>
      </c>
      <c r="G10">
        <v>157</v>
      </c>
      <c r="H10">
        <v>217</v>
      </c>
      <c r="I10">
        <v>262</v>
      </c>
      <c r="J10">
        <v>168</v>
      </c>
      <c r="K10">
        <v>569</v>
      </c>
      <c r="L10">
        <v>256</v>
      </c>
      <c r="M10">
        <v>247</v>
      </c>
      <c r="N10">
        <v>56</v>
      </c>
      <c r="O10">
        <v>370</v>
      </c>
      <c r="P10">
        <v>23</v>
      </c>
      <c r="Q10">
        <v>313</v>
      </c>
      <c r="R10">
        <v>1234</v>
      </c>
      <c r="S10">
        <v>733</v>
      </c>
      <c r="T10">
        <v>274</v>
      </c>
      <c r="U10">
        <v>1251</v>
      </c>
      <c r="V10">
        <v>75</v>
      </c>
      <c r="W10">
        <v>6</v>
      </c>
      <c r="X10">
        <v>25</v>
      </c>
      <c r="Y10">
        <v>94</v>
      </c>
      <c r="Z10">
        <v>65</v>
      </c>
      <c r="AA10">
        <v>71</v>
      </c>
      <c r="AB10">
        <v>534</v>
      </c>
      <c r="AC10">
        <v>586</v>
      </c>
      <c r="AG10">
        <v>74</v>
      </c>
      <c r="AH10">
        <v>90</v>
      </c>
      <c r="AI10">
        <v>817</v>
      </c>
      <c r="AL10">
        <v>233</v>
      </c>
      <c r="AR10">
        <v>128</v>
      </c>
      <c r="AS10">
        <v>155</v>
      </c>
      <c r="AV10">
        <v>29</v>
      </c>
    </row>
    <row r="11" spans="1:48" x14ac:dyDescent="0.25">
      <c r="A11" s="17">
        <v>43132</v>
      </c>
      <c r="B11">
        <v>83</v>
      </c>
      <c r="C11">
        <v>280</v>
      </c>
      <c r="D11">
        <v>371</v>
      </c>
      <c r="E11">
        <v>74</v>
      </c>
      <c r="F11">
        <v>251</v>
      </c>
      <c r="G11">
        <v>152</v>
      </c>
      <c r="H11">
        <v>203</v>
      </c>
      <c r="I11">
        <v>185</v>
      </c>
      <c r="J11">
        <v>253</v>
      </c>
      <c r="K11">
        <v>269</v>
      </c>
      <c r="L11">
        <v>284</v>
      </c>
      <c r="M11">
        <v>231</v>
      </c>
      <c r="N11">
        <v>281</v>
      </c>
      <c r="O11">
        <v>287</v>
      </c>
      <c r="P11">
        <v>176</v>
      </c>
      <c r="Q11">
        <v>158</v>
      </c>
      <c r="R11">
        <v>1225</v>
      </c>
      <c r="S11">
        <v>722</v>
      </c>
      <c r="T11">
        <v>395</v>
      </c>
      <c r="U11">
        <v>1658</v>
      </c>
      <c r="V11">
        <v>65</v>
      </c>
      <c r="W11">
        <v>88</v>
      </c>
      <c r="X11">
        <v>10</v>
      </c>
      <c r="Y11">
        <v>84</v>
      </c>
      <c r="Z11">
        <v>56</v>
      </c>
      <c r="AA11">
        <v>61</v>
      </c>
      <c r="AB11">
        <v>331</v>
      </c>
      <c r="AC11">
        <v>398</v>
      </c>
      <c r="AG11">
        <v>35</v>
      </c>
      <c r="AH11">
        <v>90</v>
      </c>
      <c r="AI11">
        <v>597</v>
      </c>
      <c r="AL11">
        <v>260</v>
      </c>
      <c r="AR11">
        <v>452</v>
      </c>
      <c r="AS11">
        <v>468</v>
      </c>
      <c r="AV11">
        <v>19</v>
      </c>
    </row>
    <row r="12" spans="1:48" x14ac:dyDescent="0.25">
      <c r="A12" s="17">
        <v>43136</v>
      </c>
      <c r="B12">
        <v>65</v>
      </c>
      <c r="C12">
        <v>295</v>
      </c>
      <c r="D12">
        <v>350</v>
      </c>
      <c r="E12">
        <v>43</v>
      </c>
      <c r="F12">
        <v>378</v>
      </c>
      <c r="G12">
        <v>134</v>
      </c>
      <c r="H12">
        <v>179</v>
      </c>
      <c r="I12">
        <v>127</v>
      </c>
      <c r="J12">
        <v>241</v>
      </c>
      <c r="K12">
        <v>211</v>
      </c>
      <c r="L12">
        <v>336</v>
      </c>
      <c r="M12">
        <v>204</v>
      </c>
      <c r="N12">
        <v>219</v>
      </c>
      <c r="O12">
        <v>234</v>
      </c>
      <c r="P12">
        <v>135</v>
      </c>
      <c r="Q12">
        <v>1058</v>
      </c>
      <c r="R12">
        <v>1213</v>
      </c>
      <c r="S12">
        <v>711</v>
      </c>
      <c r="T12">
        <v>373</v>
      </c>
      <c r="U12">
        <v>1587</v>
      </c>
      <c r="V12">
        <v>50</v>
      </c>
      <c r="W12">
        <v>76</v>
      </c>
      <c r="X12">
        <v>90</v>
      </c>
      <c r="Y12">
        <v>57</v>
      </c>
      <c r="Z12">
        <v>44</v>
      </c>
      <c r="AA12">
        <v>34</v>
      </c>
      <c r="AB12">
        <v>891</v>
      </c>
      <c r="AC12">
        <v>905</v>
      </c>
      <c r="AG12">
        <v>31</v>
      </c>
      <c r="AH12">
        <v>90</v>
      </c>
      <c r="AI12">
        <v>1940</v>
      </c>
      <c r="AL12">
        <v>260</v>
      </c>
      <c r="AR12">
        <v>383</v>
      </c>
      <c r="AS12">
        <v>422</v>
      </c>
      <c r="AV12">
        <v>91</v>
      </c>
    </row>
    <row r="13" spans="1:48" x14ac:dyDescent="0.25">
      <c r="A13" s="17">
        <v>43139</v>
      </c>
      <c r="B13">
        <v>254</v>
      </c>
      <c r="C13">
        <v>275</v>
      </c>
      <c r="D13">
        <v>334</v>
      </c>
      <c r="E13">
        <v>20</v>
      </c>
      <c r="F13">
        <v>361</v>
      </c>
      <c r="G13">
        <v>128</v>
      </c>
      <c r="H13">
        <v>255</v>
      </c>
      <c r="I13">
        <v>48</v>
      </c>
      <c r="J13">
        <v>233</v>
      </c>
      <c r="K13">
        <v>122</v>
      </c>
      <c r="L13">
        <v>297</v>
      </c>
      <c r="M13">
        <v>185</v>
      </c>
      <c r="N13">
        <v>129</v>
      </c>
      <c r="O13">
        <v>140</v>
      </c>
      <c r="P13">
        <v>99</v>
      </c>
      <c r="Q13">
        <v>905</v>
      </c>
      <c r="R13">
        <v>1206</v>
      </c>
      <c r="S13">
        <v>699</v>
      </c>
      <c r="T13">
        <v>354</v>
      </c>
      <c r="U13">
        <v>1504</v>
      </c>
      <c r="V13">
        <v>30</v>
      </c>
      <c r="W13">
        <v>64</v>
      </c>
      <c r="X13">
        <v>75</v>
      </c>
      <c r="Y13">
        <v>14</v>
      </c>
      <c r="Z13">
        <v>32</v>
      </c>
      <c r="AA13">
        <v>87</v>
      </c>
      <c r="AB13">
        <v>636</v>
      </c>
      <c r="AC13">
        <v>691</v>
      </c>
      <c r="AG13">
        <v>72</v>
      </c>
      <c r="AH13">
        <v>90</v>
      </c>
      <c r="AI13">
        <v>1716</v>
      </c>
      <c r="AL13">
        <v>145</v>
      </c>
      <c r="AR13">
        <v>293</v>
      </c>
      <c r="AS13">
        <v>362</v>
      </c>
      <c r="AV13">
        <v>51</v>
      </c>
    </row>
    <row r="14" spans="1:48" x14ac:dyDescent="0.25">
      <c r="A14" s="17">
        <v>43140</v>
      </c>
      <c r="B14">
        <v>248</v>
      </c>
      <c r="C14">
        <v>269</v>
      </c>
      <c r="D14">
        <v>326</v>
      </c>
      <c r="E14">
        <v>12</v>
      </c>
      <c r="F14">
        <v>354</v>
      </c>
      <c r="G14">
        <v>127</v>
      </c>
      <c r="H14">
        <v>249</v>
      </c>
      <c r="I14">
        <v>311</v>
      </c>
      <c r="J14">
        <v>231</v>
      </c>
      <c r="K14">
        <v>92</v>
      </c>
      <c r="L14">
        <v>266</v>
      </c>
      <c r="M14">
        <v>182</v>
      </c>
      <c r="N14">
        <v>100</v>
      </c>
      <c r="O14">
        <v>111</v>
      </c>
      <c r="P14">
        <v>89</v>
      </c>
      <c r="Q14">
        <v>851</v>
      </c>
      <c r="R14">
        <v>1201</v>
      </c>
      <c r="S14">
        <v>696</v>
      </c>
      <c r="T14">
        <v>346</v>
      </c>
      <c r="U14">
        <v>1477</v>
      </c>
      <c r="V14">
        <v>27</v>
      </c>
      <c r="W14">
        <v>61</v>
      </c>
      <c r="X14">
        <v>70</v>
      </c>
      <c r="Y14">
        <v>87</v>
      </c>
      <c r="Z14">
        <v>29</v>
      </c>
      <c r="AA14">
        <v>83</v>
      </c>
      <c r="AB14">
        <v>566</v>
      </c>
      <c r="AC14">
        <v>627</v>
      </c>
      <c r="AG14">
        <v>58</v>
      </c>
      <c r="AH14">
        <v>90</v>
      </c>
      <c r="AI14">
        <v>1635</v>
      </c>
      <c r="AL14">
        <v>345</v>
      </c>
      <c r="AR14">
        <v>262</v>
      </c>
      <c r="AS14">
        <v>341</v>
      </c>
      <c r="AV14">
        <v>48</v>
      </c>
    </row>
    <row r="15" spans="1:48" x14ac:dyDescent="0.25">
      <c r="A15" s="17">
        <v>43143</v>
      </c>
      <c r="B15">
        <v>235</v>
      </c>
      <c r="C15">
        <v>295</v>
      </c>
      <c r="D15">
        <v>313</v>
      </c>
      <c r="E15">
        <v>65</v>
      </c>
      <c r="F15">
        <v>339</v>
      </c>
      <c r="G15">
        <v>195</v>
      </c>
      <c r="H15">
        <v>237</v>
      </c>
      <c r="I15">
        <v>272</v>
      </c>
      <c r="J15">
        <v>224</v>
      </c>
      <c r="K15">
        <v>278</v>
      </c>
      <c r="L15">
        <v>332</v>
      </c>
      <c r="M15">
        <v>168</v>
      </c>
      <c r="N15">
        <v>60</v>
      </c>
      <c r="O15">
        <v>451</v>
      </c>
      <c r="P15">
        <v>56</v>
      </c>
      <c r="Q15">
        <v>736</v>
      </c>
      <c r="R15">
        <v>1183</v>
      </c>
      <c r="S15">
        <v>681</v>
      </c>
      <c r="T15">
        <v>333</v>
      </c>
      <c r="U15">
        <v>1424</v>
      </c>
      <c r="V15">
        <v>16</v>
      </c>
      <c r="W15">
        <v>51</v>
      </c>
      <c r="X15">
        <v>55</v>
      </c>
      <c r="Y15">
        <v>62</v>
      </c>
      <c r="Z15">
        <v>19</v>
      </c>
      <c r="AA15">
        <v>57</v>
      </c>
      <c r="AB15">
        <v>344</v>
      </c>
      <c r="AC15">
        <v>430</v>
      </c>
      <c r="AG15">
        <v>22</v>
      </c>
      <c r="AH15">
        <v>90</v>
      </c>
      <c r="AI15">
        <v>1465</v>
      </c>
      <c r="AL15">
        <v>140</v>
      </c>
      <c r="AR15">
        <v>204</v>
      </c>
      <c r="AS15">
        <v>303</v>
      </c>
      <c r="AV15">
        <v>25</v>
      </c>
    </row>
    <row r="16" spans="1:48" x14ac:dyDescent="0.25">
      <c r="A16" s="17">
        <v>43145</v>
      </c>
      <c r="B16">
        <v>227</v>
      </c>
      <c r="C16">
        <v>284</v>
      </c>
      <c r="D16">
        <v>305</v>
      </c>
      <c r="E16">
        <v>50</v>
      </c>
      <c r="F16">
        <v>331</v>
      </c>
      <c r="G16">
        <v>191</v>
      </c>
      <c r="H16">
        <v>230</v>
      </c>
      <c r="I16">
        <v>215</v>
      </c>
      <c r="J16">
        <v>220</v>
      </c>
      <c r="K16">
        <v>306</v>
      </c>
      <c r="L16">
        <v>269</v>
      </c>
      <c r="M16">
        <v>162</v>
      </c>
      <c r="N16">
        <v>7</v>
      </c>
      <c r="O16">
        <v>393</v>
      </c>
      <c r="P16">
        <v>31</v>
      </c>
      <c r="Q16">
        <v>629</v>
      </c>
      <c r="R16">
        <v>1180</v>
      </c>
      <c r="S16">
        <v>675</v>
      </c>
      <c r="T16">
        <v>325</v>
      </c>
      <c r="U16">
        <v>1371</v>
      </c>
      <c r="V16">
        <v>7</v>
      </c>
      <c r="W16">
        <v>46</v>
      </c>
      <c r="X16">
        <v>45</v>
      </c>
      <c r="Y16">
        <v>50</v>
      </c>
      <c r="Z16">
        <v>93</v>
      </c>
      <c r="AA16">
        <v>48</v>
      </c>
      <c r="AB16">
        <v>150</v>
      </c>
      <c r="AC16">
        <v>272</v>
      </c>
      <c r="AG16">
        <v>81</v>
      </c>
      <c r="AH16">
        <v>90</v>
      </c>
      <c r="AI16">
        <v>1310</v>
      </c>
      <c r="AL16">
        <v>150</v>
      </c>
      <c r="AR16">
        <v>155</v>
      </c>
      <c r="AS16">
        <v>270</v>
      </c>
      <c r="AV16">
        <v>96</v>
      </c>
    </row>
    <row r="17" spans="1:48" x14ac:dyDescent="0.25">
      <c r="A17" s="17">
        <v>43146</v>
      </c>
      <c r="B17">
        <v>223</v>
      </c>
      <c r="C17">
        <v>282</v>
      </c>
      <c r="D17">
        <v>302</v>
      </c>
      <c r="E17">
        <v>42</v>
      </c>
      <c r="F17">
        <v>327</v>
      </c>
      <c r="G17">
        <v>189</v>
      </c>
      <c r="H17">
        <v>227</v>
      </c>
      <c r="I17">
        <v>187</v>
      </c>
      <c r="J17">
        <v>218</v>
      </c>
      <c r="K17">
        <v>277</v>
      </c>
      <c r="L17">
        <v>237</v>
      </c>
      <c r="M17">
        <v>155</v>
      </c>
      <c r="N17">
        <v>283</v>
      </c>
      <c r="O17">
        <v>364</v>
      </c>
      <c r="P17">
        <v>18</v>
      </c>
      <c r="Q17">
        <v>576</v>
      </c>
      <c r="R17">
        <v>1178</v>
      </c>
      <c r="S17">
        <v>672</v>
      </c>
      <c r="T17">
        <v>321</v>
      </c>
      <c r="U17">
        <v>1340</v>
      </c>
      <c r="V17">
        <v>4</v>
      </c>
      <c r="W17">
        <v>46</v>
      </c>
      <c r="X17">
        <v>40</v>
      </c>
      <c r="Y17">
        <v>47</v>
      </c>
      <c r="Z17">
        <v>89</v>
      </c>
      <c r="AA17">
        <v>45</v>
      </c>
      <c r="AB17">
        <v>924</v>
      </c>
      <c r="AC17">
        <v>211</v>
      </c>
      <c r="AG17">
        <v>70</v>
      </c>
      <c r="AH17">
        <v>90</v>
      </c>
      <c r="AI17">
        <v>1233</v>
      </c>
      <c r="AL17">
        <v>112</v>
      </c>
      <c r="AR17">
        <v>127</v>
      </c>
      <c r="AS17">
        <v>251</v>
      </c>
      <c r="AV17">
        <v>93</v>
      </c>
    </row>
    <row r="18" spans="1:48" x14ac:dyDescent="0.25">
      <c r="A18" s="17">
        <v>43150</v>
      </c>
      <c r="B18">
        <v>205</v>
      </c>
      <c r="C18">
        <v>297</v>
      </c>
      <c r="D18">
        <v>283</v>
      </c>
      <c r="E18">
        <v>12</v>
      </c>
      <c r="F18">
        <v>307</v>
      </c>
      <c r="G18">
        <v>181</v>
      </c>
      <c r="H18">
        <v>211</v>
      </c>
      <c r="I18">
        <v>108</v>
      </c>
      <c r="J18">
        <v>208</v>
      </c>
      <c r="K18">
        <v>200</v>
      </c>
      <c r="L18">
        <v>300</v>
      </c>
      <c r="M18">
        <v>128</v>
      </c>
      <c r="N18">
        <v>201</v>
      </c>
      <c r="O18">
        <v>290</v>
      </c>
      <c r="P18">
        <v>150</v>
      </c>
      <c r="Q18">
        <v>394</v>
      </c>
      <c r="R18">
        <v>1169</v>
      </c>
      <c r="S18">
        <v>659</v>
      </c>
      <c r="T18">
        <v>301</v>
      </c>
      <c r="U18">
        <v>1247</v>
      </c>
      <c r="V18">
        <v>88</v>
      </c>
      <c r="W18">
        <v>30</v>
      </c>
      <c r="X18">
        <v>20</v>
      </c>
      <c r="Y18">
        <v>31</v>
      </c>
      <c r="Z18">
        <v>76</v>
      </c>
      <c r="AA18">
        <v>30</v>
      </c>
      <c r="AB18">
        <v>632</v>
      </c>
      <c r="AC18">
        <v>720</v>
      </c>
      <c r="AG18">
        <v>29</v>
      </c>
      <c r="AH18">
        <v>90</v>
      </c>
      <c r="AI18">
        <v>973</v>
      </c>
      <c r="AL18">
        <v>309</v>
      </c>
      <c r="AR18">
        <v>476</v>
      </c>
      <c r="AS18">
        <v>193</v>
      </c>
      <c r="AV18">
        <v>78</v>
      </c>
    </row>
    <row r="19" spans="1:48" x14ac:dyDescent="0.25">
      <c r="A19" s="17">
        <v>43153</v>
      </c>
      <c r="B19">
        <v>190</v>
      </c>
      <c r="C19">
        <v>280</v>
      </c>
      <c r="D19">
        <v>268</v>
      </c>
      <c r="E19">
        <v>66</v>
      </c>
      <c r="F19">
        <v>289</v>
      </c>
      <c r="G19">
        <v>174</v>
      </c>
      <c r="H19">
        <v>190</v>
      </c>
      <c r="I19">
        <v>29</v>
      </c>
      <c r="J19">
        <v>201</v>
      </c>
      <c r="K19">
        <v>110</v>
      </c>
      <c r="L19">
        <v>311</v>
      </c>
      <c r="M19">
        <v>106</v>
      </c>
      <c r="N19">
        <v>113</v>
      </c>
      <c r="O19">
        <v>441</v>
      </c>
      <c r="P19">
        <v>119</v>
      </c>
      <c r="Q19">
        <v>232</v>
      </c>
      <c r="R19">
        <v>1162</v>
      </c>
      <c r="S19">
        <v>837</v>
      </c>
      <c r="T19">
        <v>285</v>
      </c>
      <c r="U19">
        <v>1147</v>
      </c>
      <c r="V19">
        <v>78</v>
      </c>
      <c r="W19">
        <v>76</v>
      </c>
      <c r="X19">
        <v>5</v>
      </c>
      <c r="Y19">
        <v>22</v>
      </c>
      <c r="Z19">
        <v>65</v>
      </c>
      <c r="AA19">
        <v>21</v>
      </c>
      <c r="AB19">
        <v>399</v>
      </c>
      <c r="AC19">
        <v>509</v>
      </c>
      <c r="AG19">
        <v>89</v>
      </c>
      <c r="AH19">
        <v>90</v>
      </c>
      <c r="AI19">
        <v>452</v>
      </c>
      <c r="AL19">
        <v>244</v>
      </c>
      <c r="AR19">
        <v>402</v>
      </c>
      <c r="AS19">
        <v>487</v>
      </c>
      <c r="AV19">
        <v>68</v>
      </c>
    </row>
    <row r="20" spans="1:48" x14ac:dyDescent="0.25">
      <c r="A20" s="17">
        <v>43157</v>
      </c>
      <c r="B20">
        <v>174</v>
      </c>
      <c r="C20">
        <v>296</v>
      </c>
      <c r="D20">
        <v>375</v>
      </c>
      <c r="E20">
        <v>35</v>
      </c>
      <c r="F20">
        <v>273</v>
      </c>
      <c r="G20">
        <v>157</v>
      </c>
      <c r="H20">
        <v>173</v>
      </c>
      <c r="I20">
        <v>258</v>
      </c>
      <c r="J20">
        <v>192</v>
      </c>
      <c r="K20">
        <v>44</v>
      </c>
      <c r="L20">
        <v>341</v>
      </c>
      <c r="M20">
        <v>91</v>
      </c>
      <c r="N20">
        <v>43</v>
      </c>
      <c r="O20">
        <v>374</v>
      </c>
      <c r="P20">
        <v>77</v>
      </c>
      <c r="Q20">
        <v>57</v>
      </c>
      <c r="R20">
        <v>1150</v>
      </c>
      <c r="S20">
        <v>823</v>
      </c>
      <c r="T20">
        <v>375</v>
      </c>
      <c r="U20">
        <v>1697</v>
      </c>
      <c r="V20">
        <v>66</v>
      </c>
      <c r="W20">
        <v>64</v>
      </c>
      <c r="X20">
        <v>69</v>
      </c>
      <c r="Y20">
        <v>93</v>
      </c>
      <c r="Z20">
        <v>36</v>
      </c>
      <c r="AA20">
        <v>6</v>
      </c>
      <c r="AB20">
        <v>906</v>
      </c>
      <c r="AC20">
        <v>233</v>
      </c>
      <c r="AG20">
        <v>52</v>
      </c>
      <c r="AH20">
        <v>90</v>
      </c>
      <c r="AI20">
        <v>1788</v>
      </c>
      <c r="AL20">
        <v>253</v>
      </c>
      <c r="AR20">
        <v>316</v>
      </c>
      <c r="AS20">
        <v>430</v>
      </c>
      <c r="AV20">
        <v>54</v>
      </c>
    </row>
    <row r="21" spans="1:48" x14ac:dyDescent="0.25">
      <c r="A21" s="17">
        <v>43159</v>
      </c>
      <c r="B21">
        <v>167</v>
      </c>
      <c r="C21">
        <v>289</v>
      </c>
      <c r="D21">
        <v>369</v>
      </c>
      <c r="E21">
        <v>20</v>
      </c>
      <c r="F21">
        <v>268</v>
      </c>
      <c r="G21">
        <v>153</v>
      </c>
      <c r="H21">
        <v>260</v>
      </c>
      <c r="I21">
        <v>197</v>
      </c>
      <c r="J21">
        <v>188</v>
      </c>
      <c r="K21">
        <v>282</v>
      </c>
      <c r="L21">
        <v>275</v>
      </c>
      <c r="M21">
        <v>75</v>
      </c>
      <c r="N21">
        <v>262</v>
      </c>
      <c r="O21">
        <v>312</v>
      </c>
      <c r="P21">
        <v>56</v>
      </c>
      <c r="Q21">
        <v>1064</v>
      </c>
      <c r="R21">
        <v>1147</v>
      </c>
      <c r="S21">
        <v>818</v>
      </c>
      <c r="T21">
        <v>369</v>
      </c>
      <c r="U21">
        <v>1639</v>
      </c>
      <c r="V21">
        <v>59</v>
      </c>
      <c r="W21">
        <v>58</v>
      </c>
      <c r="X21">
        <v>59</v>
      </c>
      <c r="Y21">
        <v>84</v>
      </c>
      <c r="Z21">
        <v>30</v>
      </c>
      <c r="AA21">
        <v>75</v>
      </c>
      <c r="AB21">
        <v>768</v>
      </c>
      <c r="AC21">
        <v>866</v>
      </c>
      <c r="AG21">
        <v>71</v>
      </c>
      <c r="AH21">
        <v>90</v>
      </c>
      <c r="AI21">
        <v>1594</v>
      </c>
      <c r="AL21">
        <v>325</v>
      </c>
      <c r="AR21">
        <v>264</v>
      </c>
      <c r="AS21">
        <v>395</v>
      </c>
      <c r="AV21">
        <v>47</v>
      </c>
    </row>
    <row r="22" spans="1:48" x14ac:dyDescent="0.25">
      <c r="A22" s="17">
        <v>43161</v>
      </c>
      <c r="B22">
        <v>160</v>
      </c>
      <c r="C22">
        <v>305</v>
      </c>
      <c r="D22">
        <v>361</v>
      </c>
      <c r="E22">
        <v>73</v>
      </c>
      <c r="F22">
        <v>258</v>
      </c>
      <c r="G22">
        <v>149</v>
      </c>
      <c r="H22">
        <v>253</v>
      </c>
      <c r="I22">
        <v>136</v>
      </c>
      <c r="J22">
        <v>261</v>
      </c>
      <c r="K22">
        <v>217</v>
      </c>
      <c r="L22">
        <v>309</v>
      </c>
      <c r="M22">
        <v>64</v>
      </c>
      <c r="N22">
        <v>200</v>
      </c>
      <c r="O22">
        <v>249</v>
      </c>
      <c r="P22">
        <v>27</v>
      </c>
      <c r="Q22">
        <v>953</v>
      </c>
      <c r="R22">
        <v>1140</v>
      </c>
      <c r="S22">
        <v>811</v>
      </c>
      <c r="T22">
        <v>360</v>
      </c>
      <c r="U22">
        <v>1564</v>
      </c>
      <c r="V22">
        <v>53</v>
      </c>
      <c r="W22">
        <v>52</v>
      </c>
      <c r="X22">
        <v>49</v>
      </c>
      <c r="Y22">
        <v>78</v>
      </c>
      <c r="Z22">
        <v>24</v>
      </c>
      <c r="AA22">
        <v>69</v>
      </c>
      <c r="AB22">
        <v>637</v>
      </c>
      <c r="AC22">
        <v>744</v>
      </c>
      <c r="AG22">
        <v>90</v>
      </c>
      <c r="AH22">
        <v>90</v>
      </c>
      <c r="AI22">
        <v>1431</v>
      </c>
      <c r="AL22">
        <v>141</v>
      </c>
      <c r="AR22">
        <v>200</v>
      </c>
      <c r="AS22">
        <v>353</v>
      </c>
      <c r="AV22">
        <v>41</v>
      </c>
    </row>
    <row r="23" spans="1:48" x14ac:dyDescent="0.25">
      <c r="A23" s="17">
        <v>43164</v>
      </c>
      <c r="B23">
        <v>149</v>
      </c>
      <c r="C23">
        <v>296</v>
      </c>
      <c r="D23">
        <v>351</v>
      </c>
      <c r="E23">
        <v>50</v>
      </c>
      <c r="F23">
        <v>378</v>
      </c>
      <c r="G23">
        <v>141</v>
      </c>
      <c r="H23">
        <v>244</v>
      </c>
      <c r="I23">
        <v>96</v>
      </c>
      <c r="J23">
        <v>251</v>
      </c>
      <c r="K23">
        <v>175</v>
      </c>
      <c r="L23">
        <v>262</v>
      </c>
      <c r="M23">
        <v>40</v>
      </c>
      <c r="N23">
        <v>161</v>
      </c>
      <c r="O23">
        <v>212</v>
      </c>
      <c r="P23">
        <v>189</v>
      </c>
      <c r="Q23">
        <v>836</v>
      </c>
      <c r="R23">
        <v>1363</v>
      </c>
      <c r="S23">
        <v>801</v>
      </c>
      <c r="T23">
        <v>350</v>
      </c>
      <c r="U23">
        <v>1525</v>
      </c>
      <c r="V23">
        <v>44</v>
      </c>
      <c r="W23">
        <v>43</v>
      </c>
      <c r="X23">
        <v>34</v>
      </c>
      <c r="Y23">
        <v>69</v>
      </c>
      <c r="Z23">
        <v>13</v>
      </c>
      <c r="AA23">
        <v>59</v>
      </c>
      <c r="AB23">
        <v>430</v>
      </c>
      <c r="AC23">
        <v>555</v>
      </c>
      <c r="AG23">
        <v>90</v>
      </c>
      <c r="AH23">
        <v>90</v>
      </c>
      <c r="AI23">
        <v>1254</v>
      </c>
      <c r="AL23">
        <v>164</v>
      </c>
      <c r="AR23">
        <v>146</v>
      </c>
      <c r="AS23">
        <v>317</v>
      </c>
      <c r="AV23">
        <v>32</v>
      </c>
    </row>
    <row r="24" spans="1:48" x14ac:dyDescent="0.25">
      <c r="A24" s="17">
        <v>43166</v>
      </c>
      <c r="B24">
        <v>141</v>
      </c>
      <c r="C24">
        <v>287</v>
      </c>
      <c r="D24">
        <v>343</v>
      </c>
      <c r="E24">
        <v>35</v>
      </c>
      <c r="F24">
        <v>370</v>
      </c>
      <c r="G24">
        <v>137</v>
      </c>
      <c r="H24">
        <v>202</v>
      </c>
      <c r="I24">
        <v>52</v>
      </c>
      <c r="J24">
        <v>235</v>
      </c>
      <c r="K24">
        <v>125</v>
      </c>
      <c r="L24">
        <v>318</v>
      </c>
      <c r="M24">
        <v>36</v>
      </c>
      <c r="N24">
        <v>111</v>
      </c>
      <c r="O24">
        <v>408</v>
      </c>
      <c r="P24">
        <v>167</v>
      </c>
      <c r="Q24">
        <v>737</v>
      </c>
      <c r="R24">
        <v>1354</v>
      </c>
      <c r="S24">
        <v>794</v>
      </c>
      <c r="T24">
        <v>341</v>
      </c>
      <c r="U24">
        <v>1475</v>
      </c>
      <c r="V24">
        <v>37</v>
      </c>
      <c r="W24">
        <v>37</v>
      </c>
      <c r="X24">
        <v>24</v>
      </c>
      <c r="Y24">
        <v>60</v>
      </c>
      <c r="Z24">
        <v>5</v>
      </c>
      <c r="AA24">
        <v>51</v>
      </c>
      <c r="AB24">
        <v>288</v>
      </c>
      <c r="AC24">
        <v>424</v>
      </c>
      <c r="AG24">
        <v>68</v>
      </c>
      <c r="AH24">
        <v>90</v>
      </c>
      <c r="AI24">
        <v>1111</v>
      </c>
      <c r="AL24">
        <v>265</v>
      </c>
      <c r="AR24">
        <v>483</v>
      </c>
      <c r="AS24">
        <v>278</v>
      </c>
      <c r="AV24">
        <v>26</v>
      </c>
    </row>
    <row r="25" spans="1:48" x14ac:dyDescent="0.25">
      <c r="A25" s="17">
        <v>43168</v>
      </c>
      <c r="B25">
        <v>132</v>
      </c>
      <c r="C25">
        <v>279</v>
      </c>
      <c r="D25">
        <v>334</v>
      </c>
      <c r="E25">
        <v>19</v>
      </c>
      <c r="F25">
        <v>362</v>
      </c>
      <c r="G25">
        <v>133</v>
      </c>
      <c r="H25">
        <v>195</v>
      </c>
      <c r="I25">
        <v>12</v>
      </c>
      <c r="J25">
        <v>230</v>
      </c>
      <c r="K25">
        <v>78</v>
      </c>
      <c r="L25">
        <v>269</v>
      </c>
      <c r="M25">
        <v>29</v>
      </c>
      <c r="N25">
        <v>66</v>
      </c>
      <c r="O25">
        <v>363</v>
      </c>
      <c r="P25">
        <v>146</v>
      </c>
      <c r="Q25">
        <v>645</v>
      </c>
      <c r="R25">
        <v>1354</v>
      </c>
      <c r="S25">
        <v>790</v>
      </c>
      <c r="T25">
        <v>332</v>
      </c>
      <c r="U25">
        <v>1421</v>
      </c>
      <c r="V25">
        <v>31</v>
      </c>
      <c r="W25">
        <v>31</v>
      </c>
      <c r="X25">
        <v>14</v>
      </c>
      <c r="Y25">
        <v>54</v>
      </c>
      <c r="Z25">
        <v>76</v>
      </c>
      <c r="AA25">
        <v>42</v>
      </c>
      <c r="AB25">
        <v>157</v>
      </c>
      <c r="AC25">
        <v>292</v>
      </c>
      <c r="AG25">
        <v>55</v>
      </c>
      <c r="AH25">
        <v>90</v>
      </c>
      <c r="AI25">
        <v>979</v>
      </c>
      <c r="AL25">
        <v>86</v>
      </c>
      <c r="AR25">
        <v>439</v>
      </c>
      <c r="AS25">
        <v>249</v>
      </c>
      <c r="AV25">
        <v>4</v>
      </c>
    </row>
    <row r="26" spans="1:48" x14ac:dyDescent="0.25">
      <c r="A26" s="17">
        <v>43171</v>
      </c>
      <c r="B26">
        <v>120</v>
      </c>
      <c r="C26">
        <v>299</v>
      </c>
      <c r="D26">
        <v>321</v>
      </c>
      <c r="E26">
        <v>73</v>
      </c>
      <c r="F26">
        <v>365</v>
      </c>
      <c r="G26">
        <v>175</v>
      </c>
      <c r="H26">
        <v>184</v>
      </c>
      <c r="I26">
        <v>303</v>
      </c>
      <c r="J26">
        <v>223</v>
      </c>
      <c r="K26">
        <v>306</v>
      </c>
      <c r="L26">
        <v>341</v>
      </c>
      <c r="M26">
        <v>23</v>
      </c>
      <c r="N26">
        <v>41</v>
      </c>
      <c r="O26">
        <v>343</v>
      </c>
      <c r="P26">
        <v>114</v>
      </c>
      <c r="Q26">
        <v>532</v>
      </c>
      <c r="R26">
        <v>1347</v>
      </c>
      <c r="S26">
        <v>779</v>
      </c>
      <c r="T26">
        <v>319</v>
      </c>
      <c r="U26">
        <v>1390</v>
      </c>
      <c r="V26">
        <v>22</v>
      </c>
      <c r="W26">
        <v>21</v>
      </c>
      <c r="X26">
        <v>95</v>
      </c>
      <c r="Y26">
        <v>45</v>
      </c>
      <c r="Z26">
        <v>67</v>
      </c>
      <c r="AA26">
        <v>33</v>
      </c>
      <c r="AB26">
        <v>841</v>
      </c>
      <c r="AC26">
        <v>913</v>
      </c>
      <c r="AG26">
        <v>87</v>
      </c>
      <c r="AH26">
        <v>90</v>
      </c>
      <c r="AI26">
        <v>615</v>
      </c>
      <c r="AL26">
        <v>264</v>
      </c>
      <c r="AR26">
        <v>388</v>
      </c>
      <c r="AS26">
        <v>215</v>
      </c>
      <c r="AV26">
        <v>94</v>
      </c>
    </row>
    <row r="27" spans="1:48" x14ac:dyDescent="0.25">
      <c r="A27" s="17">
        <v>43173</v>
      </c>
      <c r="B27">
        <v>111</v>
      </c>
      <c r="C27">
        <v>292</v>
      </c>
      <c r="D27">
        <v>313</v>
      </c>
      <c r="E27">
        <v>58</v>
      </c>
      <c r="F27">
        <v>356</v>
      </c>
      <c r="G27">
        <v>172</v>
      </c>
      <c r="H27">
        <v>176</v>
      </c>
      <c r="I27">
        <v>257</v>
      </c>
      <c r="J27">
        <v>219</v>
      </c>
      <c r="K27">
        <v>258</v>
      </c>
      <c r="L27">
        <v>290</v>
      </c>
      <c r="M27">
        <v>11</v>
      </c>
      <c r="N27">
        <v>293</v>
      </c>
      <c r="O27">
        <v>298</v>
      </c>
      <c r="P27">
        <v>92</v>
      </c>
      <c r="Q27">
        <v>441</v>
      </c>
      <c r="R27">
        <v>1342</v>
      </c>
      <c r="S27">
        <v>774</v>
      </c>
      <c r="T27">
        <v>311</v>
      </c>
      <c r="U27">
        <v>1347</v>
      </c>
      <c r="V27">
        <v>16</v>
      </c>
      <c r="W27">
        <v>15</v>
      </c>
      <c r="X27">
        <v>85</v>
      </c>
      <c r="Y27">
        <v>39</v>
      </c>
      <c r="Z27">
        <v>61</v>
      </c>
      <c r="AA27">
        <v>27</v>
      </c>
      <c r="AB27">
        <v>710</v>
      </c>
      <c r="AC27">
        <v>792</v>
      </c>
      <c r="AG27">
        <v>66</v>
      </c>
      <c r="AH27">
        <v>90</v>
      </c>
      <c r="AI27">
        <v>479</v>
      </c>
      <c r="AL27">
        <v>175</v>
      </c>
      <c r="AR27">
        <v>349</v>
      </c>
      <c r="AS27">
        <v>188</v>
      </c>
      <c r="AV27">
        <v>88</v>
      </c>
    </row>
    <row r="28" spans="1:48" x14ac:dyDescent="0.25">
      <c r="A28" s="17">
        <v>43175</v>
      </c>
      <c r="B28">
        <v>104</v>
      </c>
      <c r="C28">
        <v>285</v>
      </c>
      <c r="D28">
        <v>306</v>
      </c>
      <c r="E28">
        <v>43</v>
      </c>
      <c r="F28">
        <v>347</v>
      </c>
      <c r="G28">
        <v>168</v>
      </c>
      <c r="H28">
        <v>170</v>
      </c>
      <c r="I28">
        <v>221</v>
      </c>
      <c r="J28">
        <v>215</v>
      </c>
      <c r="K28">
        <v>221</v>
      </c>
      <c r="L28">
        <v>339</v>
      </c>
      <c r="M28">
        <v>282</v>
      </c>
      <c r="N28">
        <v>256</v>
      </c>
      <c r="O28">
        <v>436</v>
      </c>
      <c r="P28">
        <v>69</v>
      </c>
      <c r="Q28">
        <v>351</v>
      </c>
      <c r="R28">
        <v>1337</v>
      </c>
      <c r="S28">
        <v>834</v>
      </c>
      <c r="T28">
        <v>304</v>
      </c>
      <c r="U28">
        <v>1294</v>
      </c>
      <c r="V28">
        <v>10</v>
      </c>
      <c r="W28">
        <v>15</v>
      </c>
      <c r="X28">
        <v>75</v>
      </c>
      <c r="Y28">
        <v>33</v>
      </c>
      <c r="Z28">
        <v>55</v>
      </c>
      <c r="AA28">
        <v>21</v>
      </c>
      <c r="AB28">
        <v>577</v>
      </c>
      <c r="AC28">
        <v>667</v>
      </c>
      <c r="AG28">
        <v>89</v>
      </c>
      <c r="AH28">
        <v>90</v>
      </c>
      <c r="AI28">
        <v>1955</v>
      </c>
      <c r="AL28">
        <v>243</v>
      </c>
      <c r="AR28">
        <v>299</v>
      </c>
      <c r="AS28">
        <v>155</v>
      </c>
      <c r="AV28">
        <v>81</v>
      </c>
    </row>
    <row r="29" spans="1:48" x14ac:dyDescent="0.25">
      <c r="A29" s="17">
        <v>43178</v>
      </c>
      <c r="B29">
        <v>98</v>
      </c>
      <c r="C29">
        <v>295</v>
      </c>
      <c r="D29">
        <v>299</v>
      </c>
      <c r="E29">
        <v>20</v>
      </c>
      <c r="F29">
        <v>342</v>
      </c>
      <c r="G29">
        <v>162</v>
      </c>
      <c r="H29">
        <v>164</v>
      </c>
      <c r="I29">
        <v>200</v>
      </c>
      <c r="J29">
        <v>208</v>
      </c>
      <c r="K29">
        <v>199</v>
      </c>
      <c r="L29">
        <v>348</v>
      </c>
      <c r="M29">
        <v>272</v>
      </c>
      <c r="N29">
        <v>235</v>
      </c>
      <c r="O29">
        <v>419</v>
      </c>
      <c r="P29">
        <v>35</v>
      </c>
      <c r="Q29">
        <v>244</v>
      </c>
      <c r="R29">
        <v>1330</v>
      </c>
      <c r="S29">
        <v>826</v>
      </c>
      <c r="T29">
        <v>378</v>
      </c>
      <c r="U29">
        <v>1750</v>
      </c>
      <c r="V29">
        <v>91</v>
      </c>
      <c r="W29">
        <v>15</v>
      </c>
      <c r="X29">
        <v>60</v>
      </c>
      <c r="Y29">
        <v>20</v>
      </c>
      <c r="Z29">
        <v>45</v>
      </c>
      <c r="AA29">
        <v>12</v>
      </c>
      <c r="AB29">
        <v>376</v>
      </c>
      <c r="AC29">
        <v>479</v>
      </c>
      <c r="AG29">
        <v>62</v>
      </c>
      <c r="AH29">
        <v>90</v>
      </c>
      <c r="AI29">
        <v>1799</v>
      </c>
      <c r="AL29">
        <v>267</v>
      </c>
      <c r="AR29">
        <v>256</v>
      </c>
      <c r="AS29">
        <v>127</v>
      </c>
      <c r="AV29">
        <v>72</v>
      </c>
    </row>
    <row r="30" spans="1:48" x14ac:dyDescent="0.25">
      <c r="A30" s="17">
        <v>43180</v>
      </c>
      <c r="B30">
        <v>262</v>
      </c>
      <c r="C30">
        <v>281</v>
      </c>
      <c r="D30">
        <v>284</v>
      </c>
      <c r="E30">
        <v>71</v>
      </c>
      <c r="F30">
        <v>329</v>
      </c>
      <c r="G30">
        <v>152</v>
      </c>
      <c r="H30">
        <v>255</v>
      </c>
      <c r="I30">
        <v>141</v>
      </c>
      <c r="J30">
        <v>198</v>
      </c>
      <c r="K30">
        <v>136</v>
      </c>
      <c r="L30">
        <v>282</v>
      </c>
      <c r="M30">
        <v>260</v>
      </c>
      <c r="N30">
        <v>174</v>
      </c>
      <c r="O30">
        <v>344</v>
      </c>
      <c r="P30">
        <v>8</v>
      </c>
      <c r="Q30">
        <v>133</v>
      </c>
      <c r="R30">
        <v>1321</v>
      </c>
      <c r="S30">
        <v>818</v>
      </c>
      <c r="T30">
        <v>362</v>
      </c>
      <c r="U30">
        <v>1690</v>
      </c>
      <c r="V30">
        <v>84</v>
      </c>
      <c r="W30">
        <v>0</v>
      </c>
      <c r="X30">
        <v>50</v>
      </c>
      <c r="Y30">
        <v>79</v>
      </c>
      <c r="Z30">
        <v>39</v>
      </c>
      <c r="AA30">
        <v>97</v>
      </c>
      <c r="AB30">
        <v>229</v>
      </c>
      <c r="AC30">
        <v>347</v>
      </c>
      <c r="AG30">
        <v>78</v>
      </c>
      <c r="AH30">
        <v>90</v>
      </c>
      <c r="AI30">
        <v>1645</v>
      </c>
      <c r="AL30">
        <v>268</v>
      </c>
      <c r="AR30">
        <v>196</v>
      </c>
      <c r="AS30">
        <v>482</v>
      </c>
      <c r="AV30">
        <v>61</v>
      </c>
    </row>
    <row r="31" spans="1:48" x14ac:dyDescent="0.25">
      <c r="A31" s="17">
        <v>43182</v>
      </c>
      <c r="B31">
        <v>251</v>
      </c>
      <c r="C31">
        <v>272</v>
      </c>
      <c r="D31">
        <v>374</v>
      </c>
      <c r="E31">
        <v>56</v>
      </c>
      <c r="F31">
        <v>319</v>
      </c>
      <c r="G31">
        <v>149</v>
      </c>
      <c r="H31">
        <v>247</v>
      </c>
      <c r="I31">
        <v>83</v>
      </c>
      <c r="J31">
        <v>234</v>
      </c>
      <c r="K31">
        <v>74</v>
      </c>
      <c r="L31">
        <v>360</v>
      </c>
      <c r="M31">
        <v>256</v>
      </c>
      <c r="N31">
        <v>113</v>
      </c>
      <c r="O31">
        <v>274</v>
      </c>
      <c r="P31">
        <v>183</v>
      </c>
      <c r="Q31">
        <v>1120</v>
      </c>
      <c r="R31">
        <v>1314</v>
      </c>
      <c r="S31">
        <v>807</v>
      </c>
      <c r="T31">
        <v>352</v>
      </c>
      <c r="U31">
        <v>1634</v>
      </c>
      <c r="V31">
        <v>77</v>
      </c>
      <c r="W31">
        <v>72</v>
      </c>
      <c r="X31">
        <v>40</v>
      </c>
      <c r="Y31">
        <v>72</v>
      </c>
      <c r="Z31">
        <v>28</v>
      </c>
      <c r="AA31">
        <v>91</v>
      </c>
      <c r="AB31">
        <v>827</v>
      </c>
      <c r="AC31">
        <v>907</v>
      </c>
      <c r="AG31">
        <v>58</v>
      </c>
      <c r="AH31">
        <v>90</v>
      </c>
      <c r="AI31">
        <v>1471</v>
      </c>
      <c r="AL31">
        <v>235</v>
      </c>
      <c r="AR31">
        <v>130</v>
      </c>
      <c r="AS31">
        <v>438</v>
      </c>
      <c r="AV31">
        <v>55</v>
      </c>
    </row>
    <row r="32" spans="1:48" x14ac:dyDescent="0.25">
      <c r="A32" s="17">
        <v>43185</v>
      </c>
      <c r="B32">
        <v>245</v>
      </c>
      <c r="C32">
        <v>300</v>
      </c>
      <c r="D32">
        <v>369</v>
      </c>
      <c r="E32">
        <v>33</v>
      </c>
      <c r="F32">
        <v>311</v>
      </c>
      <c r="G32">
        <v>133</v>
      </c>
      <c r="H32">
        <v>241</v>
      </c>
      <c r="I32">
        <v>286</v>
      </c>
      <c r="J32">
        <v>217</v>
      </c>
      <c r="K32">
        <v>293</v>
      </c>
      <c r="L32">
        <v>322</v>
      </c>
      <c r="M32">
        <v>244</v>
      </c>
      <c r="N32">
        <v>83</v>
      </c>
      <c r="O32">
        <v>432</v>
      </c>
      <c r="P32">
        <v>142</v>
      </c>
      <c r="Q32">
        <v>1021</v>
      </c>
      <c r="R32">
        <v>1312</v>
      </c>
      <c r="S32">
        <v>798</v>
      </c>
      <c r="T32">
        <v>346</v>
      </c>
      <c r="U32">
        <v>1594</v>
      </c>
      <c r="V32">
        <v>59</v>
      </c>
      <c r="W32">
        <v>32</v>
      </c>
      <c r="X32">
        <v>25</v>
      </c>
      <c r="Y32">
        <v>63</v>
      </c>
      <c r="Z32">
        <v>79</v>
      </c>
      <c r="AA32">
        <v>82</v>
      </c>
      <c r="AB32">
        <v>555</v>
      </c>
      <c r="AC32">
        <v>683</v>
      </c>
      <c r="AG32">
        <v>90</v>
      </c>
      <c r="AH32">
        <v>90</v>
      </c>
      <c r="AI32">
        <v>1319</v>
      </c>
      <c r="AL32">
        <v>278</v>
      </c>
      <c r="AR32">
        <v>481</v>
      </c>
      <c r="AS32">
        <v>403</v>
      </c>
      <c r="AV32">
        <v>46</v>
      </c>
    </row>
    <row r="33" spans="1:48" x14ac:dyDescent="0.25">
      <c r="A33" s="17">
        <v>43187</v>
      </c>
      <c r="B33">
        <v>237</v>
      </c>
      <c r="C33">
        <v>292</v>
      </c>
      <c r="D33">
        <v>359</v>
      </c>
      <c r="E33">
        <v>17</v>
      </c>
      <c r="F33">
        <v>302</v>
      </c>
      <c r="G33">
        <v>129</v>
      </c>
      <c r="H33">
        <v>233</v>
      </c>
      <c r="I33">
        <v>240</v>
      </c>
      <c r="J33">
        <v>212</v>
      </c>
      <c r="K33">
        <v>248</v>
      </c>
      <c r="L33">
        <v>329</v>
      </c>
      <c r="M33">
        <v>231</v>
      </c>
      <c r="N33">
        <v>38</v>
      </c>
      <c r="O33">
        <v>387</v>
      </c>
      <c r="P33">
        <v>120</v>
      </c>
      <c r="Q33">
        <v>926</v>
      </c>
      <c r="R33">
        <v>1312</v>
      </c>
      <c r="S33">
        <v>794</v>
      </c>
      <c r="T33">
        <v>337</v>
      </c>
      <c r="U33">
        <v>1548</v>
      </c>
      <c r="V33">
        <v>33</v>
      </c>
      <c r="W33">
        <v>26</v>
      </c>
      <c r="X33">
        <v>14</v>
      </c>
      <c r="Y33">
        <v>57</v>
      </c>
      <c r="Z33">
        <v>73</v>
      </c>
      <c r="AA33">
        <v>76</v>
      </c>
      <c r="AB33">
        <v>413</v>
      </c>
      <c r="AC33">
        <v>555</v>
      </c>
      <c r="AG33">
        <v>72</v>
      </c>
      <c r="AH33">
        <v>90</v>
      </c>
      <c r="AI33">
        <v>1180</v>
      </c>
      <c r="AL33">
        <v>120</v>
      </c>
      <c r="AR33">
        <v>432</v>
      </c>
      <c r="AS33">
        <v>371</v>
      </c>
      <c r="AV33">
        <v>40</v>
      </c>
    </row>
    <row r="34" spans="1:48" x14ac:dyDescent="0.25">
      <c r="A34" s="17">
        <v>43188</v>
      </c>
      <c r="B34">
        <v>229</v>
      </c>
      <c r="C34">
        <v>285</v>
      </c>
      <c r="D34">
        <v>352</v>
      </c>
      <c r="E34">
        <v>10</v>
      </c>
      <c r="F34">
        <v>296</v>
      </c>
      <c r="G34">
        <v>128</v>
      </c>
      <c r="H34">
        <v>227</v>
      </c>
      <c r="I34">
        <v>209</v>
      </c>
      <c r="J34">
        <v>210</v>
      </c>
      <c r="K34">
        <v>216</v>
      </c>
      <c r="L34">
        <v>296</v>
      </c>
      <c r="M34">
        <v>225</v>
      </c>
      <c r="N34">
        <v>10</v>
      </c>
      <c r="O34">
        <v>356</v>
      </c>
      <c r="P34">
        <v>108</v>
      </c>
      <c r="Q34">
        <v>876</v>
      </c>
      <c r="R34">
        <v>1307</v>
      </c>
      <c r="S34">
        <v>791</v>
      </c>
      <c r="T34">
        <v>329</v>
      </c>
      <c r="U34">
        <v>1515</v>
      </c>
      <c r="V34">
        <v>25</v>
      </c>
      <c r="W34">
        <v>23</v>
      </c>
      <c r="X34">
        <v>9</v>
      </c>
      <c r="Y34">
        <v>54</v>
      </c>
      <c r="Z34">
        <v>70</v>
      </c>
      <c r="AA34">
        <v>72</v>
      </c>
      <c r="AB34">
        <v>341</v>
      </c>
      <c r="AC34">
        <v>489</v>
      </c>
      <c r="AG34">
        <v>62</v>
      </c>
      <c r="AH34">
        <v>90</v>
      </c>
      <c r="AI34">
        <v>1102</v>
      </c>
      <c r="AL34">
        <v>199</v>
      </c>
      <c r="AR34">
        <v>407</v>
      </c>
      <c r="AS34">
        <v>354</v>
      </c>
      <c r="AV34">
        <v>36</v>
      </c>
    </row>
    <row r="35" spans="1:48" x14ac:dyDescent="0.25">
      <c r="A35" s="17">
        <v>43192</v>
      </c>
      <c r="B35">
        <v>214</v>
      </c>
      <c r="C35">
        <v>298</v>
      </c>
      <c r="D35">
        <v>337</v>
      </c>
      <c r="E35">
        <v>48</v>
      </c>
      <c r="F35">
        <v>281</v>
      </c>
      <c r="G35">
        <v>117</v>
      </c>
      <c r="H35">
        <v>203</v>
      </c>
      <c r="I35">
        <v>156</v>
      </c>
      <c r="J35">
        <v>200</v>
      </c>
      <c r="K35">
        <v>148</v>
      </c>
      <c r="L35">
        <v>351</v>
      </c>
      <c r="M35">
        <v>199</v>
      </c>
      <c r="N35">
        <v>254</v>
      </c>
      <c r="O35">
        <v>306</v>
      </c>
      <c r="P35">
        <v>60</v>
      </c>
      <c r="Q35">
        <v>731</v>
      </c>
      <c r="R35">
        <v>1295</v>
      </c>
      <c r="S35">
        <v>791</v>
      </c>
      <c r="T35">
        <v>313</v>
      </c>
      <c r="U35">
        <v>1451</v>
      </c>
      <c r="V35">
        <v>12</v>
      </c>
      <c r="W35">
        <v>11</v>
      </c>
      <c r="X35">
        <v>83</v>
      </c>
      <c r="Y35">
        <v>42</v>
      </c>
      <c r="Z35">
        <v>58</v>
      </c>
      <c r="AA35">
        <v>60</v>
      </c>
      <c r="AB35">
        <v>856</v>
      </c>
      <c r="AC35">
        <v>242</v>
      </c>
      <c r="AG35">
        <v>68</v>
      </c>
      <c r="AH35">
        <v>90</v>
      </c>
      <c r="AI35">
        <v>891</v>
      </c>
      <c r="AL35">
        <v>320</v>
      </c>
      <c r="AR35">
        <v>335</v>
      </c>
      <c r="AS35">
        <v>306</v>
      </c>
      <c r="AV35">
        <v>23</v>
      </c>
    </row>
    <row r="36" spans="1:48" x14ac:dyDescent="0.25">
      <c r="A36" s="17">
        <v>43194</v>
      </c>
      <c r="B36">
        <v>203</v>
      </c>
      <c r="C36">
        <v>288</v>
      </c>
      <c r="D36">
        <v>326</v>
      </c>
      <c r="E36">
        <v>33</v>
      </c>
      <c r="F36">
        <v>269</v>
      </c>
      <c r="G36">
        <v>113</v>
      </c>
      <c r="H36">
        <v>194</v>
      </c>
      <c r="I36">
        <v>104</v>
      </c>
      <c r="J36">
        <v>197</v>
      </c>
      <c r="K36">
        <v>97</v>
      </c>
      <c r="L36">
        <v>294</v>
      </c>
      <c r="M36">
        <v>185</v>
      </c>
      <c r="N36">
        <v>203</v>
      </c>
      <c r="O36">
        <v>255</v>
      </c>
      <c r="P36">
        <v>36</v>
      </c>
      <c r="Q36">
        <v>616</v>
      </c>
      <c r="R36">
        <v>1293</v>
      </c>
      <c r="S36">
        <v>764</v>
      </c>
      <c r="T36">
        <v>302</v>
      </c>
      <c r="U36">
        <v>1393</v>
      </c>
      <c r="V36">
        <v>97</v>
      </c>
      <c r="W36">
        <v>97</v>
      </c>
      <c r="X36">
        <v>72</v>
      </c>
      <c r="Y36">
        <v>35</v>
      </c>
      <c r="Z36">
        <v>51</v>
      </c>
      <c r="AA36">
        <v>54</v>
      </c>
      <c r="AB36">
        <v>718</v>
      </c>
      <c r="AC36">
        <v>927</v>
      </c>
      <c r="AG36">
        <v>45</v>
      </c>
      <c r="AH36">
        <v>90</v>
      </c>
      <c r="AI36">
        <v>727</v>
      </c>
      <c r="AL36">
        <v>239</v>
      </c>
      <c r="AR36">
        <v>283</v>
      </c>
      <c r="AS36">
        <v>271</v>
      </c>
      <c r="AV36">
        <v>16</v>
      </c>
    </row>
    <row r="37" spans="1:48" x14ac:dyDescent="0.25">
      <c r="A37" s="17">
        <v>43196</v>
      </c>
      <c r="B37">
        <v>195</v>
      </c>
      <c r="C37">
        <v>279</v>
      </c>
      <c r="D37">
        <v>317</v>
      </c>
      <c r="E37">
        <v>18</v>
      </c>
      <c r="F37">
        <v>259</v>
      </c>
      <c r="G37">
        <v>191</v>
      </c>
      <c r="H37">
        <v>186</v>
      </c>
      <c r="I37">
        <v>56</v>
      </c>
      <c r="J37">
        <v>193</v>
      </c>
      <c r="K37">
        <v>47</v>
      </c>
      <c r="L37">
        <v>363</v>
      </c>
      <c r="M37">
        <v>177</v>
      </c>
      <c r="N37">
        <v>149</v>
      </c>
      <c r="O37">
        <v>418</v>
      </c>
      <c r="P37">
        <v>14</v>
      </c>
      <c r="Q37">
        <v>513</v>
      </c>
      <c r="R37">
        <v>1288</v>
      </c>
      <c r="S37">
        <v>799</v>
      </c>
      <c r="T37">
        <v>293</v>
      </c>
      <c r="U37">
        <v>1340</v>
      </c>
      <c r="V37">
        <v>91</v>
      </c>
      <c r="W37">
        <v>91</v>
      </c>
      <c r="X37">
        <v>62</v>
      </c>
      <c r="Y37">
        <v>29</v>
      </c>
      <c r="Z37">
        <v>45</v>
      </c>
      <c r="AA37">
        <v>48</v>
      </c>
      <c r="AB37">
        <v>585</v>
      </c>
      <c r="AC37">
        <v>803</v>
      </c>
      <c r="AG37">
        <v>61</v>
      </c>
      <c r="AH37">
        <v>90</v>
      </c>
      <c r="AI37">
        <v>1950</v>
      </c>
      <c r="AL37">
        <v>240</v>
      </c>
      <c r="AR37">
        <v>231</v>
      </c>
      <c r="AS37">
        <v>237</v>
      </c>
      <c r="AV37">
        <v>9</v>
      </c>
    </row>
    <row r="38" spans="1:48" x14ac:dyDescent="0.25">
      <c r="A38" s="17">
        <v>43199</v>
      </c>
      <c r="B38">
        <v>187</v>
      </c>
      <c r="C38">
        <v>304</v>
      </c>
      <c r="D38">
        <v>310</v>
      </c>
      <c r="E38">
        <v>74</v>
      </c>
      <c r="F38">
        <v>253</v>
      </c>
      <c r="G38">
        <v>186</v>
      </c>
      <c r="H38">
        <v>179</v>
      </c>
      <c r="I38">
        <v>312</v>
      </c>
      <c r="J38">
        <v>187</v>
      </c>
      <c r="K38">
        <v>307</v>
      </c>
      <c r="L38">
        <v>334</v>
      </c>
      <c r="M38">
        <v>162</v>
      </c>
      <c r="N38">
        <v>127</v>
      </c>
      <c r="O38">
        <v>401</v>
      </c>
      <c r="P38">
        <v>157</v>
      </c>
      <c r="Q38">
        <v>410</v>
      </c>
      <c r="R38">
        <v>1281</v>
      </c>
      <c r="S38">
        <v>410</v>
      </c>
      <c r="T38">
        <v>389</v>
      </c>
      <c r="U38">
        <v>1300</v>
      </c>
      <c r="V38">
        <v>54</v>
      </c>
      <c r="W38">
        <v>82</v>
      </c>
      <c r="X38">
        <v>47</v>
      </c>
      <c r="Y38">
        <v>93</v>
      </c>
      <c r="Z38">
        <v>36</v>
      </c>
      <c r="AA38">
        <v>39</v>
      </c>
      <c r="AB38">
        <v>367</v>
      </c>
      <c r="AC38">
        <v>607</v>
      </c>
      <c r="AG38">
        <v>35</v>
      </c>
      <c r="AH38">
        <v>90</v>
      </c>
      <c r="AI38">
        <v>1799</v>
      </c>
      <c r="AL38">
        <v>243</v>
      </c>
      <c r="AR38">
        <v>186</v>
      </c>
      <c r="AS38">
        <v>207</v>
      </c>
      <c r="AV38">
        <v>97</v>
      </c>
    </row>
    <row r="39" spans="1:48" x14ac:dyDescent="0.25">
      <c r="A39" s="17">
        <v>43201</v>
      </c>
      <c r="B39">
        <v>179</v>
      </c>
      <c r="C39">
        <v>293</v>
      </c>
      <c r="D39">
        <v>302</v>
      </c>
      <c r="E39">
        <v>59</v>
      </c>
      <c r="F39">
        <v>373</v>
      </c>
      <c r="G39">
        <v>182</v>
      </c>
      <c r="H39">
        <v>256</v>
      </c>
      <c r="I39">
        <v>256</v>
      </c>
      <c r="J39">
        <v>184</v>
      </c>
      <c r="K39">
        <v>251</v>
      </c>
      <c r="L39">
        <v>352</v>
      </c>
      <c r="M39">
        <v>152</v>
      </c>
      <c r="N39">
        <v>70</v>
      </c>
      <c r="O39">
        <v>346</v>
      </c>
      <c r="P39">
        <v>137</v>
      </c>
      <c r="Q39">
        <v>312</v>
      </c>
      <c r="R39">
        <v>1274</v>
      </c>
      <c r="S39">
        <v>780</v>
      </c>
      <c r="T39">
        <v>370</v>
      </c>
      <c r="U39">
        <v>1236</v>
      </c>
      <c r="V39">
        <v>48</v>
      </c>
      <c r="W39">
        <v>76</v>
      </c>
      <c r="X39">
        <v>37</v>
      </c>
      <c r="Y39">
        <v>87</v>
      </c>
      <c r="Z39">
        <v>30</v>
      </c>
      <c r="AA39">
        <v>33</v>
      </c>
      <c r="AB39">
        <v>234</v>
      </c>
      <c r="AC39">
        <v>483</v>
      </c>
      <c r="AG39">
        <v>17</v>
      </c>
      <c r="AH39">
        <v>90</v>
      </c>
      <c r="AI39">
        <v>1655</v>
      </c>
      <c r="AL39">
        <v>315</v>
      </c>
      <c r="AR39">
        <v>138</v>
      </c>
      <c r="AS39">
        <v>175</v>
      </c>
      <c r="AV39">
        <v>90</v>
      </c>
    </row>
    <row r="40" spans="1:48" x14ac:dyDescent="0.25">
      <c r="A40" s="17">
        <v>43202</v>
      </c>
      <c r="B40">
        <v>176</v>
      </c>
      <c r="C40">
        <v>291</v>
      </c>
      <c r="D40">
        <v>299</v>
      </c>
      <c r="E40">
        <v>51</v>
      </c>
      <c r="F40">
        <v>371</v>
      </c>
      <c r="G40">
        <v>181</v>
      </c>
      <c r="H40">
        <v>242</v>
      </c>
      <c r="I40">
        <v>231</v>
      </c>
      <c r="J40">
        <v>182</v>
      </c>
      <c r="K40">
        <v>225</v>
      </c>
      <c r="L40">
        <v>326</v>
      </c>
      <c r="M40">
        <v>148</v>
      </c>
      <c r="N40">
        <v>46</v>
      </c>
      <c r="O40">
        <v>324</v>
      </c>
      <c r="P40">
        <v>127</v>
      </c>
      <c r="Q40">
        <v>261</v>
      </c>
      <c r="R40">
        <v>1272</v>
      </c>
      <c r="S40">
        <v>779</v>
      </c>
      <c r="T40">
        <v>366</v>
      </c>
      <c r="U40">
        <v>1687</v>
      </c>
      <c r="V40">
        <v>45</v>
      </c>
      <c r="W40">
        <v>73</v>
      </c>
      <c r="X40">
        <v>32</v>
      </c>
      <c r="Y40">
        <v>84</v>
      </c>
      <c r="Z40">
        <v>27</v>
      </c>
      <c r="AA40">
        <v>30</v>
      </c>
      <c r="AB40">
        <v>169</v>
      </c>
      <c r="AC40">
        <v>423</v>
      </c>
      <c r="AG40">
        <v>76</v>
      </c>
      <c r="AH40">
        <v>90</v>
      </c>
      <c r="AI40">
        <v>1584</v>
      </c>
      <c r="AL40">
        <v>279</v>
      </c>
      <c r="AR40">
        <v>115</v>
      </c>
      <c r="AS40">
        <v>159</v>
      </c>
      <c r="AV40">
        <v>87</v>
      </c>
    </row>
    <row r="41" spans="1:48" x14ac:dyDescent="0.25">
      <c r="A41" s="17">
        <v>43206</v>
      </c>
      <c r="B41">
        <v>157</v>
      </c>
      <c r="C41">
        <v>305</v>
      </c>
      <c r="D41">
        <v>281</v>
      </c>
      <c r="E41">
        <v>16</v>
      </c>
      <c r="F41">
        <v>352</v>
      </c>
      <c r="G41">
        <v>170</v>
      </c>
      <c r="H41">
        <v>227</v>
      </c>
      <c r="I41">
        <v>167</v>
      </c>
      <c r="J41">
        <v>174</v>
      </c>
      <c r="K41">
        <v>152</v>
      </c>
      <c r="L41">
        <v>351</v>
      </c>
      <c r="M41">
        <v>117</v>
      </c>
      <c r="N41">
        <v>285</v>
      </c>
      <c r="O41">
        <v>265</v>
      </c>
      <c r="P41">
        <v>85</v>
      </c>
      <c r="Q41">
        <v>91</v>
      </c>
      <c r="R41">
        <v>1258</v>
      </c>
      <c r="S41">
        <v>767</v>
      </c>
      <c r="T41">
        <v>347</v>
      </c>
      <c r="U41">
        <v>1618</v>
      </c>
      <c r="V41">
        <v>33</v>
      </c>
      <c r="W41">
        <v>60</v>
      </c>
      <c r="X41">
        <v>11</v>
      </c>
      <c r="Y41">
        <v>71</v>
      </c>
      <c r="Z41">
        <v>12</v>
      </c>
      <c r="AA41">
        <v>17</v>
      </c>
      <c r="AB41">
        <v>690</v>
      </c>
      <c r="AC41">
        <v>164</v>
      </c>
      <c r="AG41">
        <v>35</v>
      </c>
      <c r="AH41">
        <v>90</v>
      </c>
      <c r="AI41">
        <v>1337</v>
      </c>
      <c r="AL41">
        <v>182</v>
      </c>
      <c r="AR41">
        <v>430</v>
      </c>
      <c r="AS41">
        <v>106</v>
      </c>
      <c r="AV41">
        <v>74</v>
      </c>
    </row>
    <row r="42" spans="1:48" x14ac:dyDescent="0.25">
      <c r="A42" s="17">
        <v>43208</v>
      </c>
      <c r="B42">
        <v>140</v>
      </c>
      <c r="C42">
        <v>295</v>
      </c>
      <c r="D42">
        <v>380</v>
      </c>
      <c r="E42">
        <v>75</v>
      </c>
      <c r="F42">
        <v>341</v>
      </c>
      <c r="G42">
        <v>158</v>
      </c>
      <c r="H42">
        <v>211</v>
      </c>
      <c r="I42">
        <v>111</v>
      </c>
      <c r="J42">
        <v>168</v>
      </c>
      <c r="K42">
        <v>94</v>
      </c>
      <c r="L42">
        <v>353</v>
      </c>
      <c r="M42">
        <v>92</v>
      </c>
      <c r="N42">
        <v>227</v>
      </c>
      <c r="O42">
        <v>441</v>
      </c>
      <c r="P42">
        <v>65</v>
      </c>
      <c r="Q42">
        <v>1115</v>
      </c>
      <c r="R42">
        <v>1244</v>
      </c>
      <c r="S42">
        <v>757</v>
      </c>
      <c r="T42">
        <v>330</v>
      </c>
      <c r="U42">
        <v>1562</v>
      </c>
      <c r="V42">
        <v>27</v>
      </c>
      <c r="W42">
        <v>54</v>
      </c>
      <c r="X42">
        <v>95</v>
      </c>
      <c r="Y42">
        <v>65</v>
      </c>
      <c r="Z42">
        <v>6</v>
      </c>
      <c r="AA42">
        <v>11</v>
      </c>
      <c r="AB42">
        <v>560</v>
      </c>
      <c r="AC42">
        <v>882</v>
      </c>
      <c r="AG42">
        <v>88</v>
      </c>
      <c r="AH42">
        <v>90</v>
      </c>
      <c r="AI42">
        <v>1169</v>
      </c>
      <c r="AL42">
        <v>112</v>
      </c>
      <c r="AR42">
        <v>375</v>
      </c>
      <c r="AS42">
        <v>467</v>
      </c>
      <c r="AV42">
        <v>68</v>
      </c>
    </row>
    <row r="43" spans="1:48" x14ac:dyDescent="0.25">
      <c r="A43" s="17">
        <v>43209</v>
      </c>
      <c r="B43">
        <v>136</v>
      </c>
      <c r="C43">
        <v>291</v>
      </c>
      <c r="D43">
        <v>376</v>
      </c>
      <c r="E43">
        <v>67</v>
      </c>
      <c r="F43">
        <v>336</v>
      </c>
      <c r="G43">
        <v>157</v>
      </c>
      <c r="H43">
        <v>207</v>
      </c>
      <c r="I43">
        <v>86</v>
      </c>
      <c r="J43">
        <v>166</v>
      </c>
      <c r="K43">
        <v>68</v>
      </c>
      <c r="L43">
        <v>325</v>
      </c>
      <c r="M43">
        <v>85</v>
      </c>
      <c r="N43">
        <v>202</v>
      </c>
      <c r="O43">
        <v>417</v>
      </c>
      <c r="P43">
        <v>55</v>
      </c>
      <c r="Q43">
        <v>1068</v>
      </c>
      <c r="R43">
        <v>1241</v>
      </c>
      <c r="S43">
        <v>754</v>
      </c>
      <c r="T43">
        <v>325</v>
      </c>
      <c r="U43">
        <v>1541</v>
      </c>
      <c r="V43">
        <v>23</v>
      </c>
      <c r="W43">
        <v>51</v>
      </c>
      <c r="X43">
        <v>90</v>
      </c>
      <c r="Y43">
        <v>62</v>
      </c>
      <c r="Z43">
        <v>3</v>
      </c>
      <c r="AA43">
        <v>8</v>
      </c>
      <c r="AB43">
        <v>489</v>
      </c>
      <c r="AC43">
        <v>817</v>
      </c>
      <c r="AG43">
        <v>77</v>
      </c>
      <c r="AH43">
        <v>90</v>
      </c>
      <c r="AI43">
        <v>1097</v>
      </c>
      <c r="AL43">
        <v>152</v>
      </c>
      <c r="AR43">
        <v>350</v>
      </c>
      <c r="AS43">
        <v>451</v>
      </c>
      <c r="AV43">
        <v>63</v>
      </c>
    </row>
    <row r="44" spans="1:48" x14ac:dyDescent="0.25">
      <c r="A44" s="17">
        <v>43213</v>
      </c>
      <c r="B44">
        <v>116</v>
      </c>
      <c r="C44">
        <v>274</v>
      </c>
      <c r="D44">
        <v>359</v>
      </c>
      <c r="E44">
        <v>36</v>
      </c>
      <c r="F44">
        <v>320</v>
      </c>
      <c r="G44">
        <v>149</v>
      </c>
      <c r="H44">
        <v>191</v>
      </c>
      <c r="I44">
        <v>310</v>
      </c>
      <c r="J44">
        <v>240</v>
      </c>
      <c r="K44">
        <v>297</v>
      </c>
      <c r="L44">
        <v>342</v>
      </c>
      <c r="M44">
        <v>69</v>
      </c>
      <c r="N44">
        <v>130</v>
      </c>
      <c r="O44">
        <v>350</v>
      </c>
      <c r="P44">
        <v>13</v>
      </c>
      <c r="Q44">
        <v>911</v>
      </c>
      <c r="R44">
        <v>1230</v>
      </c>
      <c r="S44">
        <v>825</v>
      </c>
      <c r="T44">
        <v>307</v>
      </c>
      <c r="U44">
        <v>1641</v>
      </c>
      <c r="V44">
        <v>80</v>
      </c>
      <c r="W44">
        <v>39</v>
      </c>
      <c r="X44">
        <v>70</v>
      </c>
      <c r="Y44">
        <v>49</v>
      </c>
      <c r="Z44">
        <v>60</v>
      </c>
      <c r="AA44">
        <v>85</v>
      </c>
      <c r="AB44">
        <v>187</v>
      </c>
      <c r="AC44">
        <v>539</v>
      </c>
      <c r="AG44">
        <v>70</v>
      </c>
      <c r="AH44">
        <v>90</v>
      </c>
      <c r="AI44">
        <v>858</v>
      </c>
      <c r="AL44">
        <v>170</v>
      </c>
      <c r="AR44">
        <v>256</v>
      </c>
      <c r="AS44">
        <v>388</v>
      </c>
      <c r="AV44">
        <v>50</v>
      </c>
    </row>
    <row r="45" spans="1:48" x14ac:dyDescent="0.25">
      <c r="A45" s="17">
        <v>43215</v>
      </c>
      <c r="B45">
        <v>107</v>
      </c>
      <c r="C45">
        <v>301</v>
      </c>
      <c r="D45">
        <v>349</v>
      </c>
      <c r="E45">
        <v>21</v>
      </c>
      <c r="F45">
        <v>310</v>
      </c>
      <c r="G45">
        <v>143</v>
      </c>
      <c r="H45">
        <v>183</v>
      </c>
      <c r="I45">
        <v>259</v>
      </c>
      <c r="J45">
        <v>234</v>
      </c>
      <c r="K45">
        <v>245</v>
      </c>
      <c r="L45">
        <v>329</v>
      </c>
      <c r="M45">
        <v>59</v>
      </c>
      <c r="N45">
        <v>79</v>
      </c>
      <c r="O45">
        <v>300</v>
      </c>
      <c r="P45">
        <v>169</v>
      </c>
      <c r="Q45">
        <v>814</v>
      </c>
      <c r="R45">
        <v>1227</v>
      </c>
      <c r="S45">
        <v>813</v>
      </c>
      <c r="T45">
        <v>297</v>
      </c>
      <c r="U45">
        <v>1587</v>
      </c>
      <c r="V45">
        <v>74</v>
      </c>
      <c r="W45">
        <v>33</v>
      </c>
      <c r="X45">
        <v>60</v>
      </c>
      <c r="Y45">
        <v>43</v>
      </c>
      <c r="Z45">
        <v>54</v>
      </c>
      <c r="AA45">
        <v>78</v>
      </c>
      <c r="AB45">
        <v>938</v>
      </c>
      <c r="AC45">
        <v>430</v>
      </c>
      <c r="AG45">
        <v>51</v>
      </c>
      <c r="AH45">
        <v>90</v>
      </c>
      <c r="AI45">
        <v>481</v>
      </c>
      <c r="AL45">
        <v>258</v>
      </c>
      <c r="AR45">
        <v>205</v>
      </c>
      <c r="AS45">
        <v>354</v>
      </c>
      <c r="AV45">
        <v>44</v>
      </c>
    </row>
    <row r="46" spans="1:48" x14ac:dyDescent="0.25">
      <c r="A46" s="17">
        <v>43217</v>
      </c>
      <c r="B46">
        <v>62</v>
      </c>
      <c r="C46">
        <v>259</v>
      </c>
      <c r="D46">
        <v>305</v>
      </c>
      <c r="E46">
        <v>74</v>
      </c>
      <c r="F46">
        <v>263</v>
      </c>
      <c r="G46">
        <v>108</v>
      </c>
      <c r="H46">
        <v>142</v>
      </c>
      <c r="I46">
        <v>172</v>
      </c>
      <c r="J46">
        <v>199</v>
      </c>
      <c r="K46">
        <v>153</v>
      </c>
      <c r="L46">
        <v>233</v>
      </c>
      <c r="M46">
        <v>50</v>
      </c>
      <c r="N46">
        <v>283</v>
      </c>
      <c r="O46">
        <v>431</v>
      </c>
      <c r="P46">
        <v>119</v>
      </c>
      <c r="Q46">
        <v>678</v>
      </c>
      <c r="R46">
        <v>1190</v>
      </c>
      <c r="S46">
        <v>815</v>
      </c>
      <c r="T46">
        <v>251</v>
      </c>
      <c r="U46">
        <v>1494</v>
      </c>
      <c r="V46">
        <v>67</v>
      </c>
      <c r="W46">
        <v>27</v>
      </c>
      <c r="X46">
        <v>50</v>
      </c>
      <c r="Y46">
        <v>37</v>
      </c>
      <c r="Z46">
        <v>48</v>
      </c>
      <c r="AA46">
        <v>72</v>
      </c>
      <c r="AB46">
        <v>804</v>
      </c>
      <c r="AC46">
        <v>291</v>
      </c>
      <c r="AG46">
        <v>41</v>
      </c>
      <c r="AH46">
        <v>90</v>
      </c>
      <c r="AI46">
        <v>1946</v>
      </c>
      <c r="AL46">
        <v>131</v>
      </c>
      <c r="AR46">
        <v>136</v>
      </c>
      <c r="AS46">
        <v>308</v>
      </c>
      <c r="AV46">
        <v>37</v>
      </c>
    </row>
    <row r="47" spans="1:48" x14ac:dyDescent="0.25">
      <c r="A47" s="17">
        <v>43220</v>
      </c>
      <c r="B47">
        <v>48</v>
      </c>
      <c r="C47">
        <v>246</v>
      </c>
      <c r="D47">
        <v>291</v>
      </c>
      <c r="E47">
        <v>49</v>
      </c>
      <c r="F47">
        <v>249</v>
      </c>
      <c r="G47">
        <v>96</v>
      </c>
      <c r="H47">
        <v>130</v>
      </c>
      <c r="I47">
        <v>145</v>
      </c>
      <c r="J47">
        <v>187</v>
      </c>
      <c r="K47">
        <v>122</v>
      </c>
      <c r="L47">
        <v>351</v>
      </c>
      <c r="M47">
        <v>36</v>
      </c>
      <c r="N47">
        <v>256</v>
      </c>
      <c r="O47">
        <v>418</v>
      </c>
      <c r="P47">
        <v>83</v>
      </c>
      <c r="Q47">
        <v>566</v>
      </c>
      <c r="R47">
        <v>1180</v>
      </c>
      <c r="S47">
        <v>805</v>
      </c>
      <c r="T47">
        <v>236</v>
      </c>
      <c r="U47">
        <v>1457</v>
      </c>
      <c r="V47">
        <v>54</v>
      </c>
      <c r="W47">
        <v>18</v>
      </c>
      <c r="X47">
        <v>35</v>
      </c>
      <c r="Y47">
        <v>90</v>
      </c>
      <c r="Z47">
        <v>39</v>
      </c>
      <c r="AA47">
        <v>63</v>
      </c>
      <c r="AB47">
        <v>568</v>
      </c>
      <c r="AC47">
        <v>920</v>
      </c>
      <c r="AG47">
        <v>15</v>
      </c>
      <c r="AH47">
        <v>90</v>
      </c>
      <c r="AI47">
        <v>1785</v>
      </c>
      <c r="AL47">
        <v>288</v>
      </c>
      <c r="AR47">
        <v>478</v>
      </c>
      <c r="AS47">
        <v>277</v>
      </c>
      <c r="AV47">
        <v>28</v>
      </c>
    </row>
    <row r="48" spans="1:48" x14ac:dyDescent="0.25">
      <c r="A48" s="17">
        <v>43222</v>
      </c>
      <c r="B48">
        <v>247</v>
      </c>
      <c r="C48">
        <v>298</v>
      </c>
      <c r="D48">
        <v>280</v>
      </c>
      <c r="E48">
        <v>29</v>
      </c>
      <c r="F48">
        <v>239</v>
      </c>
      <c r="G48">
        <v>196</v>
      </c>
      <c r="H48">
        <v>230</v>
      </c>
      <c r="I48">
        <v>111</v>
      </c>
      <c r="J48">
        <v>183</v>
      </c>
      <c r="K48">
        <v>68</v>
      </c>
      <c r="L48">
        <v>312</v>
      </c>
      <c r="M48">
        <v>268</v>
      </c>
      <c r="N48">
        <v>212</v>
      </c>
      <c r="O48">
        <v>384</v>
      </c>
      <c r="P48">
        <v>61</v>
      </c>
      <c r="Q48">
        <v>489</v>
      </c>
      <c r="R48">
        <v>1176</v>
      </c>
      <c r="S48">
        <v>799</v>
      </c>
      <c r="T48">
        <v>377</v>
      </c>
      <c r="U48">
        <v>1422</v>
      </c>
      <c r="V48">
        <v>48</v>
      </c>
      <c r="W48">
        <v>12</v>
      </c>
      <c r="X48">
        <v>24</v>
      </c>
      <c r="Y48">
        <v>84</v>
      </c>
      <c r="Z48">
        <v>33</v>
      </c>
      <c r="AA48">
        <v>57</v>
      </c>
      <c r="AB48">
        <v>456</v>
      </c>
      <c r="AC48">
        <v>796</v>
      </c>
      <c r="AG48">
        <v>66</v>
      </c>
      <c r="AH48">
        <v>90</v>
      </c>
      <c r="AI48">
        <v>1668</v>
      </c>
      <c r="AL48">
        <v>197</v>
      </c>
      <c r="AR48">
        <v>436</v>
      </c>
      <c r="AS48">
        <v>249</v>
      </c>
      <c r="AV48">
        <v>22</v>
      </c>
    </row>
    <row r="49" spans="1:48" x14ac:dyDescent="0.25">
      <c r="A49" s="17">
        <v>43223</v>
      </c>
      <c r="B49">
        <v>244</v>
      </c>
      <c r="C49">
        <v>295</v>
      </c>
      <c r="D49">
        <v>277</v>
      </c>
      <c r="E49">
        <v>19</v>
      </c>
      <c r="F49">
        <v>237</v>
      </c>
      <c r="G49">
        <v>193</v>
      </c>
      <c r="H49">
        <v>227</v>
      </c>
      <c r="I49">
        <v>83</v>
      </c>
      <c r="J49">
        <v>181</v>
      </c>
      <c r="K49">
        <v>42</v>
      </c>
      <c r="L49">
        <v>281</v>
      </c>
      <c r="M49">
        <v>261</v>
      </c>
      <c r="N49">
        <v>182</v>
      </c>
      <c r="O49">
        <v>356</v>
      </c>
      <c r="P49">
        <v>50</v>
      </c>
      <c r="Q49">
        <v>428</v>
      </c>
      <c r="R49">
        <v>1173</v>
      </c>
      <c r="S49">
        <v>796</v>
      </c>
      <c r="T49">
        <v>373</v>
      </c>
      <c r="U49">
        <v>1390</v>
      </c>
      <c r="V49">
        <v>45</v>
      </c>
      <c r="W49">
        <v>97</v>
      </c>
      <c r="X49">
        <v>19</v>
      </c>
      <c r="Y49">
        <v>80</v>
      </c>
      <c r="Z49">
        <v>30</v>
      </c>
      <c r="AA49">
        <v>54</v>
      </c>
      <c r="AB49">
        <v>388</v>
      </c>
      <c r="AC49">
        <v>734</v>
      </c>
      <c r="AG49">
        <v>50</v>
      </c>
      <c r="AH49">
        <v>90</v>
      </c>
      <c r="AI49">
        <v>1586</v>
      </c>
      <c r="AL49">
        <v>320</v>
      </c>
      <c r="AR49">
        <v>406</v>
      </c>
      <c r="AS49">
        <v>228</v>
      </c>
      <c r="AV49">
        <v>19</v>
      </c>
    </row>
    <row r="50" spans="1:48" x14ac:dyDescent="0.25">
      <c r="A50" s="17">
        <v>43227</v>
      </c>
      <c r="B50">
        <v>229</v>
      </c>
      <c r="C50">
        <v>279</v>
      </c>
      <c r="D50">
        <v>261</v>
      </c>
      <c r="E50">
        <v>67</v>
      </c>
      <c r="F50">
        <v>219</v>
      </c>
      <c r="G50">
        <v>186</v>
      </c>
      <c r="H50">
        <v>212</v>
      </c>
      <c r="I50">
        <v>27</v>
      </c>
      <c r="J50">
        <v>174</v>
      </c>
      <c r="K50">
        <v>270</v>
      </c>
      <c r="L50">
        <v>314</v>
      </c>
      <c r="M50">
        <v>248</v>
      </c>
      <c r="N50">
        <v>117</v>
      </c>
      <c r="O50">
        <v>288</v>
      </c>
      <c r="P50">
        <v>179</v>
      </c>
      <c r="Q50">
        <v>262</v>
      </c>
      <c r="R50">
        <v>1403</v>
      </c>
      <c r="S50">
        <v>784</v>
      </c>
      <c r="T50">
        <v>355</v>
      </c>
      <c r="U50">
        <v>1314</v>
      </c>
      <c r="V50">
        <v>21</v>
      </c>
      <c r="W50">
        <v>85</v>
      </c>
      <c r="X50">
        <v>82</v>
      </c>
      <c r="Y50">
        <v>63</v>
      </c>
      <c r="Z50">
        <v>14</v>
      </c>
      <c r="AA50">
        <v>42</v>
      </c>
      <c r="AB50">
        <v>917</v>
      </c>
      <c r="AC50">
        <v>471</v>
      </c>
      <c r="AG50">
        <v>36</v>
      </c>
      <c r="AH50">
        <v>90</v>
      </c>
      <c r="AI50">
        <v>1349</v>
      </c>
      <c r="AL50">
        <v>182</v>
      </c>
      <c r="AR50">
        <v>316</v>
      </c>
      <c r="AS50">
        <v>169</v>
      </c>
      <c r="AV50">
        <v>5</v>
      </c>
    </row>
    <row r="51" spans="1:48" x14ac:dyDescent="0.25">
      <c r="A51" s="17">
        <v>43229</v>
      </c>
      <c r="B51">
        <v>220</v>
      </c>
      <c r="C51">
        <v>228</v>
      </c>
      <c r="D51">
        <v>250</v>
      </c>
      <c r="E51">
        <v>51</v>
      </c>
      <c r="F51">
        <v>210</v>
      </c>
      <c r="G51">
        <v>182</v>
      </c>
      <c r="H51">
        <v>203</v>
      </c>
      <c r="I51">
        <v>280</v>
      </c>
      <c r="J51">
        <v>169</v>
      </c>
      <c r="K51">
        <v>199</v>
      </c>
      <c r="L51">
        <v>318</v>
      </c>
      <c r="M51">
        <v>240</v>
      </c>
      <c r="N51">
        <v>56</v>
      </c>
      <c r="O51">
        <v>217</v>
      </c>
      <c r="P51">
        <v>158</v>
      </c>
      <c r="Q51">
        <v>150</v>
      </c>
      <c r="R51">
        <v>1398</v>
      </c>
      <c r="S51">
        <v>778</v>
      </c>
      <c r="T51">
        <v>346</v>
      </c>
      <c r="U51">
        <v>1251</v>
      </c>
      <c r="V51">
        <v>14</v>
      </c>
      <c r="W51">
        <v>79</v>
      </c>
      <c r="X51">
        <v>72</v>
      </c>
      <c r="Y51">
        <v>57</v>
      </c>
      <c r="Z51">
        <v>1</v>
      </c>
      <c r="AA51">
        <v>36</v>
      </c>
      <c r="AB51">
        <v>760</v>
      </c>
      <c r="AC51">
        <v>848</v>
      </c>
      <c r="AG51">
        <v>90</v>
      </c>
      <c r="AH51">
        <v>90</v>
      </c>
      <c r="AI51">
        <v>1187</v>
      </c>
      <c r="AL51">
        <v>302</v>
      </c>
      <c r="AR51">
        <v>257</v>
      </c>
      <c r="AS51">
        <v>130</v>
      </c>
      <c r="AV51">
        <v>91</v>
      </c>
    </row>
    <row r="52" spans="1:48" x14ac:dyDescent="0.25">
      <c r="A52" s="17">
        <v>43231</v>
      </c>
      <c r="B52">
        <v>209</v>
      </c>
      <c r="C52">
        <v>218</v>
      </c>
      <c r="D52">
        <v>240</v>
      </c>
      <c r="E52">
        <v>36</v>
      </c>
      <c r="F52">
        <v>368</v>
      </c>
      <c r="G52">
        <v>177</v>
      </c>
      <c r="H52">
        <v>193</v>
      </c>
      <c r="I52">
        <v>221</v>
      </c>
      <c r="J52">
        <v>165</v>
      </c>
      <c r="K52">
        <v>137</v>
      </c>
      <c r="L52">
        <v>251</v>
      </c>
      <c r="M52">
        <v>231</v>
      </c>
      <c r="N52">
        <v>282</v>
      </c>
      <c r="O52">
        <v>429</v>
      </c>
      <c r="P52">
        <v>138</v>
      </c>
      <c r="Q52">
        <v>54</v>
      </c>
      <c r="R52">
        <v>1391</v>
      </c>
      <c r="S52">
        <v>857</v>
      </c>
      <c r="T52">
        <v>334</v>
      </c>
      <c r="U52">
        <v>1190</v>
      </c>
      <c r="V52">
        <v>8</v>
      </c>
      <c r="W52">
        <v>73</v>
      </c>
      <c r="X52">
        <v>62</v>
      </c>
      <c r="Y52">
        <v>51</v>
      </c>
      <c r="Z52">
        <v>91</v>
      </c>
      <c r="AA52">
        <v>29</v>
      </c>
      <c r="AB52">
        <v>626</v>
      </c>
      <c r="AC52">
        <v>723</v>
      </c>
      <c r="AG52">
        <v>90</v>
      </c>
      <c r="AH52">
        <v>90</v>
      </c>
      <c r="AI52">
        <v>1040</v>
      </c>
      <c r="AL52">
        <v>216</v>
      </c>
      <c r="AR52">
        <v>200</v>
      </c>
      <c r="AS52">
        <v>485</v>
      </c>
      <c r="AV52">
        <v>84</v>
      </c>
    </row>
    <row r="53" spans="1:48" x14ac:dyDescent="0.25">
      <c r="A53" s="17">
        <v>43234</v>
      </c>
      <c r="B53">
        <v>201</v>
      </c>
      <c r="C53">
        <v>211</v>
      </c>
      <c r="D53">
        <v>231</v>
      </c>
      <c r="E53">
        <v>11</v>
      </c>
      <c r="F53">
        <v>361</v>
      </c>
      <c r="G53">
        <v>172</v>
      </c>
      <c r="H53">
        <v>184</v>
      </c>
      <c r="I53">
        <v>187</v>
      </c>
      <c r="J53">
        <v>159</v>
      </c>
      <c r="K53">
        <v>104</v>
      </c>
      <c r="L53">
        <v>342</v>
      </c>
      <c r="M53">
        <v>220</v>
      </c>
      <c r="N53">
        <v>249</v>
      </c>
      <c r="O53">
        <v>403</v>
      </c>
      <c r="P53">
        <v>108</v>
      </c>
      <c r="Q53">
        <v>1070</v>
      </c>
      <c r="R53">
        <v>1387</v>
      </c>
      <c r="S53">
        <v>848</v>
      </c>
      <c r="T53">
        <v>325</v>
      </c>
      <c r="U53">
        <v>1143</v>
      </c>
      <c r="V53">
        <v>97</v>
      </c>
      <c r="W53">
        <v>64</v>
      </c>
      <c r="X53">
        <v>47</v>
      </c>
      <c r="Y53">
        <v>42</v>
      </c>
      <c r="Z53">
        <v>82</v>
      </c>
      <c r="AA53">
        <v>20</v>
      </c>
      <c r="AB53">
        <v>429</v>
      </c>
      <c r="AC53">
        <v>526</v>
      </c>
      <c r="AG53">
        <v>68</v>
      </c>
      <c r="AH53">
        <v>90</v>
      </c>
      <c r="AI53">
        <v>865</v>
      </c>
      <c r="AL53">
        <v>143</v>
      </c>
      <c r="AR53">
        <v>146</v>
      </c>
      <c r="AS53">
        <v>449</v>
      </c>
      <c r="AV53">
        <v>75</v>
      </c>
    </row>
    <row r="54" spans="1:48" x14ac:dyDescent="0.25">
      <c r="A54" s="17">
        <v>43236</v>
      </c>
      <c r="B54">
        <v>191</v>
      </c>
      <c r="C54">
        <v>236</v>
      </c>
      <c r="D54">
        <v>372</v>
      </c>
      <c r="E54">
        <v>57</v>
      </c>
      <c r="F54">
        <v>350</v>
      </c>
      <c r="G54">
        <v>159</v>
      </c>
      <c r="H54">
        <v>258</v>
      </c>
      <c r="I54">
        <v>140</v>
      </c>
      <c r="J54">
        <v>155</v>
      </c>
      <c r="K54">
        <v>58</v>
      </c>
      <c r="L54">
        <v>290</v>
      </c>
      <c r="M54">
        <v>195</v>
      </c>
      <c r="N54">
        <v>202</v>
      </c>
      <c r="O54">
        <v>352</v>
      </c>
      <c r="P54">
        <v>88</v>
      </c>
      <c r="Q54">
        <v>975</v>
      </c>
      <c r="R54">
        <v>1382</v>
      </c>
      <c r="S54">
        <v>843</v>
      </c>
      <c r="T54">
        <v>315</v>
      </c>
      <c r="U54">
        <v>1697</v>
      </c>
      <c r="V54">
        <v>89</v>
      </c>
      <c r="W54">
        <v>58</v>
      </c>
      <c r="X54">
        <v>37</v>
      </c>
      <c r="Y54">
        <v>36</v>
      </c>
      <c r="Z54">
        <v>73</v>
      </c>
      <c r="AA54">
        <v>13</v>
      </c>
      <c r="AB54">
        <v>286</v>
      </c>
      <c r="AC54">
        <v>395</v>
      </c>
      <c r="AG54">
        <v>41</v>
      </c>
      <c r="AH54">
        <v>90</v>
      </c>
      <c r="AI54">
        <v>724</v>
      </c>
      <c r="AL54">
        <v>300</v>
      </c>
      <c r="AR54">
        <v>96</v>
      </c>
      <c r="AS54">
        <v>415</v>
      </c>
      <c r="AV54">
        <v>66</v>
      </c>
    </row>
    <row r="55" spans="1:48" x14ac:dyDescent="0.25">
      <c r="A55" s="17">
        <v>43237</v>
      </c>
      <c r="B55">
        <v>190</v>
      </c>
      <c r="C55">
        <v>234</v>
      </c>
      <c r="D55">
        <v>370</v>
      </c>
      <c r="E55">
        <v>49</v>
      </c>
      <c r="F55">
        <v>346</v>
      </c>
      <c r="G55">
        <v>157</v>
      </c>
      <c r="H55">
        <v>255</v>
      </c>
      <c r="I55">
        <v>107</v>
      </c>
      <c r="J55">
        <v>151</v>
      </c>
      <c r="K55">
        <v>318</v>
      </c>
      <c r="L55">
        <v>371</v>
      </c>
      <c r="M55">
        <v>193</v>
      </c>
      <c r="N55">
        <v>166</v>
      </c>
      <c r="O55">
        <v>319</v>
      </c>
      <c r="P55">
        <v>77</v>
      </c>
      <c r="Q55">
        <v>921</v>
      </c>
      <c r="R55">
        <v>1380</v>
      </c>
      <c r="S55">
        <v>841</v>
      </c>
      <c r="T55">
        <v>312</v>
      </c>
      <c r="U55">
        <v>1663</v>
      </c>
      <c r="V55">
        <v>85</v>
      </c>
      <c r="W55">
        <v>55</v>
      </c>
      <c r="X55">
        <v>32</v>
      </c>
      <c r="Y55">
        <v>30</v>
      </c>
      <c r="Z55">
        <v>69</v>
      </c>
      <c r="AA55">
        <v>10</v>
      </c>
      <c r="AB55">
        <v>216</v>
      </c>
      <c r="AC55">
        <v>330</v>
      </c>
      <c r="AG55">
        <v>28</v>
      </c>
      <c r="AH55">
        <v>90</v>
      </c>
      <c r="AI55">
        <v>645</v>
      </c>
      <c r="AL55">
        <v>257</v>
      </c>
      <c r="AR55">
        <v>72</v>
      </c>
      <c r="AS55">
        <v>400</v>
      </c>
      <c r="AV55">
        <v>63</v>
      </c>
    </row>
    <row r="56" spans="1:48" x14ac:dyDescent="0.25">
      <c r="A56" s="17">
        <v>43241</v>
      </c>
      <c r="B56">
        <v>174</v>
      </c>
      <c r="C56">
        <v>219</v>
      </c>
      <c r="D56">
        <v>354</v>
      </c>
      <c r="E56">
        <v>18</v>
      </c>
      <c r="F56">
        <v>330</v>
      </c>
      <c r="G56">
        <v>149</v>
      </c>
      <c r="H56">
        <v>241</v>
      </c>
      <c r="I56">
        <v>50</v>
      </c>
      <c r="J56">
        <v>231</v>
      </c>
      <c r="K56">
        <v>228</v>
      </c>
      <c r="L56">
        <v>280</v>
      </c>
      <c r="M56">
        <v>176</v>
      </c>
      <c r="N56">
        <v>92</v>
      </c>
      <c r="O56">
        <v>258</v>
      </c>
      <c r="P56">
        <v>35</v>
      </c>
      <c r="Q56">
        <v>762</v>
      </c>
      <c r="R56">
        <v>1370</v>
      </c>
      <c r="S56">
        <v>830</v>
      </c>
      <c r="T56">
        <v>296</v>
      </c>
      <c r="U56">
        <v>1597</v>
      </c>
      <c r="V56">
        <v>73</v>
      </c>
      <c r="W56">
        <v>43</v>
      </c>
      <c r="X56">
        <v>12</v>
      </c>
      <c r="Y56">
        <v>16</v>
      </c>
      <c r="Z56">
        <v>55</v>
      </c>
      <c r="AA56">
        <v>91</v>
      </c>
      <c r="AB56">
        <v>725</v>
      </c>
      <c r="AC56">
        <v>927</v>
      </c>
      <c r="AG56">
        <v>32</v>
      </c>
      <c r="AH56">
        <v>90</v>
      </c>
      <c r="AI56">
        <v>1785</v>
      </c>
      <c r="AL56">
        <v>161</v>
      </c>
      <c r="AR56">
        <v>424</v>
      </c>
      <c r="AS56">
        <v>344</v>
      </c>
      <c r="AV56">
        <v>47</v>
      </c>
    </row>
    <row r="57" spans="1:48" x14ac:dyDescent="0.25">
      <c r="A57" s="17">
        <v>43243</v>
      </c>
      <c r="B57">
        <v>166</v>
      </c>
      <c r="C57">
        <v>211</v>
      </c>
      <c r="D57">
        <v>348</v>
      </c>
      <c r="E57">
        <v>75</v>
      </c>
      <c r="F57">
        <v>322</v>
      </c>
      <c r="G57">
        <v>143</v>
      </c>
      <c r="H57">
        <v>234</v>
      </c>
      <c r="I57">
        <v>319</v>
      </c>
      <c r="J57">
        <v>222</v>
      </c>
      <c r="K57">
        <v>175</v>
      </c>
      <c r="L57">
        <v>318</v>
      </c>
      <c r="M57">
        <v>167</v>
      </c>
      <c r="N57">
        <v>33</v>
      </c>
      <c r="O57">
        <v>204</v>
      </c>
      <c r="P57">
        <v>180</v>
      </c>
      <c r="Q57">
        <v>652</v>
      </c>
      <c r="R57">
        <v>1366</v>
      </c>
      <c r="S57">
        <v>822</v>
      </c>
      <c r="T57">
        <v>289</v>
      </c>
      <c r="U57">
        <v>1544</v>
      </c>
      <c r="V57">
        <v>66</v>
      </c>
      <c r="W57">
        <v>36</v>
      </c>
      <c r="X57">
        <v>90</v>
      </c>
      <c r="Y57">
        <v>80</v>
      </c>
      <c r="Z57">
        <v>48</v>
      </c>
      <c r="AA57">
        <v>85</v>
      </c>
      <c r="AB57">
        <v>570</v>
      </c>
      <c r="AC57">
        <v>788</v>
      </c>
      <c r="AG57">
        <v>84</v>
      </c>
      <c r="AH57">
        <v>90</v>
      </c>
      <c r="AI57">
        <v>1629</v>
      </c>
      <c r="AL57">
        <v>348</v>
      </c>
      <c r="AR57">
        <v>373</v>
      </c>
      <c r="AS57">
        <v>310</v>
      </c>
      <c r="AV57">
        <v>34</v>
      </c>
    </row>
    <row r="58" spans="1:48" x14ac:dyDescent="0.25">
      <c r="A58" s="17">
        <v>43245</v>
      </c>
      <c r="B58">
        <v>156</v>
      </c>
      <c r="C58">
        <v>237</v>
      </c>
      <c r="D58">
        <v>336</v>
      </c>
      <c r="E58">
        <v>60</v>
      </c>
      <c r="F58">
        <v>311</v>
      </c>
      <c r="G58">
        <v>139</v>
      </c>
      <c r="H58">
        <v>224</v>
      </c>
      <c r="I58">
        <v>251</v>
      </c>
      <c r="J58">
        <v>217</v>
      </c>
      <c r="K58">
        <v>104</v>
      </c>
      <c r="L58">
        <v>244</v>
      </c>
      <c r="M58">
        <v>156</v>
      </c>
      <c r="N58">
        <v>258</v>
      </c>
      <c r="O58">
        <v>134</v>
      </c>
      <c r="P58">
        <v>160</v>
      </c>
      <c r="Q58">
        <v>541</v>
      </c>
      <c r="R58">
        <v>1363</v>
      </c>
      <c r="S58">
        <v>818</v>
      </c>
      <c r="T58">
        <v>382</v>
      </c>
      <c r="U58">
        <v>1477</v>
      </c>
      <c r="V58">
        <v>59</v>
      </c>
      <c r="W58">
        <v>30</v>
      </c>
      <c r="X58">
        <v>80</v>
      </c>
      <c r="Y58">
        <v>74</v>
      </c>
      <c r="Z58">
        <v>42</v>
      </c>
      <c r="AA58">
        <v>79</v>
      </c>
      <c r="AB58">
        <v>436</v>
      </c>
      <c r="AC58">
        <v>663</v>
      </c>
      <c r="AG58">
        <v>65</v>
      </c>
      <c r="AH58">
        <v>90</v>
      </c>
      <c r="AI58">
        <v>1471</v>
      </c>
      <c r="AL58">
        <v>255</v>
      </c>
      <c r="AR58">
        <v>316</v>
      </c>
      <c r="AS58">
        <v>272</v>
      </c>
      <c r="AV58">
        <v>26</v>
      </c>
    </row>
    <row r="59" spans="1:48" x14ac:dyDescent="0.25">
      <c r="A59" s="17">
        <v>43249</v>
      </c>
      <c r="B59">
        <v>139</v>
      </c>
      <c r="C59">
        <v>223</v>
      </c>
      <c r="D59">
        <v>323</v>
      </c>
      <c r="E59">
        <v>27</v>
      </c>
      <c r="F59">
        <v>297</v>
      </c>
      <c r="G59">
        <v>200</v>
      </c>
      <c r="H59">
        <v>204</v>
      </c>
      <c r="I59">
        <v>213</v>
      </c>
      <c r="J59">
        <v>207</v>
      </c>
      <c r="K59">
        <v>65</v>
      </c>
      <c r="L59">
        <v>334</v>
      </c>
      <c r="M59">
        <v>141</v>
      </c>
      <c r="N59">
        <v>219</v>
      </c>
      <c r="O59">
        <v>432</v>
      </c>
      <c r="P59">
        <v>119</v>
      </c>
      <c r="Q59">
        <v>402</v>
      </c>
      <c r="R59">
        <v>1347</v>
      </c>
      <c r="S59">
        <v>805</v>
      </c>
      <c r="T59">
        <v>366</v>
      </c>
      <c r="U59">
        <v>1431</v>
      </c>
      <c r="V59">
        <v>46</v>
      </c>
      <c r="W59">
        <v>17</v>
      </c>
      <c r="X59">
        <v>59</v>
      </c>
      <c r="Y59">
        <v>61</v>
      </c>
      <c r="Z59">
        <v>29</v>
      </c>
      <c r="AA59">
        <v>66</v>
      </c>
      <c r="AB59">
        <v>167</v>
      </c>
      <c r="AC59">
        <v>415</v>
      </c>
      <c r="AG59">
        <v>33</v>
      </c>
      <c r="AH59">
        <v>90</v>
      </c>
      <c r="AI59">
        <v>1276</v>
      </c>
      <c r="AL59">
        <v>224</v>
      </c>
      <c r="AR59">
        <v>264</v>
      </c>
      <c r="AS59">
        <v>237</v>
      </c>
      <c r="AV59">
        <v>13</v>
      </c>
    </row>
    <row r="60" spans="1:48" x14ac:dyDescent="0.25">
      <c r="A60" s="17">
        <v>43250</v>
      </c>
      <c r="B60">
        <v>129</v>
      </c>
      <c r="C60">
        <v>216</v>
      </c>
      <c r="D60">
        <v>313</v>
      </c>
      <c r="E60">
        <v>19</v>
      </c>
      <c r="F60">
        <v>289</v>
      </c>
      <c r="G60">
        <v>198</v>
      </c>
      <c r="H60">
        <v>194</v>
      </c>
      <c r="I60">
        <v>183</v>
      </c>
      <c r="J60">
        <v>206</v>
      </c>
      <c r="K60">
        <v>315</v>
      </c>
      <c r="L60">
        <v>300</v>
      </c>
      <c r="M60">
        <v>122</v>
      </c>
      <c r="N60">
        <v>187</v>
      </c>
      <c r="O60">
        <v>403</v>
      </c>
      <c r="P60">
        <v>109</v>
      </c>
      <c r="Q60">
        <v>347</v>
      </c>
      <c r="R60">
        <v>1347</v>
      </c>
      <c r="S60">
        <v>801</v>
      </c>
      <c r="T60">
        <v>355</v>
      </c>
      <c r="U60">
        <v>1398</v>
      </c>
      <c r="V60">
        <v>43</v>
      </c>
      <c r="W60">
        <v>14</v>
      </c>
      <c r="X60">
        <v>54</v>
      </c>
      <c r="Y60">
        <v>58</v>
      </c>
      <c r="Z60">
        <v>26</v>
      </c>
      <c r="AA60">
        <v>63</v>
      </c>
      <c r="AB60">
        <v>100</v>
      </c>
      <c r="AC60">
        <v>352</v>
      </c>
      <c r="AG60">
        <v>21</v>
      </c>
      <c r="AH60">
        <v>90</v>
      </c>
      <c r="AI60">
        <v>1198</v>
      </c>
      <c r="AL60">
        <v>173</v>
      </c>
      <c r="AR60">
        <v>234</v>
      </c>
      <c r="AS60">
        <v>217</v>
      </c>
      <c r="AV60">
        <v>9</v>
      </c>
    </row>
    <row r="61" spans="1:48" x14ac:dyDescent="0.25">
      <c r="A61" s="17">
        <v>43251</v>
      </c>
      <c r="B61">
        <v>125</v>
      </c>
      <c r="C61">
        <v>212</v>
      </c>
      <c r="D61">
        <v>310</v>
      </c>
      <c r="E61">
        <v>11</v>
      </c>
      <c r="F61">
        <v>285</v>
      </c>
      <c r="G61">
        <v>195</v>
      </c>
      <c r="H61">
        <v>191</v>
      </c>
      <c r="I61">
        <v>146</v>
      </c>
      <c r="J61">
        <v>204</v>
      </c>
      <c r="K61">
        <v>300</v>
      </c>
      <c r="L61">
        <v>351</v>
      </c>
      <c r="M61">
        <v>117</v>
      </c>
      <c r="N61">
        <v>151</v>
      </c>
      <c r="O61">
        <v>366</v>
      </c>
      <c r="P61">
        <v>100</v>
      </c>
      <c r="Q61">
        <v>286</v>
      </c>
      <c r="R61">
        <v>1342</v>
      </c>
      <c r="S61">
        <v>798</v>
      </c>
      <c r="T61">
        <v>352</v>
      </c>
      <c r="U61">
        <v>1363</v>
      </c>
      <c r="V61">
        <v>40</v>
      </c>
      <c r="W61">
        <v>11</v>
      </c>
      <c r="X61">
        <v>49</v>
      </c>
      <c r="Y61">
        <v>55</v>
      </c>
      <c r="Z61">
        <v>23</v>
      </c>
      <c r="AA61">
        <v>60</v>
      </c>
      <c r="AB61">
        <v>922</v>
      </c>
      <c r="AC61">
        <v>290</v>
      </c>
      <c r="AG61">
        <v>88</v>
      </c>
      <c r="AH61">
        <v>90</v>
      </c>
      <c r="AI61">
        <v>1113</v>
      </c>
      <c r="AL61">
        <v>296</v>
      </c>
      <c r="AR61">
        <v>204</v>
      </c>
      <c r="AS61">
        <v>197</v>
      </c>
      <c r="AV61">
        <v>5</v>
      </c>
    </row>
    <row r="62" spans="1:48" x14ac:dyDescent="0.25">
      <c r="A62" s="17">
        <v>43255</v>
      </c>
      <c r="B62">
        <v>105</v>
      </c>
      <c r="C62">
        <v>222</v>
      </c>
      <c r="D62">
        <v>291</v>
      </c>
      <c r="E62">
        <v>51</v>
      </c>
      <c r="F62">
        <v>268</v>
      </c>
      <c r="G62">
        <v>187</v>
      </c>
      <c r="H62">
        <v>175</v>
      </c>
      <c r="I62">
        <v>81</v>
      </c>
      <c r="J62">
        <v>190</v>
      </c>
      <c r="K62">
        <v>235</v>
      </c>
      <c r="L62">
        <v>353</v>
      </c>
      <c r="M62">
        <v>99</v>
      </c>
      <c r="N62">
        <v>88</v>
      </c>
      <c r="O62">
        <v>304</v>
      </c>
      <c r="P62">
        <v>58</v>
      </c>
      <c r="Q62">
        <v>114</v>
      </c>
      <c r="R62">
        <v>1328</v>
      </c>
      <c r="S62">
        <v>779</v>
      </c>
      <c r="T62">
        <v>331</v>
      </c>
      <c r="U62">
        <v>1289</v>
      </c>
      <c r="V62">
        <v>27</v>
      </c>
      <c r="W62">
        <v>74</v>
      </c>
      <c r="X62">
        <v>26</v>
      </c>
      <c r="Y62">
        <v>43</v>
      </c>
      <c r="Z62">
        <v>9</v>
      </c>
      <c r="AA62">
        <v>48</v>
      </c>
      <c r="AB62">
        <v>623</v>
      </c>
      <c r="AC62">
        <v>868</v>
      </c>
      <c r="AG62">
        <v>84</v>
      </c>
      <c r="AH62">
        <v>90</v>
      </c>
      <c r="AI62">
        <v>864</v>
      </c>
      <c r="AL62">
        <v>269</v>
      </c>
      <c r="AR62">
        <v>114</v>
      </c>
      <c r="AS62">
        <v>479</v>
      </c>
      <c r="AV62">
        <v>73</v>
      </c>
    </row>
    <row r="63" spans="1:48" x14ac:dyDescent="0.25">
      <c r="A63" s="17">
        <v>43257</v>
      </c>
      <c r="B63">
        <v>96</v>
      </c>
      <c r="C63">
        <v>213</v>
      </c>
      <c r="D63">
        <v>282</v>
      </c>
      <c r="E63">
        <v>36</v>
      </c>
      <c r="F63">
        <v>256</v>
      </c>
      <c r="G63">
        <v>183</v>
      </c>
      <c r="H63">
        <v>253</v>
      </c>
      <c r="I63">
        <v>299</v>
      </c>
      <c r="J63">
        <v>185</v>
      </c>
      <c r="K63">
        <v>173</v>
      </c>
      <c r="L63">
        <v>287</v>
      </c>
      <c r="M63">
        <v>86</v>
      </c>
      <c r="N63">
        <v>290</v>
      </c>
      <c r="O63">
        <v>237</v>
      </c>
      <c r="P63">
        <v>35</v>
      </c>
      <c r="Q63">
        <v>1019</v>
      </c>
      <c r="R63">
        <v>1323</v>
      </c>
      <c r="S63">
        <v>774</v>
      </c>
      <c r="T63">
        <v>322</v>
      </c>
      <c r="U63">
        <v>1234</v>
      </c>
      <c r="V63">
        <v>20</v>
      </c>
      <c r="W63">
        <v>67</v>
      </c>
      <c r="X63">
        <v>16</v>
      </c>
      <c r="Y63">
        <v>36</v>
      </c>
      <c r="Z63">
        <v>67</v>
      </c>
      <c r="AA63">
        <v>42</v>
      </c>
      <c r="AB63">
        <v>479</v>
      </c>
      <c r="AC63">
        <v>735</v>
      </c>
      <c r="AG63">
        <v>61</v>
      </c>
      <c r="AH63">
        <v>90</v>
      </c>
      <c r="AI63">
        <v>452</v>
      </c>
      <c r="AL63">
        <v>287</v>
      </c>
      <c r="AR63">
        <v>469</v>
      </c>
      <c r="AS63">
        <v>442</v>
      </c>
      <c r="AV63">
        <v>66</v>
      </c>
    </row>
    <row r="64" spans="1:48" x14ac:dyDescent="0.25">
      <c r="A64" s="17">
        <v>43258</v>
      </c>
      <c r="B64">
        <v>93</v>
      </c>
      <c r="C64">
        <v>211</v>
      </c>
      <c r="D64">
        <v>278</v>
      </c>
      <c r="E64">
        <v>28</v>
      </c>
      <c r="F64">
        <v>255</v>
      </c>
      <c r="G64">
        <v>182</v>
      </c>
      <c r="H64">
        <v>250</v>
      </c>
      <c r="I64">
        <v>265</v>
      </c>
      <c r="J64">
        <v>183</v>
      </c>
      <c r="K64">
        <v>127</v>
      </c>
      <c r="L64">
        <v>248</v>
      </c>
      <c r="M64">
        <v>83</v>
      </c>
      <c r="N64">
        <v>255</v>
      </c>
      <c r="O64">
        <v>201</v>
      </c>
      <c r="P64">
        <v>171</v>
      </c>
      <c r="Q64">
        <v>964</v>
      </c>
      <c r="R64">
        <v>1323</v>
      </c>
      <c r="S64">
        <v>771</v>
      </c>
      <c r="T64">
        <v>319</v>
      </c>
      <c r="U64">
        <v>1198</v>
      </c>
      <c r="V64">
        <v>81</v>
      </c>
      <c r="W64">
        <v>64</v>
      </c>
      <c r="X64">
        <v>11</v>
      </c>
      <c r="Y64">
        <v>33</v>
      </c>
      <c r="Z64">
        <v>64</v>
      </c>
      <c r="AA64">
        <v>39</v>
      </c>
      <c r="AB64">
        <v>397</v>
      </c>
      <c r="AC64">
        <v>664</v>
      </c>
      <c r="AG64">
        <v>48</v>
      </c>
      <c r="AH64">
        <v>90</v>
      </c>
      <c r="AI64">
        <v>369</v>
      </c>
      <c r="AL64">
        <v>149</v>
      </c>
      <c r="AR64">
        <v>438</v>
      </c>
      <c r="AS64">
        <v>421</v>
      </c>
      <c r="AV64">
        <v>62</v>
      </c>
    </row>
    <row r="65" spans="1:48" x14ac:dyDescent="0.25">
      <c r="A65" s="17">
        <v>43262</v>
      </c>
      <c r="B65">
        <v>257</v>
      </c>
      <c r="C65">
        <v>229</v>
      </c>
      <c r="D65">
        <v>378</v>
      </c>
      <c r="E65">
        <v>74</v>
      </c>
      <c r="F65">
        <v>370</v>
      </c>
      <c r="G65">
        <v>173</v>
      </c>
      <c r="H65">
        <v>243</v>
      </c>
      <c r="I65">
        <v>209</v>
      </c>
      <c r="J65">
        <v>176</v>
      </c>
      <c r="K65">
        <v>68</v>
      </c>
      <c r="L65">
        <v>292</v>
      </c>
      <c r="M65">
        <v>67</v>
      </c>
      <c r="N65">
        <v>197</v>
      </c>
      <c r="O65">
        <v>390</v>
      </c>
      <c r="P65">
        <v>126</v>
      </c>
      <c r="Q65">
        <v>812</v>
      </c>
      <c r="R65">
        <v>1314</v>
      </c>
      <c r="S65">
        <v>819</v>
      </c>
      <c r="T65">
        <v>309</v>
      </c>
      <c r="U65">
        <v>1638</v>
      </c>
      <c r="V65">
        <v>69</v>
      </c>
      <c r="W65">
        <v>47</v>
      </c>
      <c r="X65">
        <v>82</v>
      </c>
      <c r="Y65">
        <v>18</v>
      </c>
      <c r="Z65">
        <v>47</v>
      </c>
      <c r="AA65">
        <v>23</v>
      </c>
      <c r="AB65">
        <v>922</v>
      </c>
      <c r="AC65">
        <v>406</v>
      </c>
      <c r="AG65">
        <v>59</v>
      </c>
      <c r="AH65">
        <v>90</v>
      </c>
      <c r="AI65">
        <v>1756</v>
      </c>
      <c r="AL65">
        <v>84</v>
      </c>
      <c r="AR65">
        <v>367</v>
      </c>
      <c r="AS65">
        <v>374</v>
      </c>
      <c r="AV65">
        <v>50</v>
      </c>
    </row>
    <row r="66" spans="1:48" x14ac:dyDescent="0.25">
      <c r="A66" s="17">
        <v>43264</v>
      </c>
      <c r="B66">
        <v>249</v>
      </c>
      <c r="C66">
        <v>221</v>
      </c>
      <c r="D66">
        <v>370</v>
      </c>
      <c r="E66">
        <v>59</v>
      </c>
      <c r="F66">
        <v>361</v>
      </c>
      <c r="G66">
        <v>161</v>
      </c>
      <c r="H66">
        <v>235</v>
      </c>
      <c r="I66">
        <v>165</v>
      </c>
      <c r="J66">
        <v>172</v>
      </c>
      <c r="K66">
        <v>280</v>
      </c>
      <c r="L66">
        <v>320</v>
      </c>
      <c r="M66">
        <v>55</v>
      </c>
      <c r="N66">
        <v>153</v>
      </c>
      <c r="O66">
        <v>349</v>
      </c>
      <c r="P66">
        <v>106</v>
      </c>
      <c r="Q66">
        <v>724</v>
      </c>
      <c r="R66">
        <v>1309</v>
      </c>
      <c r="S66">
        <v>815</v>
      </c>
      <c r="T66">
        <v>300</v>
      </c>
      <c r="U66">
        <v>1591</v>
      </c>
      <c r="V66">
        <v>63</v>
      </c>
      <c r="W66">
        <v>41</v>
      </c>
      <c r="X66">
        <v>74</v>
      </c>
      <c r="Y66">
        <v>12</v>
      </c>
      <c r="Z66">
        <v>41</v>
      </c>
      <c r="AA66">
        <v>17</v>
      </c>
      <c r="AB66">
        <v>792</v>
      </c>
      <c r="AC66">
        <v>285</v>
      </c>
      <c r="AG66">
        <v>29</v>
      </c>
      <c r="AH66">
        <v>90</v>
      </c>
      <c r="AI66">
        <v>1622</v>
      </c>
      <c r="AL66">
        <v>314</v>
      </c>
      <c r="AR66">
        <v>322</v>
      </c>
      <c r="AS66">
        <v>344</v>
      </c>
      <c r="AV66">
        <v>44</v>
      </c>
    </row>
    <row r="67" spans="1:48" x14ac:dyDescent="0.25">
      <c r="A67" s="17">
        <v>43265</v>
      </c>
      <c r="B67">
        <v>245</v>
      </c>
      <c r="C67">
        <v>218</v>
      </c>
      <c r="D67">
        <v>366</v>
      </c>
      <c r="E67">
        <v>51</v>
      </c>
      <c r="F67">
        <v>357</v>
      </c>
      <c r="G67">
        <v>158</v>
      </c>
      <c r="H67">
        <v>232</v>
      </c>
      <c r="I67">
        <v>141</v>
      </c>
      <c r="J67">
        <v>170</v>
      </c>
      <c r="K67">
        <v>254</v>
      </c>
      <c r="L67">
        <v>291</v>
      </c>
      <c r="M67">
        <v>38</v>
      </c>
      <c r="N67">
        <v>128</v>
      </c>
      <c r="O67">
        <v>322</v>
      </c>
      <c r="P67">
        <v>96</v>
      </c>
      <c r="Q67">
        <v>679</v>
      </c>
      <c r="R67">
        <v>1305</v>
      </c>
      <c r="S67">
        <v>810</v>
      </c>
      <c r="T67">
        <v>296</v>
      </c>
      <c r="U67">
        <v>1573</v>
      </c>
      <c r="V67">
        <v>59</v>
      </c>
      <c r="W67">
        <v>41</v>
      </c>
      <c r="X67">
        <v>70</v>
      </c>
      <c r="Y67">
        <v>8</v>
      </c>
      <c r="Z67">
        <v>38</v>
      </c>
      <c r="AA67">
        <v>13</v>
      </c>
      <c r="AB67">
        <v>724</v>
      </c>
      <c r="AC67">
        <v>235</v>
      </c>
      <c r="AG67">
        <v>75</v>
      </c>
      <c r="AH67">
        <v>90</v>
      </c>
      <c r="AI67">
        <v>1555</v>
      </c>
      <c r="AL67">
        <v>277</v>
      </c>
      <c r="AR67">
        <v>302</v>
      </c>
      <c r="AS67">
        <v>331</v>
      </c>
      <c r="AV67">
        <v>40</v>
      </c>
    </row>
    <row r="68" spans="1:48" x14ac:dyDescent="0.25">
      <c r="A68" s="17">
        <v>43269</v>
      </c>
      <c r="B68">
        <v>231</v>
      </c>
      <c r="C68">
        <v>231</v>
      </c>
      <c r="D68">
        <v>351</v>
      </c>
      <c r="E68">
        <v>20</v>
      </c>
      <c r="F68">
        <v>342</v>
      </c>
      <c r="G68">
        <v>150</v>
      </c>
      <c r="H68">
        <v>219</v>
      </c>
      <c r="I68">
        <v>93</v>
      </c>
      <c r="J68">
        <v>162</v>
      </c>
      <c r="K68">
        <v>207</v>
      </c>
      <c r="L68">
        <v>339</v>
      </c>
      <c r="M68">
        <v>22</v>
      </c>
      <c r="N68">
        <v>81</v>
      </c>
      <c r="O68">
        <v>270</v>
      </c>
      <c r="P68">
        <v>55</v>
      </c>
      <c r="Q68">
        <v>535</v>
      </c>
      <c r="R68">
        <v>1288</v>
      </c>
      <c r="S68">
        <v>797</v>
      </c>
      <c r="T68">
        <v>378</v>
      </c>
      <c r="U68">
        <v>1522</v>
      </c>
      <c r="V68">
        <v>9</v>
      </c>
      <c r="W68">
        <v>0</v>
      </c>
      <c r="X68">
        <v>50</v>
      </c>
      <c r="Y68">
        <v>63</v>
      </c>
      <c r="Z68">
        <v>23</v>
      </c>
      <c r="AA68">
        <v>78</v>
      </c>
      <c r="AB68">
        <v>448</v>
      </c>
      <c r="AC68">
        <v>845</v>
      </c>
      <c r="AG68">
        <v>41</v>
      </c>
      <c r="AH68">
        <v>90</v>
      </c>
      <c r="AI68">
        <v>1339</v>
      </c>
      <c r="AL68">
        <v>127</v>
      </c>
      <c r="AR68">
        <v>226</v>
      </c>
      <c r="AS68">
        <v>280</v>
      </c>
      <c r="AV68">
        <v>27</v>
      </c>
    </row>
    <row r="69" spans="1:48" x14ac:dyDescent="0.25">
      <c r="A69" s="17">
        <v>43271</v>
      </c>
      <c r="B69">
        <v>215</v>
      </c>
      <c r="C69">
        <v>214</v>
      </c>
      <c r="D69">
        <v>334</v>
      </c>
      <c r="E69">
        <v>75</v>
      </c>
      <c r="F69">
        <v>326</v>
      </c>
      <c r="G69">
        <v>130</v>
      </c>
      <c r="H69">
        <v>196</v>
      </c>
      <c r="I69">
        <v>53</v>
      </c>
      <c r="J69">
        <v>259</v>
      </c>
      <c r="K69">
        <v>157</v>
      </c>
      <c r="L69">
        <v>285</v>
      </c>
      <c r="M69">
        <v>13</v>
      </c>
      <c r="N69">
        <v>34</v>
      </c>
      <c r="O69">
        <v>208</v>
      </c>
      <c r="P69">
        <v>30</v>
      </c>
      <c r="Q69">
        <v>440</v>
      </c>
      <c r="R69">
        <v>1279</v>
      </c>
      <c r="S69">
        <v>788</v>
      </c>
      <c r="T69">
        <v>361</v>
      </c>
      <c r="U69">
        <v>1483</v>
      </c>
      <c r="V69">
        <v>3</v>
      </c>
      <c r="W69">
        <v>0</v>
      </c>
      <c r="X69">
        <v>39</v>
      </c>
      <c r="Y69">
        <v>51</v>
      </c>
      <c r="Z69">
        <v>16</v>
      </c>
      <c r="AA69">
        <v>65</v>
      </c>
      <c r="AB69">
        <v>300</v>
      </c>
      <c r="AC69">
        <v>711</v>
      </c>
      <c r="AG69">
        <v>88</v>
      </c>
      <c r="AH69">
        <v>90</v>
      </c>
      <c r="AI69">
        <v>1199</v>
      </c>
      <c r="AL69">
        <v>161</v>
      </c>
      <c r="AR69">
        <v>176</v>
      </c>
      <c r="AS69">
        <v>247</v>
      </c>
      <c r="AV69">
        <v>16</v>
      </c>
    </row>
    <row r="70" spans="1:48" x14ac:dyDescent="0.25">
      <c r="A70" s="17">
        <v>43273</v>
      </c>
      <c r="B70">
        <v>201</v>
      </c>
      <c r="C70">
        <v>236</v>
      </c>
      <c r="D70">
        <v>320</v>
      </c>
      <c r="E70">
        <v>57</v>
      </c>
      <c r="F70">
        <v>312</v>
      </c>
      <c r="G70">
        <v>125</v>
      </c>
      <c r="H70">
        <v>183</v>
      </c>
      <c r="I70">
        <v>279</v>
      </c>
      <c r="J70">
        <v>246</v>
      </c>
      <c r="K70">
        <v>81</v>
      </c>
      <c r="L70">
        <v>304</v>
      </c>
      <c r="M70">
        <v>7</v>
      </c>
      <c r="N70">
        <v>254</v>
      </c>
      <c r="O70">
        <v>426</v>
      </c>
      <c r="P70">
        <v>178</v>
      </c>
      <c r="Q70">
        <v>329</v>
      </c>
      <c r="R70">
        <v>1274</v>
      </c>
      <c r="S70">
        <v>857</v>
      </c>
      <c r="T70">
        <v>345</v>
      </c>
      <c r="U70">
        <v>1414</v>
      </c>
      <c r="V70">
        <v>65</v>
      </c>
      <c r="W70">
        <v>0</v>
      </c>
      <c r="X70">
        <v>29</v>
      </c>
      <c r="Y70">
        <v>43</v>
      </c>
      <c r="Z70">
        <v>10</v>
      </c>
      <c r="AA70">
        <v>39</v>
      </c>
      <c r="AB70">
        <v>923</v>
      </c>
      <c r="AC70">
        <v>578</v>
      </c>
      <c r="AG70">
        <v>90</v>
      </c>
      <c r="AH70">
        <v>90</v>
      </c>
      <c r="AI70">
        <v>1037</v>
      </c>
      <c r="AL70">
        <v>181</v>
      </c>
      <c r="AR70">
        <v>114</v>
      </c>
      <c r="AS70">
        <v>205</v>
      </c>
      <c r="AV70">
        <v>10</v>
      </c>
    </row>
    <row r="71" spans="1:48" x14ac:dyDescent="0.25">
      <c r="A71" s="17">
        <v>43276</v>
      </c>
      <c r="B71">
        <v>194</v>
      </c>
      <c r="C71">
        <v>228</v>
      </c>
      <c r="D71">
        <v>312</v>
      </c>
      <c r="E71">
        <v>34</v>
      </c>
      <c r="F71">
        <v>304</v>
      </c>
      <c r="G71">
        <v>118</v>
      </c>
      <c r="H71">
        <v>175</v>
      </c>
      <c r="I71">
        <v>239</v>
      </c>
      <c r="J71">
        <v>236</v>
      </c>
      <c r="K71">
        <v>44</v>
      </c>
      <c r="L71">
        <v>257</v>
      </c>
      <c r="M71">
        <v>297</v>
      </c>
      <c r="N71">
        <v>214</v>
      </c>
      <c r="O71">
        <v>389</v>
      </c>
      <c r="P71">
        <v>149</v>
      </c>
      <c r="Q71">
        <v>1066</v>
      </c>
      <c r="R71">
        <v>1267</v>
      </c>
      <c r="S71">
        <v>847</v>
      </c>
      <c r="T71">
        <v>337</v>
      </c>
      <c r="U71">
        <v>1376</v>
      </c>
      <c r="V71">
        <v>55</v>
      </c>
      <c r="W71">
        <v>0</v>
      </c>
      <c r="X71">
        <v>14</v>
      </c>
      <c r="Y71">
        <v>34</v>
      </c>
      <c r="Z71">
        <v>96</v>
      </c>
      <c r="AA71">
        <v>28</v>
      </c>
      <c r="AB71">
        <v>719</v>
      </c>
      <c r="AC71">
        <v>388</v>
      </c>
      <c r="AG71">
        <v>70</v>
      </c>
      <c r="AH71">
        <v>90</v>
      </c>
      <c r="AI71">
        <v>548</v>
      </c>
      <c r="AL71">
        <v>178</v>
      </c>
      <c r="AR71">
        <v>481</v>
      </c>
      <c r="AS71">
        <v>137</v>
      </c>
      <c r="AV71">
        <v>95</v>
      </c>
    </row>
    <row r="72" spans="1:48" x14ac:dyDescent="0.25">
      <c r="A72" s="17">
        <v>43278</v>
      </c>
      <c r="B72">
        <v>184</v>
      </c>
      <c r="C72">
        <v>220</v>
      </c>
      <c r="D72">
        <v>304</v>
      </c>
      <c r="E72">
        <v>19</v>
      </c>
      <c r="F72">
        <v>294</v>
      </c>
      <c r="G72">
        <v>191</v>
      </c>
      <c r="H72">
        <v>256</v>
      </c>
      <c r="I72">
        <v>196</v>
      </c>
      <c r="J72">
        <v>232</v>
      </c>
      <c r="K72">
        <v>282</v>
      </c>
      <c r="L72">
        <v>335</v>
      </c>
      <c r="M72">
        <v>289</v>
      </c>
      <c r="N72">
        <v>171</v>
      </c>
      <c r="O72">
        <v>347</v>
      </c>
      <c r="P72">
        <v>130</v>
      </c>
      <c r="Q72">
        <v>975</v>
      </c>
      <c r="R72">
        <v>1262</v>
      </c>
      <c r="S72">
        <v>840</v>
      </c>
      <c r="T72">
        <v>326</v>
      </c>
      <c r="U72">
        <v>1345</v>
      </c>
      <c r="V72">
        <v>49</v>
      </c>
      <c r="W72">
        <v>0</v>
      </c>
      <c r="X72">
        <v>4</v>
      </c>
      <c r="Y72">
        <v>28</v>
      </c>
      <c r="Z72">
        <v>90</v>
      </c>
      <c r="AA72">
        <v>22</v>
      </c>
      <c r="AB72">
        <v>588</v>
      </c>
      <c r="AC72">
        <v>266</v>
      </c>
      <c r="AG72">
        <v>46</v>
      </c>
      <c r="AH72">
        <v>90</v>
      </c>
      <c r="AI72">
        <v>414</v>
      </c>
      <c r="AL72">
        <v>272</v>
      </c>
      <c r="AR72">
        <v>440</v>
      </c>
      <c r="AS72">
        <v>110</v>
      </c>
      <c r="AV72">
        <v>87</v>
      </c>
    </row>
    <row r="73" spans="1:48" x14ac:dyDescent="0.25">
      <c r="A73" s="17">
        <v>43279</v>
      </c>
      <c r="B73">
        <v>183</v>
      </c>
      <c r="C73">
        <v>218</v>
      </c>
      <c r="D73">
        <v>300</v>
      </c>
      <c r="E73">
        <v>11</v>
      </c>
      <c r="F73">
        <v>293</v>
      </c>
      <c r="G73">
        <v>189</v>
      </c>
      <c r="H73">
        <v>254</v>
      </c>
      <c r="I73">
        <v>175</v>
      </c>
      <c r="J73">
        <v>230</v>
      </c>
      <c r="K73">
        <v>260</v>
      </c>
      <c r="L73">
        <v>310</v>
      </c>
      <c r="M73">
        <v>285</v>
      </c>
      <c r="N73">
        <v>150</v>
      </c>
      <c r="O73">
        <v>326</v>
      </c>
      <c r="P73">
        <v>120</v>
      </c>
      <c r="Q73">
        <v>931</v>
      </c>
      <c r="R73">
        <v>1260</v>
      </c>
      <c r="S73">
        <v>838</v>
      </c>
      <c r="T73">
        <v>324</v>
      </c>
      <c r="U73">
        <v>1321</v>
      </c>
      <c r="V73">
        <v>46</v>
      </c>
      <c r="W73">
        <v>0</v>
      </c>
      <c r="X73">
        <v>95</v>
      </c>
      <c r="Y73">
        <v>25</v>
      </c>
      <c r="Z73">
        <v>87</v>
      </c>
      <c r="AA73">
        <v>19</v>
      </c>
      <c r="AB73">
        <v>521</v>
      </c>
      <c r="AC73">
        <v>203</v>
      </c>
      <c r="AG73">
        <v>85</v>
      </c>
      <c r="AH73">
        <v>90</v>
      </c>
      <c r="AI73">
        <v>1947</v>
      </c>
      <c r="AL73">
        <v>237</v>
      </c>
      <c r="AR73">
        <v>416</v>
      </c>
      <c r="AS73">
        <v>94</v>
      </c>
      <c r="AV73">
        <v>83</v>
      </c>
    </row>
    <row r="74" spans="1:48" x14ac:dyDescent="0.25">
      <c r="A74" s="17">
        <v>43280</v>
      </c>
      <c r="B74">
        <v>179</v>
      </c>
      <c r="C74">
        <v>235</v>
      </c>
      <c r="D74">
        <v>298</v>
      </c>
      <c r="E74">
        <v>74</v>
      </c>
      <c r="F74">
        <v>290</v>
      </c>
      <c r="G74">
        <v>187</v>
      </c>
      <c r="H74">
        <v>251</v>
      </c>
      <c r="I74">
        <v>151</v>
      </c>
      <c r="J74">
        <v>228</v>
      </c>
      <c r="K74">
        <v>236</v>
      </c>
      <c r="L74">
        <v>283</v>
      </c>
      <c r="M74">
        <v>268</v>
      </c>
      <c r="N74">
        <v>126</v>
      </c>
      <c r="O74">
        <v>422</v>
      </c>
      <c r="P74">
        <v>109</v>
      </c>
      <c r="Q74">
        <v>888</v>
      </c>
      <c r="R74">
        <v>1258</v>
      </c>
      <c r="S74">
        <v>833</v>
      </c>
      <c r="T74">
        <v>321</v>
      </c>
      <c r="U74">
        <v>1287</v>
      </c>
      <c r="V74">
        <v>43</v>
      </c>
      <c r="W74">
        <v>0</v>
      </c>
      <c r="X74">
        <v>90</v>
      </c>
      <c r="Y74">
        <v>22</v>
      </c>
      <c r="Z74">
        <v>83</v>
      </c>
      <c r="AA74">
        <v>16</v>
      </c>
      <c r="AB74">
        <v>455</v>
      </c>
      <c r="AC74">
        <v>929</v>
      </c>
      <c r="AG74">
        <v>88</v>
      </c>
      <c r="AH74">
        <v>90</v>
      </c>
      <c r="AI74">
        <v>1883</v>
      </c>
      <c r="AL74">
        <v>203</v>
      </c>
      <c r="AR74">
        <v>401</v>
      </c>
      <c r="AS74">
        <v>117</v>
      </c>
      <c r="AV74">
        <v>80</v>
      </c>
    </row>
    <row r="75" spans="1:48" x14ac:dyDescent="0.25">
      <c r="A75" s="17">
        <v>43283</v>
      </c>
      <c r="B75">
        <v>156</v>
      </c>
      <c r="C75">
        <v>219</v>
      </c>
      <c r="D75">
        <v>281</v>
      </c>
      <c r="E75">
        <v>43</v>
      </c>
      <c r="F75">
        <v>265</v>
      </c>
      <c r="G75">
        <v>171</v>
      </c>
      <c r="H75">
        <v>227</v>
      </c>
      <c r="I75">
        <v>110</v>
      </c>
      <c r="J75">
        <v>237</v>
      </c>
      <c r="K75">
        <v>195</v>
      </c>
      <c r="L75">
        <v>341</v>
      </c>
      <c r="M75">
        <v>241</v>
      </c>
      <c r="N75">
        <v>86</v>
      </c>
      <c r="O75">
        <v>395</v>
      </c>
      <c r="P75">
        <v>70</v>
      </c>
      <c r="Q75">
        <v>775</v>
      </c>
      <c r="R75">
        <v>1244</v>
      </c>
      <c r="S75">
        <v>809</v>
      </c>
      <c r="T75">
        <v>296</v>
      </c>
      <c r="U75">
        <v>1660</v>
      </c>
      <c r="V75">
        <v>32</v>
      </c>
      <c r="W75">
        <v>0</v>
      </c>
      <c r="X75">
        <v>75</v>
      </c>
      <c r="Y75">
        <v>13</v>
      </c>
      <c r="Z75">
        <v>72</v>
      </c>
      <c r="AA75">
        <v>6</v>
      </c>
      <c r="AB75">
        <v>245</v>
      </c>
      <c r="AC75">
        <v>736</v>
      </c>
      <c r="AG75">
        <v>25</v>
      </c>
      <c r="AH75">
        <v>90</v>
      </c>
      <c r="AI75">
        <v>1711</v>
      </c>
      <c r="AL75">
        <v>153</v>
      </c>
      <c r="AR75">
        <v>333</v>
      </c>
      <c r="AS75">
        <v>72</v>
      </c>
      <c r="AV75">
        <v>71</v>
      </c>
    </row>
    <row r="76" spans="1:48" x14ac:dyDescent="0.25">
      <c r="A76" s="17">
        <v>43286</v>
      </c>
      <c r="B76">
        <v>147</v>
      </c>
      <c r="C76">
        <v>209</v>
      </c>
      <c r="D76">
        <v>272</v>
      </c>
      <c r="E76">
        <v>20</v>
      </c>
      <c r="F76">
        <v>246</v>
      </c>
      <c r="G76">
        <v>166</v>
      </c>
      <c r="H76">
        <v>219</v>
      </c>
      <c r="I76">
        <v>77</v>
      </c>
      <c r="J76">
        <v>220</v>
      </c>
      <c r="K76">
        <v>158</v>
      </c>
      <c r="L76">
        <v>298</v>
      </c>
      <c r="M76">
        <v>228</v>
      </c>
      <c r="N76">
        <v>50</v>
      </c>
      <c r="O76">
        <v>363</v>
      </c>
      <c r="P76">
        <v>40</v>
      </c>
      <c r="Q76">
        <v>674</v>
      </c>
      <c r="R76">
        <v>1234</v>
      </c>
      <c r="S76">
        <v>799</v>
      </c>
      <c r="T76">
        <v>287</v>
      </c>
      <c r="U76">
        <v>1621</v>
      </c>
      <c r="V76">
        <v>23</v>
      </c>
      <c r="W76">
        <v>0</v>
      </c>
      <c r="X76">
        <v>60</v>
      </c>
      <c r="Y76">
        <v>3</v>
      </c>
      <c r="Z76">
        <v>63</v>
      </c>
      <c r="AA76">
        <v>82</v>
      </c>
      <c r="AB76">
        <v>921</v>
      </c>
      <c r="AC76">
        <v>562</v>
      </c>
      <c r="AG76">
        <v>64</v>
      </c>
      <c r="AH76">
        <v>90</v>
      </c>
      <c r="AI76">
        <v>1561</v>
      </c>
      <c r="AL76">
        <v>185</v>
      </c>
      <c r="AR76">
        <v>277</v>
      </c>
      <c r="AS76">
        <v>466</v>
      </c>
      <c r="AV76">
        <v>61</v>
      </c>
    </row>
    <row r="77" spans="1:48" x14ac:dyDescent="0.25">
      <c r="A77" s="17">
        <v>43290</v>
      </c>
      <c r="B77">
        <v>134</v>
      </c>
      <c r="C77">
        <v>225</v>
      </c>
      <c r="D77">
        <v>372</v>
      </c>
      <c r="E77">
        <v>64</v>
      </c>
      <c r="F77">
        <v>370</v>
      </c>
      <c r="G77">
        <v>157</v>
      </c>
      <c r="H77">
        <v>207</v>
      </c>
      <c r="I77">
        <v>38</v>
      </c>
      <c r="J77">
        <v>204</v>
      </c>
      <c r="K77">
        <v>116</v>
      </c>
      <c r="L77">
        <v>320</v>
      </c>
      <c r="M77">
        <v>209</v>
      </c>
      <c r="N77">
        <v>283</v>
      </c>
      <c r="O77">
        <v>326</v>
      </c>
      <c r="P77">
        <v>179</v>
      </c>
      <c r="Q77">
        <v>1010</v>
      </c>
      <c r="R77">
        <v>592</v>
      </c>
      <c r="S77">
        <v>779</v>
      </c>
      <c r="T77">
        <v>375</v>
      </c>
      <c r="U77">
        <v>1570</v>
      </c>
      <c r="V77">
        <v>11</v>
      </c>
      <c r="W77">
        <v>0</v>
      </c>
      <c r="X77">
        <v>40</v>
      </c>
      <c r="Y77">
        <v>88</v>
      </c>
      <c r="Z77">
        <v>51</v>
      </c>
      <c r="AA77">
        <v>70</v>
      </c>
      <c r="AB77">
        <v>663</v>
      </c>
      <c r="AC77">
        <v>320</v>
      </c>
      <c r="AG77">
        <v>38</v>
      </c>
      <c r="AH77">
        <v>90</v>
      </c>
      <c r="AI77">
        <v>1855</v>
      </c>
      <c r="AL77">
        <v>279</v>
      </c>
      <c r="AR77">
        <v>194</v>
      </c>
      <c r="AS77">
        <v>411</v>
      </c>
      <c r="AV77">
        <v>49</v>
      </c>
    </row>
    <row r="78" spans="1:48" x14ac:dyDescent="0.25">
      <c r="A78" s="17">
        <v>43292</v>
      </c>
      <c r="B78">
        <v>125</v>
      </c>
      <c r="C78">
        <v>217</v>
      </c>
      <c r="D78">
        <v>362</v>
      </c>
      <c r="E78">
        <v>49</v>
      </c>
      <c r="F78">
        <v>358</v>
      </c>
      <c r="G78">
        <v>153</v>
      </c>
      <c r="H78">
        <v>199</v>
      </c>
      <c r="I78">
        <v>276</v>
      </c>
      <c r="J78">
        <v>200</v>
      </c>
      <c r="K78">
        <v>273</v>
      </c>
      <c r="L78">
        <v>349</v>
      </c>
      <c r="M78">
        <v>194</v>
      </c>
      <c r="N78">
        <v>218</v>
      </c>
      <c r="O78">
        <v>260</v>
      </c>
      <c r="P78">
        <v>160</v>
      </c>
      <c r="Q78">
        <v>895</v>
      </c>
      <c r="R78">
        <v>1403</v>
      </c>
      <c r="S78">
        <v>773</v>
      </c>
      <c r="T78">
        <v>365</v>
      </c>
      <c r="U78">
        <v>1515</v>
      </c>
      <c r="V78">
        <v>5</v>
      </c>
      <c r="W78">
        <v>0</v>
      </c>
      <c r="X78">
        <v>30</v>
      </c>
      <c r="Y78">
        <v>82</v>
      </c>
      <c r="Z78">
        <v>45</v>
      </c>
      <c r="AA78">
        <v>64</v>
      </c>
      <c r="AB78">
        <v>518</v>
      </c>
      <c r="AC78">
        <v>197</v>
      </c>
      <c r="AG78">
        <v>90</v>
      </c>
      <c r="AH78">
        <v>90</v>
      </c>
      <c r="AI78">
        <v>1690</v>
      </c>
      <c r="AL78">
        <v>214</v>
      </c>
      <c r="AR78">
        <v>135</v>
      </c>
      <c r="AS78">
        <v>372</v>
      </c>
      <c r="AV78">
        <v>42</v>
      </c>
    </row>
    <row r="79" spans="1:48" x14ac:dyDescent="0.25">
      <c r="A79" s="17">
        <v>43293</v>
      </c>
      <c r="B79">
        <v>119</v>
      </c>
      <c r="C79">
        <v>212</v>
      </c>
      <c r="D79">
        <v>358</v>
      </c>
      <c r="E79">
        <v>41</v>
      </c>
      <c r="F79">
        <v>355</v>
      </c>
      <c r="G79">
        <v>150</v>
      </c>
      <c r="H79">
        <v>194</v>
      </c>
      <c r="I79">
        <v>239</v>
      </c>
      <c r="J79">
        <v>199</v>
      </c>
      <c r="K79">
        <v>235</v>
      </c>
      <c r="L79">
        <v>309</v>
      </c>
      <c r="M79">
        <v>189</v>
      </c>
      <c r="N79">
        <v>181</v>
      </c>
      <c r="O79">
        <v>221</v>
      </c>
      <c r="P79">
        <v>150</v>
      </c>
      <c r="Q79">
        <v>837</v>
      </c>
      <c r="R79">
        <v>1398</v>
      </c>
      <c r="S79">
        <v>771</v>
      </c>
      <c r="T79">
        <v>359</v>
      </c>
      <c r="U79">
        <v>1477</v>
      </c>
      <c r="V79">
        <v>2</v>
      </c>
      <c r="W79">
        <v>0</v>
      </c>
      <c r="X79">
        <v>25</v>
      </c>
      <c r="Y79">
        <v>79</v>
      </c>
      <c r="Z79">
        <v>42</v>
      </c>
      <c r="AA79">
        <v>60</v>
      </c>
      <c r="AB79">
        <v>451</v>
      </c>
      <c r="AC79">
        <v>135</v>
      </c>
      <c r="AG79">
        <v>80</v>
      </c>
      <c r="AH79">
        <v>90</v>
      </c>
      <c r="AI79">
        <v>1606</v>
      </c>
      <c r="AL79">
        <v>184</v>
      </c>
      <c r="AR79">
        <v>106</v>
      </c>
      <c r="AS79">
        <v>353</v>
      </c>
      <c r="AV79">
        <v>39</v>
      </c>
    </row>
    <row r="80" spans="1:48" x14ac:dyDescent="0.25">
      <c r="A80" s="17">
        <v>43304</v>
      </c>
      <c r="B80">
        <v>261</v>
      </c>
      <c r="C80">
        <v>229</v>
      </c>
      <c r="D80">
        <v>326</v>
      </c>
      <c r="E80">
        <v>19</v>
      </c>
      <c r="F80">
        <v>322</v>
      </c>
      <c r="G80">
        <v>207</v>
      </c>
      <c r="H80">
        <v>231</v>
      </c>
      <c r="I80">
        <v>144</v>
      </c>
      <c r="J80">
        <v>177</v>
      </c>
      <c r="K80">
        <v>293</v>
      </c>
      <c r="L80">
        <v>327</v>
      </c>
      <c r="M80">
        <v>122</v>
      </c>
      <c r="N80">
        <v>269</v>
      </c>
      <c r="O80">
        <v>360</v>
      </c>
      <c r="P80">
        <v>34</v>
      </c>
      <c r="Q80">
        <v>347</v>
      </c>
      <c r="R80">
        <v>1316</v>
      </c>
      <c r="S80">
        <v>818</v>
      </c>
      <c r="T80">
        <v>324</v>
      </c>
      <c r="U80">
        <v>1262</v>
      </c>
      <c r="V80">
        <v>43</v>
      </c>
      <c r="W80">
        <v>0</v>
      </c>
      <c r="X80">
        <v>55</v>
      </c>
      <c r="Y80">
        <v>45</v>
      </c>
      <c r="Z80">
        <v>73</v>
      </c>
      <c r="AA80">
        <v>25</v>
      </c>
      <c r="AB80">
        <v>542</v>
      </c>
      <c r="AC80">
        <v>311</v>
      </c>
      <c r="AG80">
        <v>51</v>
      </c>
      <c r="AH80">
        <v>90</v>
      </c>
      <c r="AI80">
        <v>886</v>
      </c>
      <c r="AL80">
        <v>247</v>
      </c>
      <c r="AR80">
        <v>258</v>
      </c>
      <c r="AS80">
        <v>183</v>
      </c>
      <c r="AV80">
        <v>97</v>
      </c>
    </row>
    <row r="81" spans="1:48" x14ac:dyDescent="0.25">
      <c r="A81" s="17">
        <v>43306</v>
      </c>
      <c r="B81">
        <v>251</v>
      </c>
      <c r="C81">
        <v>220</v>
      </c>
      <c r="D81">
        <v>315</v>
      </c>
      <c r="E81">
        <v>5</v>
      </c>
      <c r="F81">
        <v>311</v>
      </c>
      <c r="G81">
        <v>201</v>
      </c>
      <c r="H81">
        <v>220</v>
      </c>
      <c r="I81">
        <v>89</v>
      </c>
      <c r="J81">
        <v>174</v>
      </c>
      <c r="K81">
        <v>237</v>
      </c>
      <c r="L81">
        <v>267</v>
      </c>
      <c r="M81">
        <v>113</v>
      </c>
      <c r="N81">
        <v>213</v>
      </c>
      <c r="O81">
        <v>308</v>
      </c>
      <c r="P81">
        <v>11</v>
      </c>
      <c r="Q81">
        <v>244</v>
      </c>
      <c r="R81">
        <v>1312</v>
      </c>
      <c r="S81">
        <v>813</v>
      </c>
      <c r="T81">
        <v>313</v>
      </c>
      <c r="U81">
        <v>1207</v>
      </c>
      <c r="V81">
        <v>36</v>
      </c>
      <c r="W81">
        <v>0</v>
      </c>
      <c r="X81">
        <v>45</v>
      </c>
      <c r="Y81">
        <v>38</v>
      </c>
      <c r="Z81">
        <v>66</v>
      </c>
      <c r="AA81">
        <v>18</v>
      </c>
      <c r="AB81">
        <v>407</v>
      </c>
      <c r="AC81">
        <v>185</v>
      </c>
      <c r="AG81">
        <v>25</v>
      </c>
      <c r="AH81">
        <v>90</v>
      </c>
      <c r="AI81">
        <v>739</v>
      </c>
      <c r="AL81">
        <v>293</v>
      </c>
      <c r="AR81">
        <v>209</v>
      </c>
      <c r="AS81">
        <v>150</v>
      </c>
      <c r="AV81">
        <v>91</v>
      </c>
    </row>
    <row r="82" spans="1:48" x14ac:dyDescent="0.25">
      <c r="A82" s="17">
        <v>43308</v>
      </c>
      <c r="B82">
        <v>244</v>
      </c>
      <c r="C82">
        <v>239</v>
      </c>
      <c r="D82">
        <v>307</v>
      </c>
      <c r="E82">
        <v>66</v>
      </c>
      <c r="F82">
        <v>304</v>
      </c>
      <c r="G82">
        <v>197</v>
      </c>
      <c r="H82">
        <v>213</v>
      </c>
      <c r="I82">
        <v>45</v>
      </c>
      <c r="J82">
        <v>170</v>
      </c>
      <c r="K82">
        <v>186</v>
      </c>
      <c r="L82">
        <v>322</v>
      </c>
      <c r="M82">
        <v>105</v>
      </c>
      <c r="N82">
        <v>163</v>
      </c>
      <c r="O82">
        <v>259</v>
      </c>
      <c r="P82">
        <v>168</v>
      </c>
      <c r="Q82">
        <v>150</v>
      </c>
      <c r="R82">
        <v>1309</v>
      </c>
      <c r="S82">
        <v>805</v>
      </c>
      <c r="T82">
        <v>306</v>
      </c>
      <c r="U82">
        <v>1697</v>
      </c>
      <c r="V82">
        <v>30</v>
      </c>
      <c r="W82">
        <v>0</v>
      </c>
      <c r="X82">
        <v>35</v>
      </c>
      <c r="Y82">
        <v>32</v>
      </c>
      <c r="Z82">
        <v>60</v>
      </c>
      <c r="AA82">
        <v>12</v>
      </c>
      <c r="AB82">
        <v>278</v>
      </c>
      <c r="AC82">
        <v>869</v>
      </c>
      <c r="AG82">
        <v>62</v>
      </c>
      <c r="AH82">
        <v>90</v>
      </c>
      <c r="AI82">
        <v>604</v>
      </c>
      <c r="AL82">
        <v>172</v>
      </c>
      <c r="AR82">
        <v>161</v>
      </c>
      <c r="AS82">
        <v>118</v>
      </c>
      <c r="AV82">
        <v>84</v>
      </c>
    </row>
  </sheetData>
  <pageMargins left="0.7" right="0.7" top="0.75" bottom="0.75" header="0.3" footer="0.3"/>
  <pageSetup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156"/>
  <sheetViews>
    <sheetView topLeftCell="AX1" workbookViewId="0">
      <pane ySplit="1" topLeftCell="A2" activePane="bottomLeft" state="frozen"/>
      <selection activeCell="AI1" sqref="AI1"/>
      <selection pane="bottomLeft" activeCell="B139" sqref="B139"/>
    </sheetView>
  </sheetViews>
  <sheetFormatPr defaultRowHeight="15" x14ac:dyDescent="0.25"/>
  <cols>
    <col min="1" max="1" width="10.7109375" bestFit="1" customWidth="1"/>
    <col min="49" max="49" width="18.28515625" bestFit="1" customWidth="1"/>
    <col min="54" max="54" width="14.140625" customWidth="1"/>
    <col min="64" max="64" width="16" bestFit="1" customWidth="1"/>
    <col min="67" max="67" width="14.85546875" bestFit="1" customWidth="1"/>
  </cols>
  <sheetData>
    <row r="1" spans="1:73" x14ac:dyDescent="0.25">
      <c r="A1" t="s">
        <v>52</v>
      </c>
      <c r="B1" t="s">
        <v>32</v>
      </c>
      <c r="C1" t="s">
        <v>34</v>
      </c>
      <c r="D1" t="s">
        <v>33</v>
      </c>
      <c r="E1" t="s">
        <v>37</v>
      </c>
      <c r="F1" t="s">
        <v>35</v>
      </c>
      <c r="G1" t="s">
        <v>36</v>
      </c>
      <c r="H1" t="s">
        <v>18</v>
      </c>
      <c r="I1" t="s">
        <v>13</v>
      </c>
      <c r="J1" t="s">
        <v>10</v>
      </c>
      <c r="K1" t="s">
        <v>17</v>
      </c>
      <c r="L1" t="s">
        <v>5</v>
      </c>
      <c r="M1" t="s">
        <v>16</v>
      </c>
      <c r="N1" t="s">
        <v>15</v>
      </c>
      <c r="O1" t="s">
        <v>7</v>
      </c>
      <c r="P1" t="s">
        <v>6</v>
      </c>
      <c r="Q1" t="s">
        <v>22</v>
      </c>
      <c r="R1" t="s">
        <v>20</v>
      </c>
      <c r="S1" t="s">
        <v>21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49</v>
      </c>
      <c r="AD1" t="s">
        <v>39</v>
      </c>
      <c r="AE1" t="s">
        <v>42</v>
      </c>
      <c r="AF1" t="s">
        <v>40</v>
      </c>
      <c r="AG1" t="s">
        <v>41</v>
      </c>
      <c r="AH1" t="s">
        <v>38</v>
      </c>
      <c r="AI1" t="s">
        <v>12</v>
      </c>
      <c r="AJ1" t="s">
        <v>11</v>
      </c>
      <c r="AK1" t="s">
        <v>4</v>
      </c>
      <c r="AL1" t="s">
        <v>0</v>
      </c>
      <c r="AM1" t="s">
        <v>9</v>
      </c>
      <c r="AN1" t="s">
        <v>48</v>
      </c>
      <c r="AO1" t="s">
        <v>47</v>
      </c>
      <c r="AP1" t="s">
        <v>14</v>
      </c>
      <c r="AQ1" t="s">
        <v>19</v>
      </c>
      <c r="AR1" t="s">
        <v>1</v>
      </c>
      <c r="AS1" t="s">
        <v>2</v>
      </c>
      <c r="AT1" t="s">
        <v>3</v>
      </c>
      <c r="AU1" t="s">
        <v>8</v>
      </c>
      <c r="AV1" t="s">
        <v>53</v>
      </c>
      <c r="AW1" t="s">
        <v>73</v>
      </c>
      <c r="AX1" t="s">
        <v>72</v>
      </c>
      <c r="AY1" t="s">
        <v>54</v>
      </c>
      <c r="AZ1" t="s">
        <v>55</v>
      </c>
      <c r="BA1" t="s">
        <v>56</v>
      </c>
      <c r="BB1" t="s">
        <v>57</v>
      </c>
      <c r="BC1" t="s">
        <v>58</v>
      </c>
      <c r="BD1" t="s">
        <v>59</v>
      </c>
      <c r="BE1" t="s">
        <v>60</v>
      </c>
      <c r="BF1" t="s">
        <v>61</v>
      </c>
      <c r="BG1" t="s">
        <v>74</v>
      </c>
      <c r="BH1" t="s">
        <v>62</v>
      </c>
      <c r="BI1" t="s">
        <v>63</v>
      </c>
      <c r="BJ1" t="s">
        <v>64</v>
      </c>
      <c r="BK1" t="s">
        <v>65</v>
      </c>
      <c r="BL1" t="s">
        <v>69</v>
      </c>
      <c r="BM1" t="s">
        <v>70</v>
      </c>
      <c r="BN1" t="s">
        <v>71</v>
      </c>
      <c r="BO1" t="s">
        <v>66</v>
      </c>
      <c r="BP1" t="s">
        <v>67</v>
      </c>
      <c r="BQ1" t="s">
        <v>68</v>
      </c>
      <c r="BR1" t="s">
        <v>75</v>
      </c>
      <c r="BS1" t="s">
        <v>76</v>
      </c>
      <c r="BT1" t="s">
        <v>78</v>
      </c>
      <c r="BU1" t="s">
        <v>80</v>
      </c>
    </row>
    <row r="2" spans="1:73" x14ac:dyDescent="0.25">
      <c r="A2" s="17">
        <v>42963</v>
      </c>
      <c r="B2">
        <v>18</v>
      </c>
      <c r="C2">
        <v>2</v>
      </c>
      <c r="D2">
        <v>13</v>
      </c>
      <c r="E2">
        <v>15</v>
      </c>
      <c r="F2">
        <v>15</v>
      </c>
      <c r="G2">
        <v>15</v>
      </c>
      <c r="H2">
        <v>31</v>
      </c>
      <c r="I2">
        <v>12</v>
      </c>
      <c r="J2">
        <v>3</v>
      </c>
      <c r="K2">
        <v>6</v>
      </c>
      <c r="L2">
        <v>7</v>
      </c>
      <c r="M2">
        <v>9</v>
      </c>
      <c r="N2">
        <v>8</v>
      </c>
      <c r="O2">
        <v>7</v>
      </c>
      <c r="P2">
        <v>5</v>
      </c>
      <c r="Q2">
        <v>5</v>
      </c>
      <c r="R2">
        <v>1</v>
      </c>
      <c r="S2">
        <v>6</v>
      </c>
      <c r="T2">
        <v>14</v>
      </c>
      <c r="U2">
        <v>6</v>
      </c>
      <c r="V2">
        <v>4</v>
      </c>
      <c r="W2">
        <v>7</v>
      </c>
      <c r="X2">
        <v>8</v>
      </c>
      <c r="Y2">
        <v>6</v>
      </c>
      <c r="Z2">
        <v>15</v>
      </c>
      <c r="AA2">
        <v>3</v>
      </c>
      <c r="AB2">
        <v>6</v>
      </c>
      <c r="AC2">
        <v>2</v>
      </c>
      <c r="AD2">
        <v>2</v>
      </c>
      <c r="AE2">
        <v>2</v>
      </c>
      <c r="AF2">
        <v>2</v>
      </c>
      <c r="AG2">
        <v>1</v>
      </c>
      <c r="AH2">
        <v>1</v>
      </c>
      <c r="AI2">
        <v>5</v>
      </c>
      <c r="AJ2">
        <v>21</v>
      </c>
      <c r="AK2">
        <v>200</v>
      </c>
      <c r="AL2">
        <v>350</v>
      </c>
      <c r="AM2">
        <v>700</v>
      </c>
      <c r="AN2" t="s">
        <v>46</v>
      </c>
      <c r="AO2" t="s">
        <v>46</v>
      </c>
    </row>
    <row r="3" spans="1:73" x14ac:dyDescent="0.25">
      <c r="A3" s="17">
        <v>42964</v>
      </c>
      <c r="B3">
        <v>18</v>
      </c>
      <c r="C3">
        <v>1</v>
      </c>
      <c r="D3">
        <v>13</v>
      </c>
      <c r="E3">
        <v>14</v>
      </c>
      <c r="F3">
        <v>15</v>
      </c>
      <c r="G3">
        <v>15</v>
      </c>
      <c r="H3">
        <v>31</v>
      </c>
      <c r="I3">
        <v>12</v>
      </c>
      <c r="J3">
        <v>3</v>
      </c>
      <c r="K3">
        <v>6</v>
      </c>
      <c r="L3">
        <v>7</v>
      </c>
      <c r="M3">
        <v>9</v>
      </c>
      <c r="N3">
        <v>8</v>
      </c>
      <c r="O3">
        <v>7</v>
      </c>
      <c r="P3">
        <v>5</v>
      </c>
      <c r="Q3">
        <v>5</v>
      </c>
      <c r="R3">
        <v>1</v>
      </c>
      <c r="S3">
        <v>6</v>
      </c>
      <c r="T3">
        <v>14</v>
      </c>
      <c r="U3">
        <v>6</v>
      </c>
      <c r="V3">
        <v>4</v>
      </c>
      <c r="W3">
        <v>7</v>
      </c>
      <c r="X3">
        <v>8</v>
      </c>
      <c r="Y3">
        <v>5</v>
      </c>
      <c r="Z3">
        <v>14</v>
      </c>
      <c r="AA3">
        <v>3</v>
      </c>
      <c r="AB3">
        <v>6</v>
      </c>
      <c r="AC3">
        <v>1</v>
      </c>
      <c r="AD3">
        <v>2</v>
      </c>
      <c r="AE3">
        <v>2</v>
      </c>
      <c r="AF3">
        <v>2</v>
      </c>
      <c r="AG3">
        <v>1</v>
      </c>
      <c r="AH3">
        <v>1</v>
      </c>
      <c r="AI3">
        <v>5</v>
      </c>
      <c r="AJ3">
        <v>21</v>
      </c>
      <c r="AK3">
        <v>200</v>
      </c>
      <c r="AL3">
        <v>350</v>
      </c>
      <c r="AM3">
        <v>700</v>
      </c>
      <c r="AN3" t="s">
        <v>46</v>
      </c>
      <c r="AO3" t="s">
        <v>46</v>
      </c>
    </row>
    <row r="4" spans="1:73" x14ac:dyDescent="0.25">
      <c r="A4" s="17">
        <v>42965</v>
      </c>
      <c r="B4">
        <v>18</v>
      </c>
      <c r="C4">
        <v>1</v>
      </c>
      <c r="D4">
        <v>12</v>
      </c>
      <c r="E4">
        <v>14</v>
      </c>
      <c r="F4">
        <v>15</v>
      </c>
      <c r="G4">
        <v>15</v>
      </c>
      <c r="H4">
        <v>31</v>
      </c>
      <c r="I4">
        <v>12</v>
      </c>
      <c r="J4">
        <v>3</v>
      </c>
      <c r="K4">
        <v>6</v>
      </c>
      <c r="L4">
        <v>7</v>
      </c>
      <c r="M4">
        <v>9</v>
      </c>
      <c r="N4">
        <v>8</v>
      </c>
      <c r="O4">
        <v>7</v>
      </c>
      <c r="P4">
        <v>5</v>
      </c>
      <c r="Q4">
        <v>5</v>
      </c>
      <c r="R4">
        <v>1</v>
      </c>
      <c r="S4">
        <v>6</v>
      </c>
      <c r="T4">
        <v>14</v>
      </c>
      <c r="U4">
        <v>6</v>
      </c>
      <c r="V4">
        <v>4</v>
      </c>
      <c r="W4">
        <v>7</v>
      </c>
      <c r="X4">
        <v>7</v>
      </c>
      <c r="Y4">
        <v>5</v>
      </c>
      <c r="Z4">
        <v>14</v>
      </c>
      <c r="AA4">
        <v>3</v>
      </c>
      <c r="AB4">
        <v>6</v>
      </c>
      <c r="AC4">
        <v>1</v>
      </c>
      <c r="AD4">
        <v>2</v>
      </c>
      <c r="AE4">
        <v>2</v>
      </c>
      <c r="AF4">
        <v>2</v>
      </c>
      <c r="AG4">
        <v>1</v>
      </c>
      <c r="AH4">
        <v>1</v>
      </c>
      <c r="AI4">
        <v>5</v>
      </c>
      <c r="AJ4">
        <v>21</v>
      </c>
      <c r="AK4">
        <v>200</v>
      </c>
      <c r="AL4">
        <v>350</v>
      </c>
      <c r="AM4">
        <v>700</v>
      </c>
      <c r="AN4" t="s">
        <v>46</v>
      </c>
      <c r="AO4" t="s">
        <v>46</v>
      </c>
    </row>
    <row r="5" spans="1:73" x14ac:dyDescent="0.25">
      <c r="A5" s="17">
        <v>42968</v>
      </c>
      <c r="B5">
        <v>18</v>
      </c>
      <c r="C5">
        <v>1</v>
      </c>
      <c r="D5">
        <v>12</v>
      </c>
      <c r="E5">
        <v>14</v>
      </c>
      <c r="F5">
        <v>15</v>
      </c>
      <c r="G5">
        <v>15</v>
      </c>
      <c r="H5">
        <v>31</v>
      </c>
      <c r="I5">
        <v>12</v>
      </c>
      <c r="J5">
        <v>3</v>
      </c>
      <c r="K5">
        <v>6</v>
      </c>
      <c r="L5">
        <v>7</v>
      </c>
      <c r="M5">
        <v>9</v>
      </c>
      <c r="N5">
        <v>8</v>
      </c>
      <c r="O5">
        <v>7</v>
      </c>
      <c r="P5">
        <v>5</v>
      </c>
      <c r="Q5">
        <v>5</v>
      </c>
      <c r="R5">
        <v>1</v>
      </c>
      <c r="S5">
        <v>6</v>
      </c>
      <c r="T5">
        <v>14</v>
      </c>
      <c r="U5">
        <v>6</v>
      </c>
      <c r="V5">
        <v>4</v>
      </c>
      <c r="W5">
        <v>7</v>
      </c>
      <c r="X5">
        <v>7</v>
      </c>
      <c r="Y5">
        <v>5</v>
      </c>
      <c r="Z5">
        <v>14</v>
      </c>
      <c r="AA5">
        <v>3</v>
      </c>
      <c r="AB5">
        <v>6</v>
      </c>
      <c r="AC5">
        <v>1</v>
      </c>
      <c r="AD5">
        <v>2</v>
      </c>
      <c r="AE5">
        <v>2</v>
      </c>
      <c r="AF5">
        <v>2</v>
      </c>
      <c r="AG5">
        <v>1</v>
      </c>
      <c r="AH5">
        <v>1</v>
      </c>
      <c r="AI5">
        <v>5</v>
      </c>
      <c r="AJ5">
        <v>20</v>
      </c>
      <c r="AK5">
        <v>200</v>
      </c>
      <c r="AL5">
        <v>350</v>
      </c>
      <c r="AM5">
        <v>700</v>
      </c>
      <c r="AN5" t="s">
        <v>46</v>
      </c>
      <c r="AO5" t="s">
        <v>46</v>
      </c>
    </row>
    <row r="6" spans="1:73" x14ac:dyDescent="0.25">
      <c r="A6" s="17">
        <v>42969</v>
      </c>
      <c r="B6">
        <v>18</v>
      </c>
      <c r="C6">
        <v>0</v>
      </c>
      <c r="D6">
        <v>12</v>
      </c>
      <c r="E6">
        <v>14</v>
      </c>
      <c r="F6">
        <v>14</v>
      </c>
      <c r="G6">
        <v>15</v>
      </c>
      <c r="H6">
        <v>31</v>
      </c>
      <c r="I6">
        <v>12</v>
      </c>
      <c r="J6">
        <v>3</v>
      </c>
      <c r="K6">
        <v>6</v>
      </c>
      <c r="L6">
        <v>6</v>
      </c>
      <c r="M6">
        <v>9</v>
      </c>
      <c r="N6">
        <v>8</v>
      </c>
      <c r="O6">
        <v>7</v>
      </c>
      <c r="P6">
        <v>5</v>
      </c>
      <c r="Q6">
        <v>4</v>
      </c>
      <c r="R6">
        <v>1</v>
      </c>
      <c r="S6">
        <v>6</v>
      </c>
      <c r="T6">
        <v>14</v>
      </c>
      <c r="U6">
        <v>6</v>
      </c>
      <c r="V6">
        <v>4</v>
      </c>
      <c r="W6">
        <v>7</v>
      </c>
      <c r="X6">
        <v>7</v>
      </c>
      <c r="Y6">
        <v>5</v>
      </c>
      <c r="Z6">
        <v>14</v>
      </c>
      <c r="AA6">
        <v>3</v>
      </c>
      <c r="AB6">
        <v>6</v>
      </c>
      <c r="AC6">
        <v>1</v>
      </c>
      <c r="AD6">
        <v>2</v>
      </c>
      <c r="AE6">
        <v>2</v>
      </c>
      <c r="AF6">
        <v>2</v>
      </c>
      <c r="AG6">
        <v>1</v>
      </c>
      <c r="AH6">
        <v>1</v>
      </c>
      <c r="AI6">
        <v>5</v>
      </c>
      <c r="AJ6">
        <v>20</v>
      </c>
      <c r="AK6">
        <v>200</v>
      </c>
      <c r="AL6">
        <v>350</v>
      </c>
      <c r="AM6">
        <v>700</v>
      </c>
      <c r="AN6" t="s">
        <v>46</v>
      </c>
      <c r="AO6" t="s">
        <v>46</v>
      </c>
    </row>
    <row r="7" spans="1:73" x14ac:dyDescent="0.25">
      <c r="A7" s="17">
        <v>42970</v>
      </c>
      <c r="B7">
        <v>18</v>
      </c>
      <c r="C7">
        <v>20</v>
      </c>
      <c r="D7">
        <v>12</v>
      </c>
      <c r="E7">
        <v>14</v>
      </c>
      <c r="F7">
        <v>34</v>
      </c>
      <c r="G7">
        <v>15</v>
      </c>
      <c r="H7">
        <v>31</v>
      </c>
      <c r="I7">
        <v>11</v>
      </c>
      <c r="J7">
        <v>3</v>
      </c>
      <c r="K7">
        <v>5</v>
      </c>
      <c r="L7">
        <v>6</v>
      </c>
      <c r="M7">
        <v>9</v>
      </c>
      <c r="N7">
        <v>8</v>
      </c>
      <c r="O7">
        <v>7</v>
      </c>
      <c r="P7">
        <v>5</v>
      </c>
      <c r="Q7">
        <v>10</v>
      </c>
      <c r="R7">
        <v>15</v>
      </c>
      <c r="S7">
        <v>26</v>
      </c>
      <c r="T7">
        <v>14</v>
      </c>
      <c r="U7">
        <v>26</v>
      </c>
      <c r="V7">
        <v>4</v>
      </c>
      <c r="W7">
        <v>7</v>
      </c>
      <c r="X7">
        <v>7</v>
      </c>
      <c r="Y7">
        <v>5</v>
      </c>
      <c r="Z7">
        <v>14</v>
      </c>
      <c r="AA7">
        <v>3</v>
      </c>
      <c r="AB7">
        <v>10</v>
      </c>
      <c r="AC7">
        <v>2</v>
      </c>
      <c r="AD7">
        <v>3</v>
      </c>
      <c r="AE7">
        <v>3</v>
      </c>
      <c r="AF7">
        <v>3</v>
      </c>
      <c r="AG7">
        <v>2</v>
      </c>
      <c r="AH7">
        <v>2</v>
      </c>
      <c r="AI7">
        <v>5</v>
      </c>
      <c r="AJ7">
        <v>20</v>
      </c>
      <c r="AK7">
        <v>200</v>
      </c>
      <c r="AL7">
        <v>350</v>
      </c>
      <c r="AM7">
        <v>700</v>
      </c>
      <c r="AN7" t="s">
        <v>46</v>
      </c>
      <c r="AO7" t="s">
        <v>46</v>
      </c>
    </row>
    <row r="8" spans="1:73" x14ac:dyDescent="0.25">
      <c r="A8" s="17">
        <v>42971</v>
      </c>
      <c r="B8">
        <v>18</v>
      </c>
      <c r="C8">
        <v>20</v>
      </c>
      <c r="D8">
        <v>12</v>
      </c>
      <c r="E8">
        <v>14</v>
      </c>
      <c r="F8">
        <v>34</v>
      </c>
      <c r="G8">
        <v>15</v>
      </c>
      <c r="H8">
        <v>31</v>
      </c>
      <c r="I8">
        <v>11</v>
      </c>
      <c r="J8">
        <v>3</v>
      </c>
      <c r="K8">
        <v>5</v>
      </c>
      <c r="L8">
        <v>6</v>
      </c>
      <c r="M8">
        <v>9</v>
      </c>
      <c r="N8">
        <v>6</v>
      </c>
      <c r="O8">
        <v>9</v>
      </c>
      <c r="P8">
        <v>9</v>
      </c>
      <c r="Q8">
        <v>10</v>
      </c>
      <c r="R8">
        <v>15</v>
      </c>
      <c r="S8">
        <v>26</v>
      </c>
      <c r="T8">
        <v>14</v>
      </c>
      <c r="U8">
        <v>26</v>
      </c>
      <c r="V8">
        <v>4</v>
      </c>
      <c r="W8">
        <v>7</v>
      </c>
      <c r="X8">
        <v>7</v>
      </c>
      <c r="Y8">
        <v>5</v>
      </c>
      <c r="Z8">
        <v>14</v>
      </c>
      <c r="AA8">
        <v>3</v>
      </c>
      <c r="AB8">
        <v>10</v>
      </c>
      <c r="AC8">
        <v>2</v>
      </c>
      <c r="AD8">
        <v>3</v>
      </c>
      <c r="AE8">
        <v>3</v>
      </c>
      <c r="AF8">
        <v>2</v>
      </c>
      <c r="AG8">
        <v>2</v>
      </c>
      <c r="AH8">
        <v>2</v>
      </c>
      <c r="AI8">
        <v>5</v>
      </c>
      <c r="AJ8">
        <v>20</v>
      </c>
      <c r="AK8">
        <v>200</v>
      </c>
      <c r="AL8">
        <v>350</v>
      </c>
      <c r="AM8">
        <v>700</v>
      </c>
      <c r="AN8" t="s">
        <v>46</v>
      </c>
      <c r="AO8" t="s">
        <v>46</v>
      </c>
    </row>
    <row r="9" spans="1:73" x14ac:dyDescent="0.25">
      <c r="A9" s="17">
        <v>42972</v>
      </c>
      <c r="B9">
        <v>18</v>
      </c>
      <c r="C9">
        <v>19</v>
      </c>
      <c r="D9">
        <v>12</v>
      </c>
      <c r="E9">
        <v>14</v>
      </c>
      <c r="F9">
        <v>34</v>
      </c>
      <c r="G9">
        <v>15</v>
      </c>
      <c r="H9">
        <v>31</v>
      </c>
      <c r="I9">
        <v>11</v>
      </c>
      <c r="J9">
        <v>2</v>
      </c>
      <c r="K9">
        <v>5</v>
      </c>
      <c r="L9">
        <v>6</v>
      </c>
      <c r="M9">
        <v>9</v>
      </c>
      <c r="N9">
        <v>6</v>
      </c>
      <c r="O9">
        <v>9</v>
      </c>
      <c r="P9">
        <v>9</v>
      </c>
      <c r="Q9">
        <v>10</v>
      </c>
      <c r="R9">
        <v>15</v>
      </c>
      <c r="S9">
        <v>26</v>
      </c>
      <c r="T9">
        <v>14</v>
      </c>
      <c r="U9">
        <v>26</v>
      </c>
      <c r="V9">
        <v>4</v>
      </c>
      <c r="W9">
        <v>7</v>
      </c>
      <c r="X9">
        <v>7</v>
      </c>
      <c r="Y9">
        <v>5</v>
      </c>
      <c r="Z9">
        <v>14</v>
      </c>
      <c r="AA9">
        <v>2</v>
      </c>
      <c r="AB9">
        <v>10</v>
      </c>
      <c r="AC9">
        <v>2</v>
      </c>
      <c r="AD9">
        <v>3</v>
      </c>
      <c r="AE9">
        <v>2</v>
      </c>
      <c r="AF9">
        <v>2</v>
      </c>
      <c r="AG9">
        <v>2</v>
      </c>
      <c r="AH9">
        <v>2</v>
      </c>
      <c r="AI9">
        <v>5</v>
      </c>
      <c r="AJ9">
        <v>20</v>
      </c>
      <c r="AK9">
        <v>200</v>
      </c>
      <c r="AL9">
        <v>350</v>
      </c>
      <c r="AM9">
        <v>700</v>
      </c>
      <c r="AN9" t="s">
        <v>46</v>
      </c>
      <c r="AO9" t="s">
        <v>46</v>
      </c>
    </row>
    <row r="10" spans="1:73" x14ac:dyDescent="0.25">
      <c r="A10" s="17">
        <v>42975</v>
      </c>
      <c r="B10">
        <v>18</v>
      </c>
      <c r="C10">
        <v>19</v>
      </c>
      <c r="D10">
        <v>12</v>
      </c>
      <c r="E10">
        <v>14</v>
      </c>
      <c r="F10">
        <v>34</v>
      </c>
      <c r="G10">
        <v>15</v>
      </c>
      <c r="H10">
        <v>31</v>
      </c>
      <c r="I10">
        <v>11</v>
      </c>
      <c r="J10">
        <v>2</v>
      </c>
      <c r="K10">
        <v>5</v>
      </c>
      <c r="L10">
        <v>6</v>
      </c>
      <c r="M10">
        <v>9</v>
      </c>
      <c r="N10">
        <v>6</v>
      </c>
      <c r="O10">
        <v>9</v>
      </c>
      <c r="P10">
        <v>8</v>
      </c>
      <c r="Q10">
        <v>10</v>
      </c>
      <c r="R10">
        <v>15</v>
      </c>
      <c r="S10">
        <v>26</v>
      </c>
      <c r="T10">
        <v>14</v>
      </c>
      <c r="U10">
        <v>26</v>
      </c>
      <c r="V10">
        <v>4</v>
      </c>
      <c r="W10">
        <v>7</v>
      </c>
      <c r="X10">
        <v>7</v>
      </c>
      <c r="Y10">
        <v>5</v>
      </c>
      <c r="Z10">
        <v>14</v>
      </c>
      <c r="AA10">
        <v>2</v>
      </c>
      <c r="AB10">
        <v>10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5</v>
      </c>
      <c r="AJ10">
        <v>20</v>
      </c>
      <c r="AK10">
        <v>200</v>
      </c>
      <c r="AL10">
        <v>350</v>
      </c>
      <c r="AM10">
        <v>700</v>
      </c>
      <c r="AN10" t="s">
        <v>46</v>
      </c>
      <c r="AO10" t="s">
        <v>46</v>
      </c>
    </row>
    <row r="11" spans="1:73" x14ac:dyDescent="0.25">
      <c r="A11" s="17">
        <v>42976</v>
      </c>
      <c r="B11">
        <v>17</v>
      </c>
      <c r="C11">
        <v>18</v>
      </c>
      <c r="D11">
        <v>12</v>
      </c>
      <c r="E11">
        <v>14</v>
      </c>
      <c r="F11">
        <v>34</v>
      </c>
      <c r="G11">
        <v>15</v>
      </c>
      <c r="H11">
        <v>31</v>
      </c>
      <c r="I11">
        <v>11</v>
      </c>
      <c r="J11">
        <v>2</v>
      </c>
      <c r="K11">
        <v>5</v>
      </c>
      <c r="L11">
        <v>6</v>
      </c>
      <c r="M11">
        <v>9</v>
      </c>
      <c r="N11">
        <v>6</v>
      </c>
      <c r="O11">
        <v>9</v>
      </c>
      <c r="P11">
        <v>8</v>
      </c>
      <c r="Q11">
        <v>10</v>
      </c>
      <c r="R11">
        <v>15</v>
      </c>
      <c r="S11">
        <v>26</v>
      </c>
      <c r="T11">
        <v>14</v>
      </c>
      <c r="U11">
        <v>26</v>
      </c>
      <c r="V11">
        <v>3</v>
      </c>
      <c r="W11">
        <v>7</v>
      </c>
      <c r="X11">
        <v>7</v>
      </c>
      <c r="Y11">
        <v>5</v>
      </c>
      <c r="Z11">
        <v>14</v>
      </c>
      <c r="AA11">
        <v>2</v>
      </c>
      <c r="AB11">
        <v>10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5</v>
      </c>
      <c r="AJ11">
        <v>20</v>
      </c>
      <c r="AK11">
        <v>200</v>
      </c>
      <c r="AL11">
        <v>350</v>
      </c>
      <c r="AM11">
        <v>700</v>
      </c>
      <c r="AN11" t="s">
        <v>46</v>
      </c>
      <c r="AO11" t="s">
        <v>46</v>
      </c>
    </row>
    <row r="12" spans="1:73" x14ac:dyDescent="0.25">
      <c r="A12" s="17">
        <v>42979</v>
      </c>
      <c r="B12">
        <v>17</v>
      </c>
      <c r="C12">
        <v>18</v>
      </c>
      <c r="D12">
        <v>12</v>
      </c>
      <c r="E12">
        <v>14</v>
      </c>
      <c r="F12">
        <v>34</v>
      </c>
      <c r="G12">
        <v>15</v>
      </c>
      <c r="H12">
        <v>31</v>
      </c>
      <c r="I12">
        <v>11</v>
      </c>
      <c r="J12">
        <v>2</v>
      </c>
      <c r="K12">
        <v>5</v>
      </c>
      <c r="L12">
        <v>6</v>
      </c>
      <c r="M12">
        <v>9</v>
      </c>
      <c r="N12">
        <v>6</v>
      </c>
      <c r="O12">
        <v>9</v>
      </c>
      <c r="P12">
        <v>8</v>
      </c>
      <c r="Q12">
        <v>11</v>
      </c>
      <c r="R12">
        <v>14</v>
      </c>
      <c r="S12">
        <v>26</v>
      </c>
      <c r="T12">
        <v>14</v>
      </c>
      <c r="U12">
        <v>26</v>
      </c>
      <c r="V12">
        <v>3</v>
      </c>
      <c r="W12">
        <v>7</v>
      </c>
      <c r="X12">
        <v>6</v>
      </c>
      <c r="Y12">
        <v>5</v>
      </c>
      <c r="Z12">
        <v>14</v>
      </c>
      <c r="AA12">
        <v>2</v>
      </c>
      <c r="AB12">
        <v>10</v>
      </c>
      <c r="AC12">
        <v>2</v>
      </c>
      <c r="AD12">
        <v>2</v>
      </c>
      <c r="AE12">
        <v>2</v>
      </c>
      <c r="AF12">
        <v>2</v>
      </c>
      <c r="AG12">
        <v>1</v>
      </c>
      <c r="AH12">
        <v>2</v>
      </c>
      <c r="AI12">
        <v>5</v>
      </c>
      <c r="AJ12">
        <v>19</v>
      </c>
      <c r="AK12">
        <v>200</v>
      </c>
      <c r="AL12">
        <v>350</v>
      </c>
      <c r="AM12">
        <v>700</v>
      </c>
      <c r="AN12" t="s">
        <v>46</v>
      </c>
      <c r="AO12" t="s">
        <v>46</v>
      </c>
    </row>
    <row r="13" spans="1:73" x14ac:dyDescent="0.25">
      <c r="A13" s="17">
        <v>42984</v>
      </c>
      <c r="B13">
        <v>17</v>
      </c>
      <c r="C13">
        <v>17</v>
      </c>
      <c r="D13">
        <v>11</v>
      </c>
      <c r="E13">
        <v>13</v>
      </c>
      <c r="F13">
        <v>34</v>
      </c>
      <c r="G13">
        <v>14</v>
      </c>
      <c r="H13">
        <v>31</v>
      </c>
      <c r="I13">
        <v>10</v>
      </c>
      <c r="J13">
        <v>1</v>
      </c>
      <c r="K13">
        <v>5</v>
      </c>
      <c r="L13">
        <v>6</v>
      </c>
      <c r="M13">
        <v>9</v>
      </c>
      <c r="N13">
        <v>6</v>
      </c>
      <c r="O13">
        <v>9</v>
      </c>
      <c r="P13">
        <v>8</v>
      </c>
      <c r="Q13">
        <v>11</v>
      </c>
      <c r="R13">
        <v>13</v>
      </c>
      <c r="S13">
        <v>26</v>
      </c>
      <c r="T13">
        <v>14</v>
      </c>
      <c r="U13">
        <v>25</v>
      </c>
      <c r="V13">
        <v>3</v>
      </c>
      <c r="W13">
        <v>7</v>
      </c>
      <c r="X13">
        <v>6</v>
      </c>
      <c r="Y13">
        <v>5</v>
      </c>
      <c r="Z13">
        <v>14</v>
      </c>
      <c r="AA13">
        <v>2</v>
      </c>
      <c r="AB13">
        <v>10</v>
      </c>
      <c r="AC13">
        <v>1</v>
      </c>
      <c r="AD13">
        <v>2</v>
      </c>
      <c r="AE13">
        <v>1</v>
      </c>
      <c r="AF13">
        <v>2</v>
      </c>
      <c r="AG13">
        <v>1</v>
      </c>
      <c r="AH13">
        <v>1</v>
      </c>
      <c r="AI13">
        <v>5</v>
      </c>
      <c r="AJ13">
        <v>19</v>
      </c>
      <c r="AK13">
        <v>200</v>
      </c>
      <c r="AL13">
        <v>350</v>
      </c>
      <c r="AM13">
        <v>700</v>
      </c>
      <c r="AN13" t="s">
        <v>46</v>
      </c>
      <c r="AO13" t="s">
        <v>46</v>
      </c>
    </row>
    <row r="14" spans="1:73" x14ac:dyDescent="0.25">
      <c r="A14" s="17">
        <v>42985</v>
      </c>
      <c r="B14">
        <v>17</v>
      </c>
      <c r="C14">
        <v>16</v>
      </c>
      <c r="D14">
        <v>10</v>
      </c>
      <c r="E14">
        <v>13</v>
      </c>
      <c r="F14">
        <v>34</v>
      </c>
      <c r="G14">
        <v>14</v>
      </c>
      <c r="H14">
        <v>31</v>
      </c>
      <c r="I14">
        <v>10</v>
      </c>
      <c r="J14">
        <v>1</v>
      </c>
      <c r="K14">
        <v>5</v>
      </c>
      <c r="L14">
        <v>6</v>
      </c>
      <c r="M14">
        <v>9</v>
      </c>
      <c r="N14">
        <v>6</v>
      </c>
      <c r="O14">
        <v>9</v>
      </c>
      <c r="P14">
        <v>8</v>
      </c>
      <c r="Q14">
        <v>11</v>
      </c>
      <c r="R14">
        <v>13</v>
      </c>
      <c r="S14">
        <v>26</v>
      </c>
      <c r="T14">
        <v>14</v>
      </c>
      <c r="U14">
        <v>25</v>
      </c>
      <c r="V14">
        <v>3</v>
      </c>
      <c r="W14">
        <v>7</v>
      </c>
      <c r="X14">
        <v>6</v>
      </c>
      <c r="Y14">
        <v>5</v>
      </c>
      <c r="Z14">
        <v>14</v>
      </c>
      <c r="AA14">
        <v>2</v>
      </c>
      <c r="AB14">
        <v>10</v>
      </c>
      <c r="AC14">
        <v>1</v>
      </c>
      <c r="AD14">
        <v>2</v>
      </c>
      <c r="AE14">
        <v>1</v>
      </c>
      <c r="AF14">
        <v>2</v>
      </c>
      <c r="AG14">
        <v>1</v>
      </c>
      <c r="AH14">
        <v>1</v>
      </c>
      <c r="AI14">
        <v>5</v>
      </c>
      <c r="AJ14">
        <v>19</v>
      </c>
      <c r="AK14">
        <v>200</v>
      </c>
      <c r="AL14">
        <v>350</v>
      </c>
      <c r="AM14">
        <v>700</v>
      </c>
      <c r="AN14" t="s">
        <v>46</v>
      </c>
      <c r="AO14" t="s">
        <v>46</v>
      </c>
    </row>
    <row r="15" spans="1:73" x14ac:dyDescent="0.25">
      <c r="A15" s="17">
        <v>42986</v>
      </c>
      <c r="B15">
        <v>17</v>
      </c>
      <c r="C15">
        <v>16</v>
      </c>
      <c r="D15">
        <v>10</v>
      </c>
      <c r="E15">
        <v>13</v>
      </c>
      <c r="F15">
        <v>34</v>
      </c>
      <c r="G15">
        <v>14</v>
      </c>
      <c r="H15">
        <v>31</v>
      </c>
      <c r="I15">
        <v>10</v>
      </c>
      <c r="J15">
        <v>1</v>
      </c>
      <c r="K15">
        <v>5</v>
      </c>
      <c r="L15">
        <v>6</v>
      </c>
      <c r="M15">
        <v>9</v>
      </c>
      <c r="N15">
        <v>6</v>
      </c>
      <c r="O15">
        <v>8</v>
      </c>
      <c r="P15">
        <v>8</v>
      </c>
      <c r="Q15">
        <v>11</v>
      </c>
      <c r="R15">
        <v>13</v>
      </c>
      <c r="S15">
        <v>25</v>
      </c>
      <c r="T15">
        <v>14</v>
      </c>
      <c r="U15">
        <v>25</v>
      </c>
      <c r="V15">
        <v>3</v>
      </c>
      <c r="W15">
        <v>7</v>
      </c>
      <c r="X15">
        <v>6</v>
      </c>
      <c r="Y15">
        <v>5</v>
      </c>
      <c r="Z15">
        <v>13</v>
      </c>
      <c r="AA15">
        <v>2</v>
      </c>
      <c r="AB15">
        <v>10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5</v>
      </c>
      <c r="AJ15">
        <v>19</v>
      </c>
      <c r="AK15">
        <v>200</v>
      </c>
      <c r="AL15">
        <v>350</v>
      </c>
      <c r="AM15">
        <v>700</v>
      </c>
      <c r="AN15" t="s">
        <v>46</v>
      </c>
      <c r="AO15" t="s">
        <v>46</v>
      </c>
    </row>
    <row r="16" spans="1:73" x14ac:dyDescent="0.25">
      <c r="A16" s="17">
        <v>42989</v>
      </c>
      <c r="B16">
        <v>17</v>
      </c>
      <c r="C16">
        <v>16</v>
      </c>
      <c r="D16">
        <v>10</v>
      </c>
      <c r="E16">
        <v>13</v>
      </c>
      <c r="F16">
        <v>34</v>
      </c>
      <c r="G16">
        <v>14</v>
      </c>
      <c r="H16">
        <v>31</v>
      </c>
      <c r="I16">
        <v>9</v>
      </c>
      <c r="J16">
        <v>1</v>
      </c>
      <c r="K16">
        <v>5</v>
      </c>
      <c r="L16">
        <v>6</v>
      </c>
      <c r="M16">
        <v>9</v>
      </c>
      <c r="N16">
        <v>6</v>
      </c>
      <c r="O16">
        <v>8</v>
      </c>
      <c r="P16">
        <v>8</v>
      </c>
      <c r="Q16">
        <v>10</v>
      </c>
      <c r="R16">
        <v>13</v>
      </c>
      <c r="S16">
        <v>25</v>
      </c>
      <c r="T16">
        <v>14</v>
      </c>
      <c r="U16">
        <v>25</v>
      </c>
      <c r="V16">
        <v>3</v>
      </c>
      <c r="W16">
        <v>6</v>
      </c>
      <c r="X16">
        <v>6</v>
      </c>
      <c r="Y16">
        <v>5</v>
      </c>
      <c r="Z16">
        <v>13</v>
      </c>
      <c r="AA16">
        <v>2</v>
      </c>
      <c r="AB16">
        <v>10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5</v>
      </c>
      <c r="AJ16">
        <v>19</v>
      </c>
      <c r="AK16">
        <v>200</v>
      </c>
      <c r="AL16">
        <v>350</v>
      </c>
      <c r="AM16">
        <v>700</v>
      </c>
      <c r="AN16" t="s">
        <v>46</v>
      </c>
      <c r="AO16" t="s">
        <v>46</v>
      </c>
    </row>
    <row r="17" spans="1:47" x14ac:dyDescent="0.25">
      <c r="A17" s="17">
        <v>42990</v>
      </c>
      <c r="B17">
        <v>17</v>
      </c>
      <c r="C17">
        <v>15</v>
      </c>
      <c r="D17">
        <v>10</v>
      </c>
      <c r="E17">
        <v>13</v>
      </c>
      <c r="F17">
        <v>34</v>
      </c>
      <c r="G17">
        <v>14</v>
      </c>
      <c r="H17">
        <v>31</v>
      </c>
      <c r="I17">
        <v>9</v>
      </c>
      <c r="J17">
        <v>1</v>
      </c>
      <c r="K17">
        <v>4</v>
      </c>
      <c r="L17">
        <v>6</v>
      </c>
      <c r="M17">
        <v>9</v>
      </c>
      <c r="N17">
        <v>6</v>
      </c>
      <c r="O17">
        <v>8</v>
      </c>
      <c r="P17">
        <v>8</v>
      </c>
      <c r="Q17">
        <v>10</v>
      </c>
      <c r="R17">
        <v>13</v>
      </c>
      <c r="S17">
        <v>25</v>
      </c>
      <c r="T17">
        <v>14</v>
      </c>
      <c r="U17">
        <v>25</v>
      </c>
      <c r="V17">
        <v>3</v>
      </c>
      <c r="W17">
        <v>6</v>
      </c>
      <c r="X17">
        <v>10</v>
      </c>
      <c r="Y17">
        <v>5</v>
      </c>
      <c r="Z17">
        <v>13</v>
      </c>
      <c r="AA17">
        <v>2</v>
      </c>
      <c r="AB17">
        <v>10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0</v>
      </c>
      <c r="AI17">
        <v>5</v>
      </c>
      <c r="AJ17">
        <v>19</v>
      </c>
      <c r="AK17">
        <v>200</v>
      </c>
      <c r="AL17">
        <v>350</v>
      </c>
      <c r="AM17">
        <v>700</v>
      </c>
      <c r="AN17" t="s">
        <v>46</v>
      </c>
      <c r="AO17" t="s">
        <v>46</v>
      </c>
    </row>
    <row r="18" spans="1:47" x14ac:dyDescent="0.25">
      <c r="A18" s="17">
        <v>42991</v>
      </c>
      <c r="B18">
        <v>17</v>
      </c>
      <c r="C18">
        <v>15</v>
      </c>
      <c r="D18">
        <v>10</v>
      </c>
      <c r="E18">
        <v>13</v>
      </c>
      <c r="F18">
        <v>34</v>
      </c>
      <c r="G18">
        <v>14</v>
      </c>
      <c r="H18">
        <v>31</v>
      </c>
      <c r="I18">
        <v>9</v>
      </c>
      <c r="J18">
        <v>1</v>
      </c>
      <c r="K18">
        <v>4</v>
      </c>
      <c r="L18">
        <v>6</v>
      </c>
      <c r="M18">
        <v>9</v>
      </c>
      <c r="N18">
        <v>6</v>
      </c>
      <c r="O18">
        <v>8</v>
      </c>
      <c r="P18">
        <v>8</v>
      </c>
      <c r="Q18">
        <v>10</v>
      </c>
      <c r="R18">
        <v>12</v>
      </c>
      <c r="S18">
        <v>25</v>
      </c>
      <c r="T18">
        <v>14</v>
      </c>
      <c r="U18">
        <v>25</v>
      </c>
      <c r="V18">
        <v>3</v>
      </c>
      <c r="W18">
        <v>6</v>
      </c>
      <c r="X18">
        <v>10</v>
      </c>
      <c r="Y18">
        <v>5</v>
      </c>
      <c r="Z18">
        <v>13</v>
      </c>
      <c r="AA18">
        <v>2</v>
      </c>
      <c r="AB18">
        <v>10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0</v>
      </c>
      <c r="AI18">
        <v>5</v>
      </c>
      <c r="AJ18">
        <v>18</v>
      </c>
      <c r="AK18">
        <v>200</v>
      </c>
      <c r="AL18">
        <v>350</v>
      </c>
      <c r="AM18">
        <v>700</v>
      </c>
      <c r="AN18" t="s">
        <v>46</v>
      </c>
      <c r="AO18" t="s">
        <v>46</v>
      </c>
    </row>
    <row r="19" spans="1:47" x14ac:dyDescent="0.25">
      <c r="A19" s="17">
        <v>42992</v>
      </c>
      <c r="B19">
        <v>17</v>
      </c>
      <c r="C19">
        <v>15</v>
      </c>
      <c r="D19">
        <v>10</v>
      </c>
      <c r="E19">
        <v>13</v>
      </c>
      <c r="F19">
        <v>33</v>
      </c>
      <c r="G19">
        <v>14</v>
      </c>
      <c r="H19">
        <v>31</v>
      </c>
      <c r="I19">
        <v>9</v>
      </c>
      <c r="J19">
        <v>1</v>
      </c>
      <c r="K19">
        <v>4</v>
      </c>
      <c r="L19">
        <v>6</v>
      </c>
      <c r="M19">
        <v>9</v>
      </c>
      <c r="N19">
        <v>5</v>
      </c>
      <c r="O19">
        <v>8</v>
      </c>
      <c r="P19">
        <v>7</v>
      </c>
      <c r="Q19">
        <v>10</v>
      </c>
      <c r="R19">
        <v>12</v>
      </c>
      <c r="S19">
        <v>25</v>
      </c>
      <c r="T19">
        <v>14</v>
      </c>
      <c r="U19">
        <v>25</v>
      </c>
      <c r="V19">
        <v>3</v>
      </c>
      <c r="W19">
        <v>6</v>
      </c>
      <c r="X19">
        <v>10</v>
      </c>
      <c r="Y19">
        <v>5</v>
      </c>
      <c r="Z19">
        <v>12</v>
      </c>
      <c r="AA19">
        <v>2</v>
      </c>
      <c r="AB19">
        <v>10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0</v>
      </c>
      <c r="AI19">
        <v>5</v>
      </c>
      <c r="AJ19">
        <v>18</v>
      </c>
      <c r="AK19">
        <v>200</v>
      </c>
      <c r="AL19">
        <v>350</v>
      </c>
      <c r="AM19">
        <v>700</v>
      </c>
      <c r="AN19" t="s">
        <v>46</v>
      </c>
      <c r="AO19" t="s">
        <v>46</v>
      </c>
    </row>
    <row r="20" spans="1:47" x14ac:dyDescent="0.25">
      <c r="A20" s="17">
        <v>42993</v>
      </c>
      <c r="B20">
        <v>17</v>
      </c>
      <c r="C20">
        <v>15</v>
      </c>
      <c r="D20">
        <v>10</v>
      </c>
      <c r="E20">
        <v>13</v>
      </c>
      <c r="F20">
        <v>33</v>
      </c>
      <c r="G20">
        <v>14</v>
      </c>
      <c r="H20">
        <v>31</v>
      </c>
      <c r="I20">
        <v>9</v>
      </c>
      <c r="J20">
        <v>1</v>
      </c>
      <c r="K20">
        <v>4</v>
      </c>
      <c r="L20">
        <v>6</v>
      </c>
      <c r="M20">
        <v>9</v>
      </c>
      <c r="N20">
        <v>5</v>
      </c>
      <c r="O20">
        <v>8</v>
      </c>
      <c r="P20">
        <v>7</v>
      </c>
      <c r="Q20">
        <v>10</v>
      </c>
      <c r="R20">
        <v>12</v>
      </c>
      <c r="S20">
        <v>25</v>
      </c>
      <c r="T20">
        <v>14</v>
      </c>
      <c r="U20">
        <v>25</v>
      </c>
      <c r="V20">
        <v>3</v>
      </c>
      <c r="W20">
        <v>6</v>
      </c>
      <c r="X20">
        <v>10</v>
      </c>
      <c r="Y20">
        <v>5</v>
      </c>
      <c r="Z20">
        <v>12</v>
      </c>
      <c r="AA20">
        <v>2</v>
      </c>
      <c r="AB20">
        <v>9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0</v>
      </c>
      <c r="AI20">
        <v>5</v>
      </c>
      <c r="AJ20">
        <v>18</v>
      </c>
      <c r="AK20">
        <v>200</v>
      </c>
      <c r="AL20">
        <v>350</v>
      </c>
      <c r="AM20">
        <v>700</v>
      </c>
      <c r="AN20" t="s">
        <v>46</v>
      </c>
      <c r="AO20" t="s">
        <v>46</v>
      </c>
    </row>
    <row r="21" spans="1:47" x14ac:dyDescent="0.25">
      <c r="A21" s="17">
        <v>42996</v>
      </c>
      <c r="B21">
        <v>17</v>
      </c>
      <c r="C21">
        <v>14</v>
      </c>
      <c r="D21">
        <v>10</v>
      </c>
      <c r="E21">
        <v>12</v>
      </c>
      <c r="F21">
        <v>33</v>
      </c>
      <c r="G21">
        <v>14</v>
      </c>
      <c r="H21">
        <v>31</v>
      </c>
      <c r="I21">
        <v>8</v>
      </c>
      <c r="J21">
        <v>0</v>
      </c>
      <c r="K21">
        <v>4</v>
      </c>
      <c r="L21">
        <v>6</v>
      </c>
      <c r="M21">
        <v>9</v>
      </c>
      <c r="N21">
        <v>5</v>
      </c>
      <c r="O21">
        <v>8</v>
      </c>
      <c r="P21">
        <v>7</v>
      </c>
      <c r="Q21">
        <v>7</v>
      </c>
      <c r="R21">
        <v>12</v>
      </c>
      <c r="S21">
        <v>25</v>
      </c>
      <c r="T21">
        <v>13</v>
      </c>
      <c r="U21">
        <v>25</v>
      </c>
      <c r="V21">
        <v>3</v>
      </c>
      <c r="W21">
        <v>6</v>
      </c>
      <c r="X21">
        <v>10</v>
      </c>
      <c r="Y21">
        <v>5</v>
      </c>
      <c r="Z21">
        <v>12</v>
      </c>
      <c r="AA21">
        <v>2</v>
      </c>
      <c r="AB21">
        <v>9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0</v>
      </c>
      <c r="AI21">
        <v>5</v>
      </c>
      <c r="AJ21">
        <v>18</v>
      </c>
      <c r="AK21">
        <v>200</v>
      </c>
      <c r="AL21">
        <v>350</v>
      </c>
      <c r="AM21">
        <v>700</v>
      </c>
      <c r="AN21" t="s">
        <v>46</v>
      </c>
      <c r="AO21" t="s">
        <v>46</v>
      </c>
    </row>
    <row r="22" spans="1:47" x14ac:dyDescent="0.25">
      <c r="A22" s="17">
        <v>42997</v>
      </c>
      <c r="B22">
        <v>17</v>
      </c>
      <c r="C22">
        <v>14</v>
      </c>
      <c r="D22">
        <v>10</v>
      </c>
      <c r="E22">
        <v>12</v>
      </c>
      <c r="F22">
        <v>33</v>
      </c>
      <c r="G22">
        <v>14</v>
      </c>
      <c r="H22">
        <v>31</v>
      </c>
      <c r="I22">
        <v>8</v>
      </c>
      <c r="J22">
        <v>1</v>
      </c>
      <c r="K22">
        <v>4</v>
      </c>
      <c r="L22">
        <v>6</v>
      </c>
      <c r="M22">
        <v>9</v>
      </c>
      <c r="N22">
        <v>5</v>
      </c>
      <c r="O22">
        <v>8</v>
      </c>
      <c r="P22">
        <v>7</v>
      </c>
      <c r="Q22">
        <v>7</v>
      </c>
      <c r="R22">
        <v>12</v>
      </c>
      <c r="S22">
        <v>25</v>
      </c>
      <c r="T22">
        <v>13</v>
      </c>
      <c r="U22">
        <v>25</v>
      </c>
      <c r="V22">
        <v>2</v>
      </c>
      <c r="W22">
        <v>6</v>
      </c>
      <c r="X22">
        <v>10</v>
      </c>
      <c r="Y22">
        <v>5</v>
      </c>
      <c r="Z22">
        <v>12</v>
      </c>
      <c r="AA22">
        <v>2</v>
      </c>
      <c r="AB22">
        <v>9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0</v>
      </c>
      <c r="AI22">
        <v>5</v>
      </c>
      <c r="AJ22">
        <v>18</v>
      </c>
      <c r="AK22">
        <v>200</v>
      </c>
      <c r="AL22">
        <v>350</v>
      </c>
      <c r="AM22">
        <v>700</v>
      </c>
      <c r="AN22" t="s">
        <v>46</v>
      </c>
      <c r="AO22" t="s">
        <v>46</v>
      </c>
    </row>
    <row r="23" spans="1:47" x14ac:dyDescent="0.25">
      <c r="A23" s="17">
        <v>42998</v>
      </c>
      <c r="B23">
        <v>17</v>
      </c>
      <c r="C23">
        <v>14</v>
      </c>
      <c r="D23">
        <v>10</v>
      </c>
      <c r="E23">
        <v>12</v>
      </c>
      <c r="F23">
        <v>33</v>
      </c>
      <c r="G23">
        <v>14</v>
      </c>
      <c r="H23">
        <v>31</v>
      </c>
      <c r="I23">
        <v>8</v>
      </c>
      <c r="J23">
        <v>1</v>
      </c>
      <c r="K23">
        <v>4</v>
      </c>
      <c r="L23">
        <v>6</v>
      </c>
      <c r="M23">
        <v>9</v>
      </c>
      <c r="N23">
        <v>5</v>
      </c>
      <c r="O23">
        <v>8</v>
      </c>
      <c r="P23">
        <v>7</v>
      </c>
      <c r="Q23">
        <v>7</v>
      </c>
      <c r="R23">
        <v>11</v>
      </c>
      <c r="S23">
        <v>25</v>
      </c>
      <c r="T23">
        <v>13</v>
      </c>
      <c r="U23">
        <v>25</v>
      </c>
      <c r="V23">
        <v>2</v>
      </c>
      <c r="W23">
        <v>6</v>
      </c>
      <c r="X23">
        <v>25</v>
      </c>
      <c r="Y23">
        <v>5</v>
      </c>
      <c r="Z23">
        <v>12</v>
      </c>
      <c r="AA23">
        <v>6</v>
      </c>
      <c r="AB23">
        <v>9</v>
      </c>
      <c r="AC23">
        <v>3</v>
      </c>
      <c r="AD23">
        <v>3</v>
      </c>
      <c r="AE23">
        <v>3</v>
      </c>
      <c r="AF23">
        <v>3</v>
      </c>
      <c r="AG23">
        <v>2</v>
      </c>
      <c r="AH23">
        <v>2</v>
      </c>
      <c r="AI23">
        <v>5</v>
      </c>
      <c r="AJ23">
        <v>18</v>
      </c>
      <c r="AK23">
        <v>200</v>
      </c>
      <c r="AL23">
        <v>350</v>
      </c>
      <c r="AM23">
        <v>700</v>
      </c>
      <c r="AN23" t="s">
        <v>46</v>
      </c>
      <c r="AO23" t="s">
        <v>46</v>
      </c>
    </row>
    <row r="24" spans="1:47" x14ac:dyDescent="0.25">
      <c r="A24" s="17">
        <v>42999</v>
      </c>
      <c r="B24">
        <v>17</v>
      </c>
      <c r="C24">
        <v>13</v>
      </c>
      <c r="D24">
        <v>9</v>
      </c>
      <c r="E24">
        <v>12</v>
      </c>
      <c r="F24">
        <v>33</v>
      </c>
      <c r="G24">
        <v>14</v>
      </c>
      <c r="H24">
        <v>31</v>
      </c>
      <c r="I24">
        <v>8</v>
      </c>
      <c r="J24">
        <v>17</v>
      </c>
      <c r="K24">
        <v>4</v>
      </c>
      <c r="L24">
        <v>6</v>
      </c>
      <c r="M24">
        <v>9</v>
      </c>
      <c r="N24">
        <v>11</v>
      </c>
      <c r="O24">
        <v>8</v>
      </c>
      <c r="P24">
        <v>7</v>
      </c>
      <c r="Q24">
        <v>7</v>
      </c>
      <c r="R24">
        <v>11</v>
      </c>
      <c r="S24">
        <v>25</v>
      </c>
      <c r="T24">
        <v>13</v>
      </c>
      <c r="U24">
        <v>25</v>
      </c>
      <c r="V24">
        <v>2</v>
      </c>
      <c r="W24">
        <v>6</v>
      </c>
      <c r="X24">
        <v>25</v>
      </c>
      <c r="Y24">
        <v>5</v>
      </c>
      <c r="Z24">
        <v>12</v>
      </c>
      <c r="AA24">
        <v>6</v>
      </c>
      <c r="AB24">
        <v>9</v>
      </c>
      <c r="AC24">
        <v>3</v>
      </c>
      <c r="AD24">
        <v>3</v>
      </c>
      <c r="AE24">
        <v>3</v>
      </c>
      <c r="AF24">
        <v>3</v>
      </c>
      <c r="AG24">
        <v>2</v>
      </c>
      <c r="AH24">
        <v>2</v>
      </c>
      <c r="AI24">
        <v>5</v>
      </c>
      <c r="AJ24">
        <v>18</v>
      </c>
      <c r="AK24">
        <v>200</v>
      </c>
      <c r="AL24">
        <v>350</v>
      </c>
      <c r="AM24">
        <v>700</v>
      </c>
      <c r="AN24" t="s">
        <v>46</v>
      </c>
      <c r="AO24" t="s">
        <v>46</v>
      </c>
    </row>
    <row r="25" spans="1:47" x14ac:dyDescent="0.25">
      <c r="A25" s="17">
        <v>43000</v>
      </c>
      <c r="B25">
        <v>17</v>
      </c>
      <c r="C25">
        <v>13</v>
      </c>
      <c r="D25">
        <v>9</v>
      </c>
      <c r="E25">
        <v>12</v>
      </c>
      <c r="F25">
        <v>33</v>
      </c>
      <c r="G25">
        <v>14</v>
      </c>
      <c r="H25">
        <v>31</v>
      </c>
      <c r="I25">
        <v>8</v>
      </c>
      <c r="J25">
        <v>17</v>
      </c>
      <c r="K25">
        <v>4</v>
      </c>
      <c r="L25">
        <v>6</v>
      </c>
      <c r="M25">
        <v>9</v>
      </c>
      <c r="N25">
        <v>11</v>
      </c>
      <c r="O25">
        <v>8</v>
      </c>
      <c r="P25">
        <v>7</v>
      </c>
      <c r="Q25">
        <v>7</v>
      </c>
      <c r="R25">
        <v>11</v>
      </c>
      <c r="S25">
        <v>25</v>
      </c>
      <c r="T25">
        <v>13</v>
      </c>
      <c r="U25">
        <v>25</v>
      </c>
      <c r="V25">
        <v>2</v>
      </c>
      <c r="W25">
        <v>6</v>
      </c>
      <c r="X25">
        <v>24</v>
      </c>
      <c r="Y25">
        <v>5</v>
      </c>
      <c r="Z25">
        <v>12</v>
      </c>
      <c r="AA25">
        <v>6</v>
      </c>
      <c r="AB25">
        <v>9</v>
      </c>
      <c r="AC25">
        <v>3</v>
      </c>
      <c r="AD25">
        <v>3</v>
      </c>
      <c r="AE25">
        <v>3</v>
      </c>
      <c r="AF25">
        <v>3</v>
      </c>
      <c r="AG25">
        <v>2</v>
      </c>
      <c r="AH25">
        <v>2</v>
      </c>
      <c r="AI25">
        <v>5</v>
      </c>
      <c r="AJ25">
        <v>18</v>
      </c>
      <c r="AK25">
        <v>200</v>
      </c>
      <c r="AL25">
        <v>350</v>
      </c>
      <c r="AM25">
        <v>700</v>
      </c>
      <c r="AN25" t="s">
        <v>46</v>
      </c>
      <c r="AO25" t="s">
        <v>46</v>
      </c>
    </row>
    <row r="26" spans="1:47" x14ac:dyDescent="0.25">
      <c r="A26" s="17">
        <v>43003</v>
      </c>
      <c r="B26">
        <v>17</v>
      </c>
      <c r="C26">
        <v>13</v>
      </c>
      <c r="D26">
        <v>9</v>
      </c>
      <c r="E26">
        <v>12</v>
      </c>
      <c r="F26">
        <v>33</v>
      </c>
      <c r="G26">
        <v>14</v>
      </c>
      <c r="H26">
        <v>31</v>
      </c>
      <c r="I26">
        <v>8</v>
      </c>
      <c r="J26">
        <v>17</v>
      </c>
      <c r="K26">
        <v>4</v>
      </c>
      <c r="L26">
        <v>6</v>
      </c>
      <c r="M26">
        <v>9</v>
      </c>
      <c r="N26">
        <v>11</v>
      </c>
      <c r="O26">
        <v>8</v>
      </c>
      <c r="P26">
        <v>7</v>
      </c>
      <c r="Q26">
        <v>7</v>
      </c>
      <c r="R26">
        <v>11</v>
      </c>
      <c r="S26">
        <v>25</v>
      </c>
      <c r="T26">
        <v>13</v>
      </c>
      <c r="U26">
        <v>25</v>
      </c>
      <c r="V26">
        <v>2</v>
      </c>
      <c r="W26">
        <v>6</v>
      </c>
      <c r="X26">
        <v>24</v>
      </c>
      <c r="Y26">
        <v>5</v>
      </c>
      <c r="Z26">
        <v>12</v>
      </c>
      <c r="AA26">
        <v>6</v>
      </c>
      <c r="AB26">
        <v>9</v>
      </c>
      <c r="AC26">
        <v>3</v>
      </c>
      <c r="AD26">
        <v>3</v>
      </c>
      <c r="AE26">
        <v>2</v>
      </c>
      <c r="AF26">
        <v>3</v>
      </c>
      <c r="AG26">
        <v>2</v>
      </c>
      <c r="AH26">
        <v>2</v>
      </c>
      <c r="AI26">
        <v>5</v>
      </c>
      <c r="AJ26">
        <v>18</v>
      </c>
      <c r="AK26">
        <v>200</v>
      </c>
      <c r="AL26">
        <v>350</v>
      </c>
      <c r="AM26">
        <v>700</v>
      </c>
      <c r="AN26" t="s">
        <v>46</v>
      </c>
      <c r="AO26" t="s">
        <v>46</v>
      </c>
    </row>
    <row r="27" spans="1:47" x14ac:dyDescent="0.25">
      <c r="A27" s="17">
        <v>43004</v>
      </c>
      <c r="B27">
        <v>17</v>
      </c>
      <c r="C27">
        <v>12</v>
      </c>
      <c r="D27">
        <v>9</v>
      </c>
      <c r="E27">
        <v>12</v>
      </c>
      <c r="F27">
        <v>33</v>
      </c>
      <c r="G27">
        <v>14</v>
      </c>
      <c r="H27">
        <v>31</v>
      </c>
      <c r="I27">
        <v>8</v>
      </c>
      <c r="J27">
        <v>17</v>
      </c>
      <c r="K27">
        <v>4</v>
      </c>
      <c r="L27">
        <v>6</v>
      </c>
      <c r="M27">
        <v>9</v>
      </c>
      <c r="N27">
        <v>11</v>
      </c>
      <c r="O27">
        <v>8</v>
      </c>
      <c r="P27">
        <v>7</v>
      </c>
      <c r="Q27">
        <v>6</v>
      </c>
      <c r="R27">
        <v>11</v>
      </c>
      <c r="S27">
        <v>25</v>
      </c>
      <c r="T27">
        <v>13</v>
      </c>
      <c r="U27">
        <v>25</v>
      </c>
      <c r="V27">
        <v>2</v>
      </c>
      <c r="W27">
        <v>6</v>
      </c>
      <c r="X27">
        <v>24</v>
      </c>
      <c r="Y27">
        <v>5</v>
      </c>
      <c r="Z27">
        <v>11</v>
      </c>
      <c r="AA27">
        <v>6</v>
      </c>
      <c r="AB27">
        <v>9</v>
      </c>
      <c r="AC27">
        <v>3</v>
      </c>
      <c r="AD27">
        <v>3</v>
      </c>
      <c r="AE27">
        <v>2</v>
      </c>
      <c r="AF27">
        <v>3</v>
      </c>
      <c r="AG27">
        <v>2</v>
      </c>
      <c r="AH27">
        <v>2</v>
      </c>
      <c r="AI27">
        <v>5</v>
      </c>
      <c r="AJ27">
        <v>17</v>
      </c>
      <c r="AK27">
        <v>200</v>
      </c>
      <c r="AL27">
        <v>350</v>
      </c>
      <c r="AM27">
        <v>700</v>
      </c>
      <c r="AN27" t="s">
        <v>46</v>
      </c>
      <c r="AO27" t="s">
        <v>46</v>
      </c>
    </row>
    <row r="28" spans="1:47" x14ac:dyDescent="0.25">
      <c r="A28" s="17">
        <v>43005</v>
      </c>
      <c r="B28">
        <v>17</v>
      </c>
      <c r="C28">
        <v>12</v>
      </c>
      <c r="D28">
        <v>9</v>
      </c>
      <c r="E28">
        <v>12</v>
      </c>
      <c r="F28">
        <v>33</v>
      </c>
      <c r="G28">
        <v>13</v>
      </c>
      <c r="H28">
        <v>31</v>
      </c>
      <c r="I28">
        <v>8</v>
      </c>
      <c r="J28">
        <v>17</v>
      </c>
      <c r="K28">
        <v>4</v>
      </c>
      <c r="L28">
        <v>6</v>
      </c>
      <c r="M28">
        <v>9</v>
      </c>
      <c r="N28">
        <v>11</v>
      </c>
      <c r="O28">
        <v>8</v>
      </c>
      <c r="P28">
        <v>7</v>
      </c>
      <c r="Q28">
        <v>6</v>
      </c>
      <c r="R28">
        <v>10</v>
      </c>
      <c r="S28">
        <v>25</v>
      </c>
      <c r="T28">
        <v>13</v>
      </c>
      <c r="U28">
        <v>25</v>
      </c>
      <c r="V28">
        <v>2</v>
      </c>
      <c r="W28">
        <v>6</v>
      </c>
      <c r="X28">
        <v>24</v>
      </c>
      <c r="Y28">
        <v>5</v>
      </c>
      <c r="Z28">
        <v>11</v>
      </c>
      <c r="AA28">
        <v>6</v>
      </c>
      <c r="AB28">
        <v>9</v>
      </c>
      <c r="AC28">
        <v>3</v>
      </c>
      <c r="AD28">
        <v>3</v>
      </c>
      <c r="AE28">
        <v>2</v>
      </c>
      <c r="AF28">
        <v>3</v>
      </c>
      <c r="AG28">
        <v>2</v>
      </c>
      <c r="AH28">
        <v>2</v>
      </c>
      <c r="AI28">
        <v>5</v>
      </c>
      <c r="AJ28">
        <v>17</v>
      </c>
      <c r="AK28">
        <v>200</v>
      </c>
      <c r="AL28">
        <v>350</v>
      </c>
      <c r="AM28">
        <v>700</v>
      </c>
      <c r="AN28" t="s">
        <v>46</v>
      </c>
      <c r="AO28" t="s">
        <v>46</v>
      </c>
    </row>
    <row r="29" spans="1:47" x14ac:dyDescent="0.25">
      <c r="A29" s="17">
        <v>43006</v>
      </c>
      <c r="B29">
        <v>17</v>
      </c>
      <c r="C29">
        <v>12</v>
      </c>
      <c r="D29">
        <v>9</v>
      </c>
      <c r="E29">
        <v>12</v>
      </c>
      <c r="F29">
        <v>33</v>
      </c>
      <c r="G29">
        <v>13</v>
      </c>
      <c r="H29">
        <v>31</v>
      </c>
      <c r="I29">
        <v>7</v>
      </c>
      <c r="J29">
        <v>17</v>
      </c>
      <c r="K29">
        <v>4</v>
      </c>
      <c r="L29">
        <v>6</v>
      </c>
      <c r="M29">
        <v>9</v>
      </c>
      <c r="N29">
        <v>11</v>
      </c>
      <c r="O29">
        <v>8</v>
      </c>
      <c r="P29">
        <v>7</v>
      </c>
      <c r="Q29">
        <v>6</v>
      </c>
      <c r="R29">
        <v>10</v>
      </c>
      <c r="S29">
        <v>25</v>
      </c>
      <c r="T29">
        <v>13</v>
      </c>
      <c r="U29">
        <v>25</v>
      </c>
      <c r="V29">
        <v>2</v>
      </c>
      <c r="W29">
        <v>6</v>
      </c>
      <c r="X29">
        <v>24</v>
      </c>
      <c r="Y29">
        <v>5</v>
      </c>
      <c r="Z29">
        <v>11</v>
      </c>
      <c r="AA29">
        <v>6</v>
      </c>
      <c r="AB29">
        <v>9</v>
      </c>
      <c r="AC29">
        <v>3</v>
      </c>
      <c r="AD29">
        <v>3</v>
      </c>
      <c r="AE29">
        <v>2</v>
      </c>
      <c r="AF29">
        <v>3</v>
      </c>
      <c r="AG29">
        <v>2</v>
      </c>
      <c r="AH29">
        <v>2</v>
      </c>
      <c r="AI29">
        <v>5</v>
      </c>
      <c r="AJ29">
        <v>17</v>
      </c>
      <c r="AK29">
        <v>200</v>
      </c>
      <c r="AL29">
        <v>350</v>
      </c>
      <c r="AM29">
        <v>700</v>
      </c>
      <c r="AN29" t="s">
        <v>46</v>
      </c>
      <c r="AO29" t="s">
        <v>46</v>
      </c>
    </row>
    <row r="30" spans="1:47" x14ac:dyDescent="0.25">
      <c r="A30" s="17">
        <v>43007</v>
      </c>
      <c r="B30">
        <v>17</v>
      </c>
      <c r="C30">
        <v>12</v>
      </c>
      <c r="D30">
        <v>9</v>
      </c>
      <c r="E30">
        <v>12</v>
      </c>
      <c r="F30">
        <v>33</v>
      </c>
      <c r="G30">
        <v>13</v>
      </c>
      <c r="H30">
        <v>31</v>
      </c>
      <c r="I30">
        <v>7</v>
      </c>
      <c r="J30">
        <v>16</v>
      </c>
      <c r="K30">
        <v>4</v>
      </c>
      <c r="L30">
        <v>6</v>
      </c>
      <c r="M30">
        <v>9</v>
      </c>
      <c r="N30">
        <v>11</v>
      </c>
      <c r="O30">
        <v>8</v>
      </c>
      <c r="P30">
        <v>7</v>
      </c>
      <c r="Q30">
        <v>6</v>
      </c>
      <c r="R30">
        <v>10</v>
      </c>
      <c r="S30">
        <v>25</v>
      </c>
      <c r="T30">
        <v>13</v>
      </c>
      <c r="U30">
        <v>25</v>
      </c>
      <c r="V30">
        <v>2</v>
      </c>
      <c r="W30">
        <v>6</v>
      </c>
      <c r="X30">
        <v>24</v>
      </c>
      <c r="Y30">
        <v>5</v>
      </c>
      <c r="Z30">
        <v>11</v>
      </c>
      <c r="AA30">
        <v>6</v>
      </c>
      <c r="AB30">
        <v>9</v>
      </c>
      <c r="AC30">
        <v>3</v>
      </c>
      <c r="AD30">
        <v>3</v>
      </c>
      <c r="AE30">
        <v>2</v>
      </c>
      <c r="AF30">
        <v>2</v>
      </c>
      <c r="AG30">
        <v>2</v>
      </c>
      <c r="AH30">
        <v>2</v>
      </c>
      <c r="AI30">
        <v>5</v>
      </c>
      <c r="AJ30">
        <v>17</v>
      </c>
      <c r="AK30">
        <v>200</v>
      </c>
      <c r="AL30">
        <v>350</v>
      </c>
      <c r="AM30">
        <v>700</v>
      </c>
      <c r="AN30" t="s">
        <v>46</v>
      </c>
      <c r="AO30" t="s">
        <v>46</v>
      </c>
    </row>
    <row r="31" spans="1:47" x14ac:dyDescent="0.25">
      <c r="A31" s="17">
        <v>43010</v>
      </c>
      <c r="B31">
        <v>17</v>
      </c>
      <c r="C31">
        <v>11</v>
      </c>
      <c r="D31">
        <v>9</v>
      </c>
      <c r="E31">
        <v>12</v>
      </c>
      <c r="F31">
        <v>33</v>
      </c>
      <c r="G31">
        <v>13</v>
      </c>
      <c r="H31">
        <v>31</v>
      </c>
      <c r="I31">
        <v>7</v>
      </c>
      <c r="J31">
        <v>16</v>
      </c>
      <c r="K31">
        <v>4</v>
      </c>
      <c r="L31">
        <v>6</v>
      </c>
      <c r="M31">
        <v>9</v>
      </c>
      <c r="N31">
        <v>11</v>
      </c>
      <c r="O31">
        <v>7</v>
      </c>
      <c r="P31">
        <v>6</v>
      </c>
      <c r="Q31">
        <v>5</v>
      </c>
      <c r="R31">
        <v>10</v>
      </c>
      <c r="S31">
        <v>25</v>
      </c>
      <c r="T31">
        <v>13</v>
      </c>
      <c r="U31">
        <v>25</v>
      </c>
      <c r="V31">
        <v>2</v>
      </c>
      <c r="W31">
        <v>6</v>
      </c>
      <c r="X31">
        <v>24</v>
      </c>
      <c r="Y31">
        <v>5</v>
      </c>
      <c r="Z31">
        <v>11</v>
      </c>
      <c r="AA31">
        <v>6</v>
      </c>
      <c r="AB31">
        <v>9</v>
      </c>
      <c r="AC31">
        <v>3</v>
      </c>
      <c r="AD31">
        <v>2</v>
      </c>
      <c r="AE31">
        <v>2</v>
      </c>
      <c r="AF31">
        <v>2</v>
      </c>
      <c r="AG31">
        <v>1</v>
      </c>
      <c r="AH31">
        <v>2</v>
      </c>
      <c r="AI31">
        <v>5</v>
      </c>
      <c r="AJ31">
        <v>17</v>
      </c>
      <c r="AK31">
        <v>200</v>
      </c>
      <c r="AL31">
        <v>350</v>
      </c>
      <c r="AM31">
        <v>700</v>
      </c>
      <c r="AN31" t="s">
        <v>46</v>
      </c>
      <c r="AO31" t="s">
        <v>46</v>
      </c>
    </row>
    <row r="32" spans="1:47" x14ac:dyDescent="0.25">
      <c r="A32" s="17">
        <v>43012</v>
      </c>
      <c r="B32">
        <v>17</v>
      </c>
      <c r="C32">
        <v>11</v>
      </c>
      <c r="D32">
        <v>9</v>
      </c>
      <c r="E32">
        <v>11</v>
      </c>
      <c r="F32">
        <v>33</v>
      </c>
      <c r="G32">
        <v>13</v>
      </c>
      <c r="H32">
        <v>31</v>
      </c>
      <c r="I32">
        <v>7</v>
      </c>
      <c r="J32">
        <v>16</v>
      </c>
      <c r="K32">
        <v>4</v>
      </c>
      <c r="L32">
        <v>6</v>
      </c>
      <c r="M32">
        <v>8</v>
      </c>
      <c r="N32">
        <v>11</v>
      </c>
      <c r="O32">
        <v>7</v>
      </c>
      <c r="P32">
        <v>6</v>
      </c>
      <c r="Q32">
        <v>5</v>
      </c>
      <c r="R32">
        <v>9</v>
      </c>
      <c r="S32">
        <v>24</v>
      </c>
      <c r="T32">
        <v>13</v>
      </c>
      <c r="U32">
        <v>24</v>
      </c>
      <c r="V32">
        <v>2</v>
      </c>
      <c r="W32">
        <v>6</v>
      </c>
      <c r="X32">
        <v>24</v>
      </c>
      <c r="Y32">
        <v>5</v>
      </c>
      <c r="Z32">
        <v>11</v>
      </c>
      <c r="AA32">
        <v>6</v>
      </c>
      <c r="AB32">
        <v>9</v>
      </c>
      <c r="AC32">
        <v>2</v>
      </c>
      <c r="AD32">
        <v>2</v>
      </c>
      <c r="AE32">
        <v>2</v>
      </c>
      <c r="AF32">
        <v>2</v>
      </c>
      <c r="AG32">
        <v>1</v>
      </c>
      <c r="AH32">
        <v>2</v>
      </c>
      <c r="AI32">
        <v>5</v>
      </c>
      <c r="AJ32">
        <v>17</v>
      </c>
      <c r="AK32">
        <v>200</v>
      </c>
      <c r="AL32">
        <v>350</v>
      </c>
      <c r="AM32">
        <v>700</v>
      </c>
      <c r="AN32" t="s">
        <v>46</v>
      </c>
      <c r="AO32" t="s">
        <v>46</v>
      </c>
    </row>
    <row r="33" spans="1:71" x14ac:dyDescent="0.25">
      <c r="A33" s="17">
        <v>43014</v>
      </c>
      <c r="B33">
        <v>17</v>
      </c>
      <c r="C33">
        <v>10</v>
      </c>
      <c r="D33">
        <v>8</v>
      </c>
      <c r="E33">
        <v>11</v>
      </c>
      <c r="F33">
        <v>33</v>
      </c>
      <c r="G33">
        <v>13</v>
      </c>
      <c r="H33">
        <v>31</v>
      </c>
      <c r="I33">
        <v>7</v>
      </c>
      <c r="J33">
        <v>16</v>
      </c>
      <c r="K33">
        <v>4</v>
      </c>
      <c r="L33">
        <v>5</v>
      </c>
      <c r="M33">
        <v>8</v>
      </c>
      <c r="N33">
        <v>10</v>
      </c>
      <c r="O33">
        <v>7</v>
      </c>
      <c r="P33">
        <v>6</v>
      </c>
      <c r="Q33">
        <v>5</v>
      </c>
      <c r="R33">
        <v>9</v>
      </c>
      <c r="S33">
        <v>24</v>
      </c>
      <c r="T33">
        <v>13</v>
      </c>
      <c r="U33">
        <v>24</v>
      </c>
      <c r="V33">
        <v>2</v>
      </c>
      <c r="W33">
        <v>6</v>
      </c>
      <c r="X33">
        <v>23</v>
      </c>
      <c r="Y33">
        <v>5</v>
      </c>
      <c r="Z33">
        <v>11</v>
      </c>
      <c r="AA33">
        <v>6</v>
      </c>
      <c r="AB33">
        <v>9</v>
      </c>
      <c r="AC33">
        <v>2</v>
      </c>
      <c r="AD33">
        <v>2</v>
      </c>
      <c r="AE33">
        <v>2</v>
      </c>
      <c r="AF33">
        <v>2</v>
      </c>
      <c r="AG33">
        <v>1</v>
      </c>
      <c r="AH33">
        <v>2</v>
      </c>
      <c r="AI33">
        <v>5</v>
      </c>
      <c r="AJ33">
        <v>17</v>
      </c>
      <c r="AK33">
        <v>200</v>
      </c>
      <c r="AL33">
        <v>350</v>
      </c>
      <c r="AM33">
        <v>700</v>
      </c>
      <c r="AN33" t="s">
        <v>46</v>
      </c>
      <c r="AO33" t="s">
        <v>46</v>
      </c>
    </row>
    <row r="34" spans="1:71" x14ac:dyDescent="0.25">
      <c r="A34" s="17">
        <v>43017</v>
      </c>
      <c r="B34">
        <v>16</v>
      </c>
      <c r="C34">
        <v>9</v>
      </c>
      <c r="D34">
        <v>8</v>
      </c>
      <c r="E34">
        <v>11</v>
      </c>
      <c r="F34">
        <v>32</v>
      </c>
      <c r="G34">
        <v>13</v>
      </c>
      <c r="H34">
        <v>31</v>
      </c>
      <c r="I34">
        <v>6</v>
      </c>
      <c r="J34">
        <v>16</v>
      </c>
      <c r="K34">
        <v>4</v>
      </c>
      <c r="L34">
        <v>5</v>
      </c>
      <c r="M34">
        <v>8</v>
      </c>
      <c r="N34">
        <v>10</v>
      </c>
      <c r="O34">
        <v>7</v>
      </c>
      <c r="P34">
        <v>6</v>
      </c>
      <c r="Q34">
        <v>4</v>
      </c>
      <c r="R34">
        <v>9</v>
      </c>
      <c r="S34">
        <v>24</v>
      </c>
      <c r="T34">
        <v>13</v>
      </c>
      <c r="U34">
        <v>24</v>
      </c>
      <c r="V34">
        <v>1</v>
      </c>
      <c r="W34">
        <v>6</v>
      </c>
      <c r="X34">
        <v>23</v>
      </c>
      <c r="Y34">
        <v>3</v>
      </c>
      <c r="Z34">
        <v>11</v>
      </c>
      <c r="AA34">
        <v>6</v>
      </c>
      <c r="AB34">
        <v>8</v>
      </c>
      <c r="AC34">
        <v>2</v>
      </c>
      <c r="AD34">
        <v>2</v>
      </c>
      <c r="AE34">
        <v>2</v>
      </c>
      <c r="AF34">
        <v>1</v>
      </c>
      <c r="AG34">
        <v>1</v>
      </c>
      <c r="AH34">
        <v>1</v>
      </c>
      <c r="AI34">
        <v>5</v>
      </c>
      <c r="AJ34">
        <v>16</v>
      </c>
      <c r="AK34">
        <v>200</v>
      </c>
      <c r="AL34">
        <v>350</v>
      </c>
      <c r="AM34">
        <v>700</v>
      </c>
      <c r="AN34" t="s">
        <v>46</v>
      </c>
      <c r="AO34" t="s">
        <v>46</v>
      </c>
    </row>
    <row r="35" spans="1:71" x14ac:dyDescent="0.25">
      <c r="A35" s="17">
        <v>43018</v>
      </c>
      <c r="B35">
        <v>16</v>
      </c>
      <c r="C35">
        <v>9</v>
      </c>
      <c r="D35">
        <v>8</v>
      </c>
      <c r="E35">
        <v>11</v>
      </c>
      <c r="F35">
        <v>32</v>
      </c>
      <c r="G35">
        <v>13</v>
      </c>
      <c r="H35">
        <v>27</v>
      </c>
      <c r="I35">
        <v>6</v>
      </c>
      <c r="J35">
        <v>15</v>
      </c>
      <c r="K35">
        <v>3</v>
      </c>
      <c r="L35">
        <v>5</v>
      </c>
      <c r="M35">
        <v>8</v>
      </c>
      <c r="N35">
        <v>10</v>
      </c>
      <c r="O35">
        <v>7</v>
      </c>
      <c r="P35">
        <v>6</v>
      </c>
      <c r="Q35">
        <v>4</v>
      </c>
      <c r="R35">
        <v>9</v>
      </c>
      <c r="S35">
        <v>24</v>
      </c>
      <c r="T35">
        <v>13</v>
      </c>
      <c r="U35">
        <v>24</v>
      </c>
      <c r="V35">
        <v>1</v>
      </c>
      <c r="W35">
        <v>5</v>
      </c>
      <c r="X35">
        <v>23</v>
      </c>
      <c r="Y35">
        <v>3</v>
      </c>
      <c r="Z35">
        <v>11</v>
      </c>
      <c r="AA35">
        <v>6</v>
      </c>
      <c r="AB35">
        <v>8</v>
      </c>
      <c r="AC35">
        <v>2</v>
      </c>
      <c r="AD35">
        <v>2</v>
      </c>
      <c r="AE35">
        <v>2</v>
      </c>
      <c r="AF35">
        <v>1</v>
      </c>
      <c r="AG35">
        <v>1</v>
      </c>
      <c r="AH35">
        <v>1</v>
      </c>
      <c r="AI35">
        <v>5</v>
      </c>
      <c r="AJ35">
        <v>16</v>
      </c>
      <c r="AK35">
        <v>200</v>
      </c>
      <c r="AL35">
        <v>350</v>
      </c>
      <c r="AM35">
        <v>700</v>
      </c>
      <c r="AN35" t="s">
        <v>46</v>
      </c>
      <c r="AO35" t="s">
        <v>46</v>
      </c>
    </row>
    <row r="36" spans="1:71" x14ac:dyDescent="0.25">
      <c r="A36" s="17">
        <v>43019</v>
      </c>
      <c r="B36">
        <v>16</v>
      </c>
      <c r="C36">
        <v>9</v>
      </c>
      <c r="D36">
        <v>8</v>
      </c>
      <c r="E36">
        <v>11</v>
      </c>
      <c r="F36">
        <v>32</v>
      </c>
      <c r="G36">
        <v>13</v>
      </c>
      <c r="H36">
        <v>27</v>
      </c>
      <c r="I36">
        <v>6</v>
      </c>
      <c r="J36">
        <v>15</v>
      </c>
      <c r="K36">
        <v>3</v>
      </c>
      <c r="L36">
        <v>5</v>
      </c>
      <c r="M36">
        <v>8</v>
      </c>
      <c r="N36">
        <v>10</v>
      </c>
      <c r="O36">
        <v>7</v>
      </c>
      <c r="P36">
        <v>6</v>
      </c>
      <c r="Q36">
        <v>4</v>
      </c>
      <c r="R36">
        <v>8</v>
      </c>
      <c r="S36">
        <v>24</v>
      </c>
      <c r="T36">
        <v>13</v>
      </c>
      <c r="U36">
        <v>24</v>
      </c>
      <c r="V36">
        <v>1</v>
      </c>
      <c r="W36">
        <v>5</v>
      </c>
      <c r="X36">
        <v>23</v>
      </c>
      <c r="Y36">
        <v>3</v>
      </c>
      <c r="Z36">
        <v>10</v>
      </c>
      <c r="AA36">
        <v>6</v>
      </c>
      <c r="AB36">
        <v>8</v>
      </c>
      <c r="AC36">
        <v>2</v>
      </c>
      <c r="AD36">
        <v>2</v>
      </c>
      <c r="AE36">
        <v>2</v>
      </c>
      <c r="AF36">
        <v>1</v>
      </c>
      <c r="AG36">
        <v>1</v>
      </c>
      <c r="AH36">
        <v>1</v>
      </c>
      <c r="AI36">
        <v>5</v>
      </c>
      <c r="AJ36">
        <v>16</v>
      </c>
      <c r="AK36">
        <v>200</v>
      </c>
      <c r="AL36">
        <v>3500</v>
      </c>
      <c r="AM36">
        <v>600</v>
      </c>
      <c r="AN36" t="s">
        <v>46</v>
      </c>
      <c r="AO36" t="s">
        <v>46</v>
      </c>
      <c r="AV36">
        <v>1</v>
      </c>
      <c r="AW36">
        <v>50</v>
      </c>
      <c r="AX36">
        <v>1200</v>
      </c>
      <c r="AY36">
        <v>3</v>
      </c>
      <c r="AZ36">
        <v>2</v>
      </c>
      <c r="BA36">
        <v>2</v>
      </c>
      <c r="BB36">
        <v>17</v>
      </c>
      <c r="BC36">
        <v>16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51</v>
      </c>
      <c r="BM36">
        <v>3</v>
      </c>
      <c r="BN36">
        <v>15</v>
      </c>
      <c r="BO36">
        <v>16</v>
      </c>
      <c r="BP36">
        <v>32</v>
      </c>
      <c r="BQ36">
        <v>5</v>
      </c>
    </row>
    <row r="37" spans="1:71" x14ac:dyDescent="0.25">
      <c r="A37" s="17">
        <v>43021</v>
      </c>
      <c r="B37">
        <v>16</v>
      </c>
      <c r="C37">
        <v>9</v>
      </c>
      <c r="D37">
        <v>8</v>
      </c>
      <c r="E37">
        <v>11</v>
      </c>
      <c r="F37">
        <v>32</v>
      </c>
      <c r="G37">
        <v>13</v>
      </c>
      <c r="H37">
        <v>27</v>
      </c>
      <c r="I37">
        <v>6</v>
      </c>
      <c r="J37">
        <v>15</v>
      </c>
      <c r="K37">
        <v>3</v>
      </c>
      <c r="L37">
        <v>5</v>
      </c>
      <c r="M37">
        <v>8</v>
      </c>
      <c r="N37">
        <v>10</v>
      </c>
      <c r="O37">
        <v>7</v>
      </c>
      <c r="P37">
        <v>6</v>
      </c>
      <c r="Q37">
        <v>4</v>
      </c>
      <c r="R37">
        <v>8</v>
      </c>
      <c r="S37">
        <v>24</v>
      </c>
      <c r="T37">
        <v>13</v>
      </c>
      <c r="U37">
        <v>24</v>
      </c>
      <c r="V37">
        <v>1</v>
      </c>
      <c r="W37">
        <v>5</v>
      </c>
      <c r="X37">
        <v>23</v>
      </c>
      <c r="Y37">
        <v>3</v>
      </c>
      <c r="Z37">
        <v>10</v>
      </c>
      <c r="AA37">
        <v>6</v>
      </c>
      <c r="AB37">
        <v>8</v>
      </c>
      <c r="AC37">
        <v>2</v>
      </c>
      <c r="AD37">
        <v>1</v>
      </c>
      <c r="AE37">
        <v>2</v>
      </c>
      <c r="AF37">
        <v>1</v>
      </c>
      <c r="AG37">
        <v>1</v>
      </c>
      <c r="AH37">
        <v>1</v>
      </c>
      <c r="AI37">
        <v>5</v>
      </c>
      <c r="AJ37">
        <v>16</v>
      </c>
      <c r="AK37">
        <v>200</v>
      </c>
      <c r="AL37">
        <v>3500</v>
      </c>
      <c r="AM37">
        <v>600</v>
      </c>
      <c r="AN37" t="s">
        <v>46</v>
      </c>
      <c r="AO37" t="s">
        <v>46</v>
      </c>
      <c r="AV37">
        <v>1</v>
      </c>
      <c r="AW37">
        <v>50</v>
      </c>
      <c r="AX37">
        <v>1200</v>
      </c>
      <c r="AY37">
        <v>3</v>
      </c>
      <c r="AZ37">
        <v>2</v>
      </c>
      <c r="BA37">
        <v>2</v>
      </c>
      <c r="BB37">
        <v>17</v>
      </c>
      <c r="BC37">
        <v>16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51</v>
      </c>
      <c r="BM37">
        <v>3</v>
      </c>
      <c r="BN37">
        <v>15</v>
      </c>
      <c r="BO37">
        <v>16</v>
      </c>
      <c r="BP37">
        <v>32</v>
      </c>
      <c r="BQ37">
        <v>5</v>
      </c>
    </row>
    <row r="38" spans="1:71" x14ac:dyDescent="0.25">
      <c r="A38" s="17">
        <v>43024</v>
      </c>
      <c r="B38">
        <v>16</v>
      </c>
      <c r="C38">
        <v>8</v>
      </c>
      <c r="D38">
        <v>8</v>
      </c>
      <c r="E38">
        <v>10</v>
      </c>
      <c r="F38">
        <v>32</v>
      </c>
      <c r="G38">
        <v>13</v>
      </c>
      <c r="H38">
        <v>27</v>
      </c>
      <c r="I38">
        <v>6</v>
      </c>
      <c r="J38">
        <v>15</v>
      </c>
      <c r="K38">
        <v>3</v>
      </c>
      <c r="L38">
        <v>5</v>
      </c>
      <c r="M38">
        <v>8</v>
      </c>
      <c r="N38">
        <v>10</v>
      </c>
      <c r="O38">
        <v>7</v>
      </c>
      <c r="P38">
        <v>6</v>
      </c>
      <c r="Q38">
        <v>3</v>
      </c>
      <c r="R38">
        <v>8</v>
      </c>
      <c r="S38">
        <v>24</v>
      </c>
      <c r="T38">
        <v>13</v>
      </c>
      <c r="U38">
        <v>24</v>
      </c>
      <c r="V38">
        <v>1</v>
      </c>
      <c r="W38">
        <v>5</v>
      </c>
      <c r="X38">
        <v>23</v>
      </c>
      <c r="Y38">
        <v>3</v>
      </c>
      <c r="Z38">
        <v>10</v>
      </c>
      <c r="AA38">
        <v>6</v>
      </c>
      <c r="AB38">
        <v>8</v>
      </c>
      <c r="AC38">
        <v>2</v>
      </c>
      <c r="AD38">
        <v>1</v>
      </c>
      <c r="AE38">
        <v>2</v>
      </c>
      <c r="AF38">
        <v>1</v>
      </c>
      <c r="AG38">
        <v>1</v>
      </c>
      <c r="AH38">
        <v>1</v>
      </c>
      <c r="AI38">
        <v>5</v>
      </c>
      <c r="AJ38">
        <v>16</v>
      </c>
      <c r="AK38">
        <v>200</v>
      </c>
      <c r="AL38">
        <v>3500</v>
      </c>
      <c r="AM38">
        <v>600</v>
      </c>
      <c r="AN38" t="s">
        <v>46</v>
      </c>
      <c r="AO38" t="s">
        <v>46</v>
      </c>
      <c r="AV38">
        <v>1</v>
      </c>
      <c r="AW38">
        <v>50</v>
      </c>
      <c r="AX38">
        <v>1200</v>
      </c>
      <c r="AY38">
        <v>3</v>
      </c>
      <c r="AZ38">
        <v>2</v>
      </c>
      <c r="BA38">
        <v>2</v>
      </c>
      <c r="BB38">
        <v>17</v>
      </c>
      <c r="BC38">
        <v>16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51</v>
      </c>
      <c r="BM38">
        <v>3</v>
      </c>
      <c r="BN38">
        <v>15</v>
      </c>
      <c r="BO38">
        <v>16</v>
      </c>
      <c r="BP38">
        <v>32</v>
      </c>
      <c r="BQ38">
        <v>5</v>
      </c>
    </row>
    <row r="39" spans="1:71" x14ac:dyDescent="0.25">
      <c r="A39" s="17">
        <v>43026</v>
      </c>
      <c r="B39">
        <v>16</v>
      </c>
      <c r="C39">
        <v>8</v>
      </c>
      <c r="D39">
        <v>8</v>
      </c>
      <c r="E39">
        <v>10</v>
      </c>
      <c r="F39">
        <v>32</v>
      </c>
      <c r="G39">
        <v>13</v>
      </c>
      <c r="H39">
        <v>27</v>
      </c>
      <c r="I39">
        <v>5</v>
      </c>
      <c r="J39">
        <v>15</v>
      </c>
      <c r="K39">
        <v>3</v>
      </c>
      <c r="L39">
        <v>5</v>
      </c>
      <c r="M39">
        <v>8</v>
      </c>
      <c r="N39">
        <v>10</v>
      </c>
      <c r="O39">
        <v>7</v>
      </c>
      <c r="P39">
        <v>5</v>
      </c>
      <c r="Q39">
        <v>9</v>
      </c>
      <c r="R39">
        <v>7</v>
      </c>
      <c r="S39">
        <v>24</v>
      </c>
      <c r="T39">
        <v>12</v>
      </c>
      <c r="U39">
        <v>24</v>
      </c>
      <c r="V39">
        <v>1</v>
      </c>
      <c r="W39">
        <v>5</v>
      </c>
      <c r="X39">
        <v>22</v>
      </c>
      <c r="Y39">
        <v>3</v>
      </c>
      <c r="Z39">
        <v>10</v>
      </c>
      <c r="AA39">
        <v>6</v>
      </c>
      <c r="AB39">
        <v>8</v>
      </c>
      <c r="AC39">
        <v>2</v>
      </c>
      <c r="AD39">
        <v>3</v>
      </c>
      <c r="AE39">
        <v>4</v>
      </c>
      <c r="AF39">
        <v>3</v>
      </c>
      <c r="AG39">
        <v>3</v>
      </c>
      <c r="AH39">
        <v>1</v>
      </c>
      <c r="AI39">
        <v>5</v>
      </c>
      <c r="AJ39">
        <v>16</v>
      </c>
      <c r="AK39">
        <v>200</v>
      </c>
      <c r="AL39">
        <v>3500</v>
      </c>
      <c r="AM39">
        <v>600</v>
      </c>
      <c r="AN39" t="s">
        <v>46</v>
      </c>
      <c r="AO39" t="s">
        <v>46</v>
      </c>
      <c r="AV39">
        <v>3</v>
      </c>
      <c r="AW39">
        <v>50</v>
      </c>
      <c r="AX39">
        <v>1200</v>
      </c>
      <c r="AY39">
        <v>3</v>
      </c>
      <c r="AZ39">
        <v>4</v>
      </c>
      <c r="BA39">
        <v>2</v>
      </c>
      <c r="BB39">
        <v>17</v>
      </c>
      <c r="BC39">
        <v>15</v>
      </c>
      <c r="BD39">
        <v>2</v>
      </c>
      <c r="BE39">
        <v>2</v>
      </c>
      <c r="BF39">
        <v>1</v>
      </c>
      <c r="BG39">
        <v>2</v>
      </c>
      <c r="BH39">
        <v>2</v>
      </c>
      <c r="BI39">
        <v>2</v>
      </c>
      <c r="BJ39">
        <v>3</v>
      </c>
      <c r="BK39">
        <v>2</v>
      </c>
      <c r="BL39">
        <v>51</v>
      </c>
      <c r="BM39">
        <v>3</v>
      </c>
      <c r="BN39">
        <v>15</v>
      </c>
      <c r="BO39">
        <v>16</v>
      </c>
      <c r="BP39">
        <v>32</v>
      </c>
      <c r="BQ39">
        <v>5</v>
      </c>
      <c r="BR39">
        <v>2</v>
      </c>
    </row>
    <row r="40" spans="1:71" x14ac:dyDescent="0.25">
      <c r="A40" s="17">
        <v>43027</v>
      </c>
      <c r="B40">
        <v>16</v>
      </c>
      <c r="C40">
        <v>7</v>
      </c>
      <c r="D40">
        <v>8</v>
      </c>
      <c r="E40">
        <v>10</v>
      </c>
      <c r="F40">
        <v>32</v>
      </c>
      <c r="G40">
        <v>12</v>
      </c>
      <c r="H40">
        <v>27</v>
      </c>
      <c r="I40">
        <v>5</v>
      </c>
      <c r="J40">
        <v>15</v>
      </c>
      <c r="K40">
        <v>3</v>
      </c>
      <c r="L40">
        <v>5</v>
      </c>
      <c r="M40">
        <v>8</v>
      </c>
      <c r="N40">
        <v>10</v>
      </c>
      <c r="O40">
        <v>7</v>
      </c>
      <c r="P40">
        <v>5</v>
      </c>
      <c r="Q40">
        <v>9</v>
      </c>
      <c r="R40">
        <v>7</v>
      </c>
      <c r="S40">
        <v>24</v>
      </c>
      <c r="T40">
        <v>12</v>
      </c>
      <c r="U40">
        <v>24</v>
      </c>
      <c r="V40">
        <v>1</v>
      </c>
      <c r="W40">
        <v>5</v>
      </c>
      <c r="X40">
        <v>22</v>
      </c>
      <c r="Y40">
        <v>3</v>
      </c>
      <c r="Z40">
        <v>10</v>
      </c>
      <c r="AA40">
        <v>6</v>
      </c>
      <c r="AB40">
        <v>8</v>
      </c>
      <c r="AC40">
        <v>2</v>
      </c>
      <c r="AD40">
        <v>3</v>
      </c>
      <c r="AE40">
        <v>4</v>
      </c>
      <c r="AF40">
        <v>3</v>
      </c>
      <c r="AG40">
        <v>3</v>
      </c>
      <c r="AH40">
        <v>1</v>
      </c>
      <c r="AI40">
        <v>5</v>
      </c>
      <c r="AJ40">
        <v>16</v>
      </c>
      <c r="AK40">
        <v>200</v>
      </c>
      <c r="AL40">
        <v>3500</v>
      </c>
      <c r="AM40">
        <v>600</v>
      </c>
      <c r="AN40" t="s">
        <v>46</v>
      </c>
      <c r="AO40" t="s">
        <v>46</v>
      </c>
      <c r="AV40">
        <v>3</v>
      </c>
      <c r="AW40">
        <v>50</v>
      </c>
      <c r="AX40">
        <v>1200</v>
      </c>
      <c r="AY40">
        <v>3</v>
      </c>
      <c r="AZ40">
        <v>4</v>
      </c>
      <c r="BA40">
        <v>2</v>
      </c>
      <c r="BB40">
        <v>17</v>
      </c>
      <c r="BC40">
        <v>15</v>
      </c>
      <c r="BD40">
        <v>2</v>
      </c>
      <c r="BE40">
        <v>2</v>
      </c>
      <c r="BF40">
        <v>1</v>
      </c>
      <c r="BG40">
        <v>2</v>
      </c>
      <c r="BH40">
        <v>2</v>
      </c>
      <c r="BI40">
        <v>2</v>
      </c>
      <c r="BJ40">
        <v>3</v>
      </c>
      <c r="BK40">
        <v>2</v>
      </c>
      <c r="BL40">
        <v>50</v>
      </c>
      <c r="BM40">
        <v>26</v>
      </c>
      <c r="BN40">
        <v>15</v>
      </c>
      <c r="BO40">
        <v>13</v>
      </c>
      <c r="BP40">
        <v>31</v>
      </c>
      <c r="BQ40">
        <v>4</v>
      </c>
      <c r="BR40">
        <v>2</v>
      </c>
      <c r="BS40">
        <v>4</v>
      </c>
    </row>
    <row r="41" spans="1:71" x14ac:dyDescent="0.25">
      <c r="A41" s="17">
        <v>43028</v>
      </c>
      <c r="B41">
        <v>16</v>
      </c>
      <c r="C41">
        <v>7</v>
      </c>
      <c r="D41">
        <v>7</v>
      </c>
      <c r="E41">
        <v>10</v>
      </c>
      <c r="F41">
        <v>32</v>
      </c>
      <c r="G41">
        <v>12</v>
      </c>
      <c r="H41">
        <v>27</v>
      </c>
      <c r="I41">
        <v>5</v>
      </c>
      <c r="J41">
        <v>15</v>
      </c>
      <c r="K41">
        <v>3</v>
      </c>
      <c r="L41">
        <v>5</v>
      </c>
      <c r="M41">
        <v>8</v>
      </c>
      <c r="N41">
        <v>10</v>
      </c>
      <c r="O41">
        <v>7</v>
      </c>
      <c r="P41">
        <v>5</v>
      </c>
      <c r="Q41">
        <v>9</v>
      </c>
      <c r="R41">
        <v>7</v>
      </c>
      <c r="S41">
        <v>24</v>
      </c>
      <c r="T41">
        <v>12</v>
      </c>
      <c r="U41">
        <v>24</v>
      </c>
      <c r="V41">
        <v>1</v>
      </c>
      <c r="W41">
        <v>5</v>
      </c>
      <c r="X41">
        <v>22</v>
      </c>
      <c r="Y41">
        <v>3</v>
      </c>
      <c r="Z41">
        <v>10</v>
      </c>
      <c r="AA41">
        <v>6</v>
      </c>
      <c r="AB41">
        <v>8</v>
      </c>
      <c r="AC41">
        <v>2</v>
      </c>
      <c r="AD41">
        <v>3</v>
      </c>
      <c r="AE41">
        <v>4</v>
      </c>
      <c r="AF41">
        <v>3</v>
      </c>
      <c r="AG41">
        <v>3</v>
      </c>
      <c r="AH41">
        <v>1</v>
      </c>
      <c r="AI41">
        <v>5</v>
      </c>
      <c r="AJ41">
        <v>15</v>
      </c>
      <c r="AK41">
        <v>200</v>
      </c>
      <c r="AL41">
        <v>3500</v>
      </c>
      <c r="AM41">
        <v>600</v>
      </c>
      <c r="AN41" t="s">
        <v>46</v>
      </c>
      <c r="AO41" t="s">
        <v>46</v>
      </c>
      <c r="AV41">
        <v>3</v>
      </c>
      <c r="AW41">
        <v>50</v>
      </c>
      <c r="AX41">
        <v>1200</v>
      </c>
      <c r="AY41">
        <v>3</v>
      </c>
      <c r="AZ41">
        <v>4</v>
      </c>
      <c r="BA41">
        <v>2</v>
      </c>
      <c r="BB41">
        <v>17</v>
      </c>
      <c r="BC41">
        <v>15</v>
      </c>
      <c r="BD41">
        <v>2</v>
      </c>
      <c r="BE41">
        <v>2</v>
      </c>
      <c r="BF41">
        <v>1</v>
      </c>
      <c r="BG41">
        <v>2</v>
      </c>
      <c r="BH41">
        <v>2</v>
      </c>
      <c r="BI41">
        <v>2</v>
      </c>
      <c r="BJ41">
        <v>3</v>
      </c>
      <c r="BK41">
        <v>2</v>
      </c>
      <c r="BL41">
        <v>50</v>
      </c>
      <c r="BM41">
        <v>26</v>
      </c>
      <c r="BN41">
        <v>15</v>
      </c>
      <c r="BO41">
        <v>13</v>
      </c>
      <c r="BP41">
        <v>31</v>
      </c>
      <c r="BQ41">
        <v>4</v>
      </c>
      <c r="BR41">
        <v>2</v>
      </c>
      <c r="BS41">
        <v>4</v>
      </c>
    </row>
    <row r="42" spans="1:71" x14ac:dyDescent="0.25">
      <c r="A42" s="17">
        <v>43031</v>
      </c>
      <c r="B42">
        <v>16</v>
      </c>
      <c r="C42">
        <v>7</v>
      </c>
      <c r="D42">
        <v>7</v>
      </c>
      <c r="E42">
        <v>10</v>
      </c>
      <c r="F42">
        <v>32</v>
      </c>
      <c r="G42">
        <v>12</v>
      </c>
      <c r="H42">
        <v>27</v>
      </c>
      <c r="I42">
        <v>5</v>
      </c>
      <c r="J42">
        <v>14</v>
      </c>
      <c r="K42">
        <v>3</v>
      </c>
      <c r="L42">
        <v>5</v>
      </c>
      <c r="M42">
        <v>8</v>
      </c>
      <c r="N42">
        <v>10</v>
      </c>
      <c r="O42">
        <v>6</v>
      </c>
      <c r="P42">
        <v>5</v>
      </c>
      <c r="Q42">
        <v>9</v>
      </c>
      <c r="R42">
        <v>7</v>
      </c>
      <c r="S42">
        <v>24</v>
      </c>
      <c r="T42">
        <v>12</v>
      </c>
      <c r="U42">
        <v>24</v>
      </c>
      <c r="V42">
        <v>1</v>
      </c>
      <c r="W42">
        <v>5</v>
      </c>
      <c r="X42">
        <v>22</v>
      </c>
      <c r="Y42">
        <v>3</v>
      </c>
      <c r="Z42">
        <v>10</v>
      </c>
      <c r="AA42">
        <v>6</v>
      </c>
      <c r="AB42">
        <v>8</v>
      </c>
      <c r="AC42">
        <v>2</v>
      </c>
      <c r="AD42">
        <v>3</v>
      </c>
      <c r="AE42">
        <v>3</v>
      </c>
      <c r="AF42">
        <v>3</v>
      </c>
      <c r="AG42">
        <v>3</v>
      </c>
      <c r="AH42">
        <v>1</v>
      </c>
      <c r="AI42">
        <v>5</v>
      </c>
      <c r="AJ42">
        <v>15</v>
      </c>
      <c r="AK42">
        <v>200</v>
      </c>
      <c r="AL42">
        <v>3500</v>
      </c>
      <c r="AM42">
        <v>600</v>
      </c>
      <c r="AN42" t="s">
        <v>46</v>
      </c>
      <c r="AO42" t="s">
        <v>46</v>
      </c>
      <c r="AV42">
        <v>3</v>
      </c>
      <c r="AW42">
        <v>50</v>
      </c>
      <c r="AX42">
        <v>1200</v>
      </c>
      <c r="AY42">
        <v>3</v>
      </c>
      <c r="AZ42">
        <v>4</v>
      </c>
      <c r="BA42">
        <v>2</v>
      </c>
      <c r="BB42">
        <v>17</v>
      </c>
      <c r="BC42">
        <v>15</v>
      </c>
      <c r="BD42">
        <v>2</v>
      </c>
      <c r="BE42">
        <v>2</v>
      </c>
      <c r="BF42">
        <v>1</v>
      </c>
      <c r="BG42">
        <v>2</v>
      </c>
      <c r="BH42">
        <v>2</v>
      </c>
      <c r="BI42">
        <v>2</v>
      </c>
      <c r="BJ42">
        <v>3</v>
      </c>
      <c r="BK42">
        <v>2</v>
      </c>
      <c r="BL42">
        <v>50</v>
      </c>
      <c r="BM42">
        <v>26</v>
      </c>
      <c r="BN42">
        <v>15</v>
      </c>
      <c r="BO42">
        <v>13</v>
      </c>
      <c r="BP42">
        <v>31</v>
      </c>
      <c r="BQ42">
        <v>4</v>
      </c>
      <c r="BR42">
        <v>2</v>
      </c>
      <c r="BS42">
        <v>4</v>
      </c>
    </row>
    <row r="43" spans="1:71" x14ac:dyDescent="0.25">
      <c r="A43" s="17">
        <v>43034</v>
      </c>
      <c r="B43">
        <v>16</v>
      </c>
      <c r="C43">
        <v>6</v>
      </c>
      <c r="D43">
        <v>7</v>
      </c>
      <c r="E43">
        <v>10</v>
      </c>
      <c r="F43">
        <v>32</v>
      </c>
      <c r="G43">
        <v>12</v>
      </c>
      <c r="H43">
        <v>27</v>
      </c>
      <c r="I43">
        <v>5</v>
      </c>
      <c r="J43">
        <v>14</v>
      </c>
      <c r="K43">
        <v>3</v>
      </c>
      <c r="L43">
        <v>5</v>
      </c>
      <c r="M43">
        <v>8</v>
      </c>
      <c r="N43">
        <v>9</v>
      </c>
      <c r="O43">
        <v>6</v>
      </c>
      <c r="P43">
        <v>5</v>
      </c>
      <c r="Q43">
        <v>8</v>
      </c>
      <c r="R43">
        <v>6</v>
      </c>
      <c r="S43">
        <v>24</v>
      </c>
      <c r="T43">
        <v>12</v>
      </c>
      <c r="U43">
        <v>24</v>
      </c>
      <c r="V43">
        <v>1</v>
      </c>
      <c r="W43">
        <v>5</v>
      </c>
      <c r="X43">
        <v>22</v>
      </c>
      <c r="Y43">
        <v>3</v>
      </c>
      <c r="Z43">
        <v>10</v>
      </c>
      <c r="AA43">
        <v>6</v>
      </c>
      <c r="AB43">
        <v>8</v>
      </c>
      <c r="AC43">
        <v>2</v>
      </c>
      <c r="AD43">
        <v>3</v>
      </c>
      <c r="AE43">
        <v>3</v>
      </c>
      <c r="AF43">
        <v>2</v>
      </c>
      <c r="AG43">
        <v>2</v>
      </c>
      <c r="AH43">
        <v>0</v>
      </c>
      <c r="AI43">
        <v>5</v>
      </c>
      <c r="AJ43">
        <v>15</v>
      </c>
      <c r="AK43">
        <v>200</v>
      </c>
      <c r="AL43">
        <v>3500</v>
      </c>
      <c r="AM43">
        <v>600</v>
      </c>
      <c r="AN43" t="s">
        <v>46</v>
      </c>
      <c r="AO43" t="s">
        <v>46</v>
      </c>
      <c r="AV43">
        <v>3</v>
      </c>
      <c r="AW43">
        <v>50</v>
      </c>
      <c r="AX43">
        <v>1200</v>
      </c>
      <c r="AY43">
        <v>3</v>
      </c>
      <c r="AZ43">
        <v>4</v>
      </c>
      <c r="BA43">
        <v>2</v>
      </c>
      <c r="BB43">
        <v>17</v>
      </c>
      <c r="BC43">
        <v>15</v>
      </c>
      <c r="BD43">
        <v>2</v>
      </c>
      <c r="BE43">
        <v>2</v>
      </c>
      <c r="BF43">
        <v>1</v>
      </c>
      <c r="BG43">
        <v>2</v>
      </c>
      <c r="BH43">
        <v>2</v>
      </c>
      <c r="BI43">
        <v>2</v>
      </c>
      <c r="BJ43">
        <v>3</v>
      </c>
      <c r="BK43">
        <v>2</v>
      </c>
      <c r="BL43">
        <v>50</v>
      </c>
      <c r="BM43">
        <v>26</v>
      </c>
      <c r="BN43">
        <v>15</v>
      </c>
      <c r="BO43">
        <v>13</v>
      </c>
      <c r="BP43">
        <v>31</v>
      </c>
      <c r="BQ43">
        <v>4</v>
      </c>
      <c r="BR43">
        <v>2</v>
      </c>
      <c r="BS43">
        <v>4</v>
      </c>
    </row>
    <row r="44" spans="1:71" x14ac:dyDescent="0.25">
      <c r="A44" s="17">
        <v>43035</v>
      </c>
      <c r="B44">
        <v>16</v>
      </c>
      <c r="C44">
        <v>6</v>
      </c>
      <c r="D44">
        <v>7</v>
      </c>
      <c r="E44">
        <v>10</v>
      </c>
      <c r="F44">
        <v>32</v>
      </c>
      <c r="G44">
        <v>12</v>
      </c>
      <c r="H44">
        <v>26</v>
      </c>
      <c r="I44">
        <v>5</v>
      </c>
      <c r="J44">
        <v>14</v>
      </c>
      <c r="K44">
        <v>3</v>
      </c>
      <c r="L44">
        <v>5</v>
      </c>
      <c r="M44">
        <v>8</v>
      </c>
      <c r="N44">
        <v>9</v>
      </c>
      <c r="O44">
        <v>6</v>
      </c>
      <c r="P44">
        <v>5</v>
      </c>
      <c r="Q44">
        <v>8</v>
      </c>
      <c r="R44">
        <v>6</v>
      </c>
      <c r="S44">
        <v>24</v>
      </c>
      <c r="T44">
        <v>12</v>
      </c>
      <c r="U44">
        <v>24</v>
      </c>
      <c r="V44">
        <v>1</v>
      </c>
      <c r="W44">
        <v>5</v>
      </c>
      <c r="X44">
        <v>22</v>
      </c>
      <c r="Y44">
        <v>3</v>
      </c>
      <c r="Z44">
        <v>10</v>
      </c>
      <c r="AA44">
        <v>6</v>
      </c>
      <c r="AB44">
        <v>8</v>
      </c>
      <c r="AC44">
        <v>2</v>
      </c>
      <c r="AD44">
        <v>3</v>
      </c>
      <c r="AE44">
        <v>3</v>
      </c>
      <c r="AF44">
        <v>2</v>
      </c>
      <c r="AG44">
        <v>2</v>
      </c>
      <c r="AH44">
        <v>0</v>
      </c>
      <c r="AI44">
        <v>5</v>
      </c>
      <c r="AJ44">
        <v>15</v>
      </c>
      <c r="AK44">
        <v>200</v>
      </c>
      <c r="AL44">
        <v>3500</v>
      </c>
      <c r="AM44">
        <v>600</v>
      </c>
      <c r="AN44" t="s">
        <v>46</v>
      </c>
      <c r="AO44" t="s">
        <v>46</v>
      </c>
      <c r="AV44">
        <v>3</v>
      </c>
      <c r="AW44">
        <v>50</v>
      </c>
      <c r="AX44">
        <v>1200</v>
      </c>
      <c r="AY44">
        <v>3</v>
      </c>
      <c r="AZ44">
        <v>3</v>
      </c>
      <c r="BA44">
        <v>2</v>
      </c>
      <c r="BB44">
        <v>16</v>
      </c>
      <c r="BC44">
        <v>14</v>
      </c>
      <c r="BD44">
        <v>2</v>
      </c>
      <c r="BE44">
        <v>1</v>
      </c>
      <c r="BF44">
        <v>1</v>
      </c>
      <c r="BG44">
        <v>2</v>
      </c>
      <c r="BH44">
        <v>2</v>
      </c>
      <c r="BI44">
        <v>2</v>
      </c>
      <c r="BJ44">
        <v>2</v>
      </c>
      <c r="BK44">
        <v>2</v>
      </c>
      <c r="BL44">
        <v>49</v>
      </c>
      <c r="BM44">
        <v>26</v>
      </c>
      <c r="BN44">
        <v>14</v>
      </c>
      <c r="BO44">
        <v>13</v>
      </c>
      <c r="BP44">
        <v>31</v>
      </c>
      <c r="BQ44">
        <v>4</v>
      </c>
      <c r="BR44">
        <v>2</v>
      </c>
      <c r="BS44">
        <v>4</v>
      </c>
    </row>
    <row r="45" spans="1:71" x14ac:dyDescent="0.25">
      <c r="A45" s="17">
        <v>43038</v>
      </c>
      <c r="B45">
        <v>16</v>
      </c>
      <c r="C45">
        <v>5</v>
      </c>
      <c r="D45">
        <v>7</v>
      </c>
      <c r="E45">
        <v>10</v>
      </c>
      <c r="F45">
        <v>31</v>
      </c>
      <c r="G45">
        <v>12</v>
      </c>
      <c r="H45">
        <v>26</v>
      </c>
      <c r="I45">
        <v>4</v>
      </c>
      <c r="J45">
        <v>14</v>
      </c>
      <c r="K45">
        <v>2</v>
      </c>
      <c r="L45">
        <v>5</v>
      </c>
      <c r="M45">
        <v>8</v>
      </c>
      <c r="N45">
        <v>8</v>
      </c>
      <c r="O45">
        <v>6</v>
      </c>
      <c r="P45">
        <v>5</v>
      </c>
      <c r="Q45">
        <v>8</v>
      </c>
      <c r="R45">
        <v>6</v>
      </c>
      <c r="S45">
        <v>23</v>
      </c>
      <c r="T45">
        <v>12</v>
      </c>
      <c r="U45">
        <v>23</v>
      </c>
      <c r="V45">
        <v>0</v>
      </c>
      <c r="W45">
        <v>5</v>
      </c>
      <c r="X45">
        <v>22</v>
      </c>
      <c r="Y45">
        <v>3</v>
      </c>
      <c r="Z45">
        <v>10</v>
      </c>
      <c r="AA45">
        <v>5</v>
      </c>
      <c r="AB45">
        <v>8</v>
      </c>
      <c r="AC45">
        <v>1</v>
      </c>
      <c r="AD45">
        <v>3</v>
      </c>
      <c r="AE45">
        <v>3</v>
      </c>
      <c r="AF45">
        <v>2</v>
      </c>
      <c r="AG45">
        <v>2</v>
      </c>
      <c r="AH45">
        <v>0</v>
      </c>
      <c r="AI45">
        <v>5</v>
      </c>
      <c r="AJ45">
        <v>15</v>
      </c>
      <c r="AK45">
        <v>200</v>
      </c>
      <c r="AL45">
        <v>3500</v>
      </c>
      <c r="AM45">
        <v>600</v>
      </c>
      <c r="AN45" t="s">
        <v>46</v>
      </c>
      <c r="AO45" t="s">
        <v>46</v>
      </c>
      <c r="AV45">
        <v>3</v>
      </c>
      <c r="AW45">
        <v>50</v>
      </c>
      <c r="AX45">
        <v>1200</v>
      </c>
      <c r="AY45">
        <v>3</v>
      </c>
      <c r="AZ45">
        <v>3</v>
      </c>
      <c r="BA45">
        <v>2</v>
      </c>
      <c r="BB45">
        <v>16</v>
      </c>
      <c r="BC45">
        <v>14</v>
      </c>
      <c r="BD45">
        <v>2</v>
      </c>
      <c r="BE45">
        <v>1</v>
      </c>
      <c r="BF45">
        <v>1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49</v>
      </c>
      <c r="BM45">
        <v>26</v>
      </c>
      <c r="BN45">
        <v>14</v>
      </c>
      <c r="BO45">
        <v>13</v>
      </c>
      <c r="BP45">
        <v>31</v>
      </c>
      <c r="BQ45">
        <v>4</v>
      </c>
      <c r="BR45">
        <v>2</v>
      </c>
      <c r="BS45">
        <v>4</v>
      </c>
    </row>
    <row r="46" spans="1:71" x14ac:dyDescent="0.25">
      <c r="A46" s="17">
        <v>43039</v>
      </c>
      <c r="B46">
        <v>16</v>
      </c>
      <c r="C46">
        <v>5</v>
      </c>
      <c r="D46">
        <v>7</v>
      </c>
      <c r="E46">
        <v>9</v>
      </c>
      <c r="F46">
        <v>31</v>
      </c>
      <c r="G46">
        <v>12</v>
      </c>
      <c r="H46">
        <v>26</v>
      </c>
      <c r="I46">
        <v>4</v>
      </c>
      <c r="J46">
        <v>14</v>
      </c>
      <c r="K46">
        <v>2</v>
      </c>
      <c r="L46">
        <v>5</v>
      </c>
      <c r="M46">
        <v>8</v>
      </c>
      <c r="N46">
        <v>8</v>
      </c>
      <c r="O46">
        <v>6</v>
      </c>
      <c r="P46">
        <v>5</v>
      </c>
      <c r="Q46">
        <v>8</v>
      </c>
      <c r="R46">
        <v>6</v>
      </c>
      <c r="S46">
        <v>23</v>
      </c>
      <c r="T46">
        <v>12</v>
      </c>
      <c r="U46">
        <v>23</v>
      </c>
      <c r="V46">
        <v>2</v>
      </c>
      <c r="W46">
        <v>4</v>
      </c>
      <c r="X46">
        <v>21</v>
      </c>
      <c r="Y46">
        <v>3</v>
      </c>
      <c r="Z46">
        <v>10</v>
      </c>
      <c r="AA46">
        <v>5</v>
      </c>
      <c r="AB46">
        <v>8</v>
      </c>
      <c r="AC46">
        <v>1</v>
      </c>
      <c r="AD46">
        <v>2</v>
      </c>
      <c r="AE46">
        <v>3</v>
      </c>
      <c r="AF46">
        <v>2</v>
      </c>
      <c r="AG46">
        <v>2</v>
      </c>
      <c r="AH46">
        <v>0</v>
      </c>
      <c r="AI46">
        <v>5</v>
      </c>
      <c r="AJ46">
        <v>15</v>
      </c>
      <c r="AK46">
        <v>200</v>
      </c>
      <c r="AL46">
        <v>3500</v>
      </c>
      <c r="AM46">
        <v>600</v>
      </c>
      <c r="AN46" t="s">
        <v>46</v>
      </c>
      <c r="AO46" t="s">
        <v>46</v>
      </c>
      <c r="AV46">
        <v>3</v>
      </c>
      <c r="AW46">
        <v>50</v>
      </c>
      <c r="AX46">
        <v>1200</v>
      </c>
      <c r="AY46">
        <v>3</v>
      </c>
      <c r="AZ46">
        <v>3</v>
      </c>
      <c r="BA46">
        <v>2</v>
      </c>
      <c r="BB46">
        <v>16</v>
      </c>
      <c r="BC46">
        <v>14</v>
      </c>
      <c r="BD46">
        <v>2</v>
      </c>
      <c r="BE46">
        <v>1</v>
      </c>
      <c r="BF46">
        <v>1</v>
      </c>
      <c r="BG46">
        <v>2</v>
      </c>
      <c r="BH46">
        <v>2</v>
      </c>
      <c r="BI46">
        <v>2</v>
      </c>
      <c r="BJ46">
        <v>2</v>
      </c>
      <c r="BK46">
        <v>2</v>
      </c>
      <c r="BL46">
        <v>49</v>
      </c>
      <c r="BM46">
        <v>26</v>
      </c>
      <c r="BN46">
        <v>14</v>
      </c>
      <c r="BO46">
        <v>13</v>
      </c>
      <c r="BP46">
        <v>31</v>
      </c>
      <c r="BQ46">
        <v>4</v>
      </c>
      <c r="BR46">
        <v>2</v>
      </c>
      <c r="BS46">
        <v>4</v>
      </c>
    </row>
    <row r="47" spans="1:71" x14ac:dyDescent="0.25">
      <c r="A47" s="17">
        <v>43040</v>
      </c>
      <c r="B47">
        <v>16</v>
      </c>
      <c r="C47">
        <v>4</v>
      </c>
      <c r="D47">
        <v>7</v>
      </c>
      <c r="E47">
        <v>9</v>
      </c>
      <c r="F47">
        <v>31</v>
      </c>
      <c r="G47">
        <v>12</v>
      </c>
      <c r="H47">
        <v>26</v>
      </c>
      <c r="I47">
        <v>4</v>
      </c>
      <c r="J47">
        <v>14</v>
      </c>
      <c r="K47">
        <v>2</v>
      </c>
      <c r="L47">
        <v>5</v>
      </c>
      <c r="M47">
        <v>8</v>
      </c>
      <c r="N47">
        <v>8</v>
      </c>
      <c r="O47">
        <v>6</v>
      </c>
      <c r="P47">
        <v>5</v>
      </c>
      <c r="Q47">
        <v>8</v>
      </c>
      <c r="R47">
        <v>6</v>
      </c>
      <c r="S47">
        <v>23</v>
      </c>
      <c r="T47">
        <v>12</v>
      </c>
      <c r="U47">
        <v>23</v>
      </c>
      <c r="V47">
        <v>2</v>
      </c>
      <c r="W47">
        <v>4</v>
      </c>
      <c r="X47">
        <v>21</v>
      </c>
      <c r="Y47">
        <v>3</v>
      </c>
      <c r="Z47">
        <v>10</v>
      </c>
      <c r="AA47">
        <v>5</v>
      </c>
      <c r="AB47">
        <v>8</v>
      </c>
      <c r="AC47">
        <v>1</v>
      </c>
      <c r="AD47">
        <v>2</v>
      </c>
      <c r="AE47">
        <v>3</v>
      </c>
      <c r="AF47">
        <v>2</v>
      </c>
      <c r="AG47">
        <v>2</v>
      </c>
      <c r="AH47">
        <v>0</v>
      </c>
      <c r="AI47">
        <v>5</v>
      </c>
      <c r="AJ47">
        <v>14</v>
      </c>
      <c r="AK47">
        <v>200</v>
      </c>
      <c r="AL47">
        <v>3500</v>
      </c>
      <c r="AM47">
        <v>600</v>
      </c>
      <c r="AN47" t="s">
        <v>46</v>
      </c>
      <c r="AO47" t="s">
        <v>46</v>
      </c>
      <c r="AV47">
        <v>3</v>
      </c>
      <c r="AW47">
        <v>50</v>
      </c>
      <c r="AX47">
        <v>1200</v>
      </c>
      <c r="AY47">
        <v>3</v>
      </c>
      <c r="AZ47">
        <v>3</v>
      </c>
      <c r="BA47">
        <v>2</v>
      </c>
      <c r="BB47">
        <v>16</v>
      </c>
      <c r="BC47">
        <v>14</v>
      </c>
      <c r="BD47">
        <v>2</v>
      </c>
      <c r="BE47">
        <v>1</v>
      </c>
      <c r="BF47">
        <v>1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49</v>
      </c>
      <c r="BM47">
        <v>26</v>
      </c>
      <c r="BN47">
        <v>14</v>
      </c>
      <c r="BO47">
        <v>12</v>
      </c>
      <c r="BP47">
        <v>30</v>
      </c>
      <c r="BQ47">
        <v>28</v>
      </c>
      <c r="BR47">
        <v>2</v>
      </c>
      <c r="BS47">
        <v>4</v>
      </c>
    </row>
    <row r="48" spans="1:71" x14ac:dyDescent="0.25">
      <c r="A48" s="17">
        <v>43042</v>
      </c>
      <c r="B48">
        <v>16</v>
      </c>
      <c r="C48">
        <v>4</v>
      </c>
      <c r="D48">
        <v>7</v>
      </c>
      <c r="E48">
        <v>9</v>
      </c>
      <c r="F48">
        <v>31</v>
      </c>
      <c r="G48">
        <v>12</v>
      </c>
      <c r="H48">
        <v>26</v>
      </c>
      <c r="I48">
        <v>4</v>
      </c>
      <c r="J48">
        <v>13</v>
      </c>
      <c r="K48">
        <v>2</v>
      </c>
      <c r="L48">
        <v>5</v>
      </c>
      <c r="M48">
        <v>8</v>
      </c>
      <c r="N48">
        <v>8</v>
      </c>
      <c r="O48">
        <v>6</v>
      </c>
      <c r="P48">
        <v>4</v>
      </c>
      <c r="Q48">
        <v>8</v>
      </c>
      <c r="R48">
        <v>5</v>
      </c>
      <c r="S48">
        <v>23</v>
      </c>
      <c r="T48">
        <v>12</v>
      </c>
      <c r="U48">
        <v>23</v>
      </c>
      <c r="V48">
        <v>2</v>
      </c>
      <c r="W48">
        <v>4</v>
      </c>
      <c r="X48">
        <v>21</v>
      </c>
      <c r="Y48">
        <v>3</v>
      </c>
      <c r="Z48">
        <v>10</v>
      </c>
      <c r="AA48">
        <v>5</v>
      </c>
      <c r="AB48">
        <v>8</v>
      </c>
      <c r="AC48">
        <v>1</v>
      </c>
      <c r="AD48">
        <v>2</v>
      </c>
      <c r="AE48">
        <v>3</v>
      </c>
      <c r="AF48">
        <v>2</v>
      </c>
      <c r="AG48">
        <v>2</v>
      </c>
      <c r="AH48">
        <v>0</v>
      </c>
      <c r="AI48">
        <v>5</v>
      </c>
      <c r="AJ48">
        <v>14</v>
      </c>
      <c r="AK48">
        <v>200</v>
      </c>
      <c r="AL48">
        <v>2500</v>
      </c>
      <c r="AM48">
        <v>600</v>
      </c>
      <c r="AN48" t="s">
        <v>46</v>
      </c>
      <c r="AO48" t="s">
        <v>46</v>
      </c>
      <c r="AV48">
        <v>3</v>
      </c>
      <c r="AW48">
        <v>50</v>
      </c>
      <c r="AX48">
        <v>0</v>
      </c>
      <c r="AY48">
        <v>3</v>
      </c>
      <c r="AZ48">
        <v>3</v>
      </c>
      <c r="BA48">
        <v>2</v>
      </c>
      <c r="BB48">
        <v>16</v>
      </c>
      <c r="BC48">
        <v>14</v>
      </c>
      <c r="BD48">
        <v>1</v>
      </c>
      <c r="BE48">
        <v>1</v>
      </c>
      <c r="BF48">
        <v>1</v>
      </c>
      <c r="BG48">
        <v>2</v>
      </c>
      <c r="BH48">
        <v>2</v>
      </c>
      <c r="BI48">
        <v>2</v>
      </c>
      <c r="BJ48">
        <v>2</v>
      </c>
      <c r="BK48">
        <v>2</v>
      </c>
      <c r="BL48">
        <v>48</v>
      </c>
      <c r="BM48">
        <v>25</v>
      </c>
      <c r="BN48">
        <v>14</v>
      </c>
      <c r="BO48">
        <v>12</v>
      </c>
      <c r="BP48">
        <v>30</v>
      </c>
      <c r="BQ48">
        <v>28</v>
      </c>
      <c r="BR48">
        <v>2</v>
      </c>
      <c r="BS48">
        <v>3</v>
      </c>
    </row>
    <row r="49" spans="1:72" x14ac:dyDescent="0.25">
      <c r="A49" s="17">
        <v>43045</v>
      </c>
      <c r="B49">
        <v>16</v>
      </c>
      <c r="C49">
        <v>3</v>
      </c>
      <c r="D49">
        <v>6</v>
      </c>
      <c r="E49">
        <v>9</v>
      </c>
      <c r="F49">
        <v>31</v>
      </c>
      <c r="G49">
        <v>12</v>
      </c>
      <c r="H49">
        <v>26</v>
      </c>
      <c r="I49">
        <v>3</v>
      </c>
      <c r="J49">
        <v>13</v>
      </c>
      <c r="K49">
        <v>2</v>
      </c>
      <c r="L49">
        <v>5</v>
      </c>
      <c r="M49">
        <v>8</v>
      </c>
      <c r="N49">
        <v>8</v>
      </c>
      <c r="O49">
        <v>6</v>
      </c>
      <c r="P49">
        <v>4</v>
      </c>
      <c r="Q49">
        <v>7</v>
      </c>
      <c r="R49">
        <v>5</v>
      </c>
      <c r="S49">
        <v>23</v>
      </c>
      <c r="T49">
        <v>12</v>
      </c>
      <c r="U49">
        <v>23</v>
      </c>
      <c r="V49">
        <v>2</v>
      </c>
      <c r="W49">
        <v>4</v>
      </c>
      <c r="X49">
        <v>21</v>
      </c>
      <c r="Y49">
        <v>3</v>
      </c>
      <c r="Z49">
        <v>8</v>
      </c>
      <c r="AA49">
        <v>5</v>
      </c>
      <c r="AB49">
        <v>8</v>
      </c>
      <c r="AC49">
        <v>1</v>
      </c>
      <c r="AD49">
        <v>2</v>
      </c>
      <c r="AE49">
        <v>3</v>
      </c>
      <c r="AF49">
        <v>2</v>
      </c>
      <c r="AG49">
        <v>2</v>
      </c>
      <c r="AH49">
        <v>0</v>
      </c>
      <c r="AI49">
        <v>5</v>
      </c>
      <c r="AJ49">
        <v>14</v>
      </c>
      <c r="AK49">
        <v>200</v>
      </c>
      <c r="AL49">
        <v>2500</v>
      </c>
      <c r="AM49">
        <v>600</v>
      </c>
      <c r="AN49" t="s">
        <v>46</v>
      </c>
      <c r="AO49" t="s">
        <v>46</v>
      </c>
      <c r="AV49">
        <v>3</v>
      </c>
      <c r="AW49">
        <v>50</v>
      </c>
      <c r="AX49">
        <v>0</v>
      </c>
      <c r="AY49">
        <v>3</v>
      </c>
      <c r="AZ49">
        <v>3</v>
      </c>
      <c r="BA49">
        <v>2</v>
      </c>
      <c r="BB49">
        <v>16</v>
      </c>
      <c r="BC49">
        <v>14</v>
      </c>
      <c r="BD49">
        <v>1</v>
      </c>
      <c r="BE49">
        <v>1</v>
      </c>
      <c r="BF49">
        <v>1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48</v>
      </c>
      <c r="BM49">
        <v>25</v>
      </c>
      <c r="BN49">
        <v>14</v>
      </c>
      <c r="BO49">
        <v>12</v>
      </c>
      <c r="BP49">
        <v>30</v>
      </c>
      <c r="BQ49">
        <v>28</v>
      </c>
      <c r="BR49">
        <v>2</v>
      </c>
      <c r="BS49">
        <v>3</v>
      </c>
    </row>
    <row r="50" spans="1:72" x14ac:dyDescent="0.25">
      <c r="A50" s="17">
        <v>43047</v>
      </c>
      <c r="B50">
        <v>16</v>
      </c>
      <c r="C50">
        <v>3</v>
      </c>
      <c r="D50">
        <v>6</v>
      </c>
      <c r="E50">
        <v>9</v>
      </c>
      <c r="F50">
        <v>31</v>
      </c>
      <c r="G50">
        <v>12</v>
      </c>
      <c r="H50">
        <v>25</v>
      </c>
      <c r="I50">
        <v>3</v>
      </c>
      <c r="J50">
        <v>13</v>
      </c>
      <c r="K50">
        <v>2</v>
      </c>
      <c r="L50">
        <v>5</v>
      </c>
      <c r="M50">
        <v>8</v>
      </c>
      <c r="N50">
        <v>8</v>
      </c>
      <c r="O50">
        <v>6</v>
      </c>
      <c r="P50">
        <v>4</v>
      </c>
      <c r="Q50">
        <v>7</v>
      </c>
      <c r="R50">
        <v>5</v>
      </c>
      <c r="S50">
        <v>23</v>
      </c>
      <c r="T50">
        <v>12</v>
      </c>
      <c r="U50">
        <v>23</v>
      </c>
      <c r="V50">
        <v>2</v>
      </c>
      <c r="W50">
        <v>4</v>
      </c>
      <c r="X50">
        <v>21</v>
      </c>
      <c r="Y50">
        <v>3</v>
      </c>
      <c r="Z50">
        <v>8</v>
      </c>
      <c r="AA50">
        <v>5</v>
      </c>
      <c r="AB50">
        <v>8</v>
      </c>
      <c r="AC50">
        <v>1</v>
      </c>
      <c r="AD50">
        <v>2</v>
      </c>
      <c r="AE50">
        <v>3</v>
      </c>
      <c r="AF50">
        <v>2</v>
      </c>
      <c r="AG50">
        <v>2</v>
      </c>
      <c r="AH50">
        <v>0</v>
      </c>
      <c r="AI50">
        <v>5</v>
      </c>
      <c r="AJ50">
        <v>14</v>
      </c>
      <c r="AK50">
        <v>200</v>
      </c>
      <c r="AL50">
        <v>2500</v>
      </c>
      <c r="AM50">
        <v>600</v>
      </c>
      <c r="AN50" t="s">
        <v>46</v>
      </c>
      <c r="AO50" t="s">
        <v>46</v>
      </c>
      <c r="AV50">
        <v>3</v>
      </c>
      <c r="AW50">
        <v>50</v>
      </c>
      <c r="AX50">
        <v>0</v>
      </c>
      <c r="AY50">
        <v>3</v>
      </c>
      <c r="AZ50">
        <v>3</v>
      </c>
      <c r="BA50">
        <v>2</v>
      </c>
      <c r="BB50">
        <v>15</v>
      </c>
      <c r="BC50">
        <v>13</v>
      </c>
      <c r="BD50">
        <v>1</v>
      </c>
      <c r="BE50">
        <v>1</v>
      </c>
      <c r="BF50">
        <v>1</v>
      </c>
      <c r="BG50">
        <v>2</v>
      </c>
      <c r="BH50">
        <v>2</v>
      </c>
      <c r="BI50">
        <v>2</v>
      </c>
      <c r="BJ50">
        <v>2</v>
      </c>
      <c r="BK50">
        <v>1</v>
      </c>
      <c r="BL50">
        <v>48</v>
      </c>
      <c r="BM50">
        <v>25</v>
      </c>
      <c r="BN50">
        <v>14</v>
      </c>
      <c r="BO50">
        <v>12</v>
      </c>
      <c r="BP50">
        <v>29</v>
      </c>
      <c r="BQ50">
        <v>27</v>
      </c>
      <c r="BR50">
        <v>2</v>
      </c>
      <c r="BS50">
        <v>3</v>
      </c>
    </row>
    <row r="51" spans="1:72" x14ac:dyDescent="0.25">
      <c r="A51" s="17">
        <v>43048</v>
      </c>
      <c r="B51">
        <v>16</v>
      </c>
      <c r="C51">
        <v>23</v>
      </c>
      <c r="D51">
        <v>6</v>
      </c>
      <c r="E51">
        <v>9</v>
      </c>
      <c r="F51">
        <v>31</v>
      </c>
      <c r="G51">
        <v>12</v>
      </c>
      <c r="H51">
        <v>25</v>
      </c>
      <c r="I51">
        <v>18</v>
      </c>
      <c r="J51">
        <v>13</v>
      </c>
      <c r="K51">
        <v>1</v>
      </c>
      <c r="L51">
        <v>5</v>
      </c>
      <c r="M51">
        <v>7</v>
      </c>
      <c r="N51">
        <v>9</v>
      </c>
      <c r="O51">
        <v>5</v>
      </c>
      <c r="P51">
        <v>4</v>
      </c>
      <c r="Q51">
        <v>7</v>
      </c>
      <c r="R51">
        <v>5</v>
      </c>
      <c r="S51">
        <v>23</v>
      </c>
      <c r="T51">
        <v>12</v>
      </c>
      <c r="U51">
        <v>23</v>
      </c>
      <c r="V51">
        <v>2</v>
      </c>
      <c r="W51">
        <v>4</v>
      </c>
      <c r="X51">
        <v>21</v>
      </c>
      <c r="Y51">
        <v>3</v>
      </c>
      <c r="Z51">
        <v>8</v>
      </c>
      <c r="AA51">
        <v>5</v>
      </c>
      <c r="AB51">
        <v>8</v>
      </c>
      <c r="AC51">
        <v>3</v>
      </c>
      <c r="AD51">
        <v>2</v>
      </c>
      <c r="AE51">
        <v>3</v>
      </c>
      <c r="AF51">
        <v>4</v>
      </c>
      <c r="AG51">
        <v>2</v>
      </c>
      <c r="AH51">
        <v>0</v>
      </c>
      <c r="AI51">
        <v>5</v>
      </c>
      <c r="AJ51">
        <v>14</v>
      </c>
      <c r="AK51">
        <v>200</v>
      </c>
      <c r="AL51">
        <v>2100</v>
      </c>
      <c r="AM51">
        <v>600</v>
      </c>
      <c r="AN51" t="s">
        <v>46</v>
      </c>
      <c r="AO51" t="s">
        <v>46</v>
      </c>
      <c r="AV51">
        <v>3</v>
      </c>
      <c r="AW51">
        <v>50</v>
      </c>
      <c r="AX51">
        <v>3950</v>
      </c>
      <c r="AY51">
        <v>3</v>
      </c>
      <c r="AZ51">
        <v>3</v>
      </c>
      <c r="BA51">
        <v>2</v>
      </c>
      <c r="BB51">
        <v>15</v>
      </c>
      <c r="BC51">
        <v>13</v>
      </c>
      <c r="BD51">
        <v>3</v>
      </c>
      <c r="BE51">
        <v>3</v>
      </c>
      <c r="BF51">
        <v>3</v>
      </c>
      <c r="BG51">
        <v>3</v>
      </c>
      <c r="BH51">
        <v>2</v>
      </c>
      <c r="BI51">
        <v>2</v>
      </c>
      <c r="BJ51">
        <v>2</v>
      </c>
      <c r="BK51">
        <v>1</v>
      </c>
      <c r="BL51">
        <v>48</v>
      </c>
      <c r="BM51">
        <v>25</v>
      </c>
      <c r="BN51">
        <v>14</v>
      </c>
      <c r="BO51">
        <v>12</v>
      </c>
      <c r="BP51">
        <v>29</v>
      </c>
      <c r="BQ51">
        <v>27</v>
      </c>
      <c r="BR51">
        <v>2</v>
      </c>
      <c r="BS51">
        <v>3</v>
      </c>
    </row>
    <row r="52" spans="1:72" x14ac:dyDescent="0.25">
      <c r="A52" s="17">
        <v>43049</v>
      </c>
      <c r="B52">
        <v>16</v>
      </c>
      <c r="C52">
        <v>22</v>
      </c>
      <c r="D52">
        <v>6</v>
      </c>
      <c r="E52">
        <v>9</v>
      </c>
      <c r="F52">
        <v>31</v>
      </c>
      <c r="G52">
        <v>11</v>
      </c>
      <c r="H52">
        <v>25</v>
      </c>
      <c r="I52">
        <v>18</v>
      </c>
      <c r="J52">
        <v>13</v>
      </c>
      <c r="K52">
        <v>1</v>
      </c>
      <c r="L52">
        <v>5</v>
      </c>
      <c r="M52">
        <v>7</v>
      </c>
      <c r="N52">
        <v>9</v>
      </c>
      <c r="O52">
        <v>5</v>
      </c>
      <c r="P52">
        <v>4</v>
      </c>
      <c r="Q52">
        <v>7</v>
      </c>
      <c r="R52">
        <v>4</v>
      </c>
      <c r="S52">
        <v>23</v>
      </c>
      <c r="T52">
        <v>12</v>
      </c>
      <c r="U52">
        <v>23</v>
      </c>
      <c r="V52">
        <v>2</v>
      </c>
      <c r="W52">
        <v>4</v>
      </c>
      <c r="X52">
        <v>21</v>
      </c>
      <c r="Y52">
        <v>3</v>
      </c>
      <c r="Z52">
        <v>8</v>
      </c>
      <c r="AA52">
        <v>5</v>
      </c>
      <c r="AB52">
        <v>8</v>
      </c>
      <c r="AC52">
        <v>3</v>
      </c>
      <c r="AD52">
        <v>2</v>
      </c>
      <c r="AE52">
        <v>3</v>
      </c>
      <c r="AF52">
        <v>3</v>
      </c>
      <c r="AG52">
        <v>2</v>
      </c>
      <c r="AH52">
        <v>0</v>
      </c>
      <c r="AI52">
        <v>5</v>
      </c>
      <c r="AJ52">
        <v>14</v>
      </c>
      <c r="AK52">
        <v>200</v>
      </c>
      <c r="AL52">
        <v>2100</v>
      </c>
      <c r="AM52">
        <v>600</v>
      </c>
      <c r="AN52" t="s">
        <v>46</v>
      </c>
      <c r="AO52" t="s">
        <v>46</v>
      </c>
      <c r="AV52">
        <v>3</v>
      </c>
      <c r="AW52">
        <v>50</v>
      </c>
      <c r="AX52">
        <v>3950</v>
      </c>
      <c r="AY52">
        <v>3</v>
      </c>
      <c r="AZ52">
        <v>3</v>
      </c>
      <c r="BA52">
        <v>2</v>
      </c>
      <c r="BB52">
        <v>14</v>
      </c>
      <c r="BC52">
        <v>12</v>
      </c>
      <c r="BD52">
        <v>3</v>
      </c>
      <c r="BE52">
        <v>3</v>
      </c>
      <c r="BF52">
        <v>3</v>
      </c>
      <c r="BG52">
        <v>2</v>
      </c>
      <c r="BH52">
        <v>2</v>
      </c>
      <c r="BI52">
        <v>2</v>
      </c>
      <c r="BJ52">
        <v>2</v>
      </c>
      <c r="BK52">
        <v>1</v>
      </c>
      <c r="BL52">
        <v>48</v>
      </c>
      <c r="BM52">
        <v>25</v>
      </c>
      <c r="BN52">
        <v>14</v>
      </c>
      <c r="BO52">
        <v>12</v>
      </c>
      <c r="BP52">
        <v>29</v>
      </c>
      <c r="BQ52">
        <v>27</v>
      </c>
      <c r="BR52">
        <v>2</v>
      </c>
      <c r="BS52">
        <v>3</v>
      </c>
    </row>
    <row r="53" spans="1:72" x14ac:dyDescent="0.25">
      <c r="A53" s="17">
        <v>43052</v>
      </c>
      <c r="B53">
        <v>16</v>
      </c>
      <c r="C53">
        <v>22</v>
      </c>
      <c r="D53">
        <v>6</v>
      </c>
      <c r="E53">
        <v>9</v>
      </c>
      <c r="F53">
        <v>31</v>
      </c>
      <c r="G53">
        <v>11</v>
      </c>
      <c r="H53">
        <v>25</v>
      </c>
      <c r="I53">
        <v>18</v>
      </c>
      <c r="J53">
        <v>13</v>
      </c>
      <c r="K53">
        <v>1</v>
      </c>
      <c r="L53">
        <v>5</v>
      </c>
      <c r="M53">
        <v>7</v>
      </c>
      <c r="N53">
        <v>9</v>
      </c>
      <c r="O53">
        <v>5</v>
      </c>
      <c r="P53">
        <v>4</v>
      </c>
      <c r="Q53">
        <v>7</v>
      </c>
      <c r="R53">
        <v>4</v>
      </c>
      <c r="S53">
        <v>23</v>
      </c>
      <c r="T53">
        <v>12</v>
      </c>
      <c r="U53">
        <v>23</v>
      </c>
      <c r="V53">
        <v>2</v>
      </c>
      <c r="W53">
        <v>4</v>
      </c>
      <c r="X53">
        <v>20</v>
      </c>
      <c r="Y53">
        <v>3</v>
      </c>
      <c r="Z53">
        <v>8</v>
      </c>
      <c r="AA53">
        <v>5</v>
      </c>
      <c r="AB53">
        <v>8</v>
      </c>
      <c r="AC53">
        <v>3</v>
      </c>
      <c r="AD53">
        <v>2</v>
      </c>
      <c r="AE53">
        <v>3</v>
      </c>
      <c r="AF53">
        <v>3</v>
      </c>
      <c r="AG53">
        <v>2</v>
      </c>
      <c r="AH53">
        <v>0</v>
      </c>
      <c r="AI53">
        <v>5</v>
      </c>
      <c r="AJ53">
        <v>14</v>
      </c>
      <c r="AK53">
        <v>200</v>
      </c>
      <c r="AL53">
        <v>1900</v>
      </c>
      <c r="AM53">
        <v>600</v>
      </c>
      <c r="AN53" t="s">
        <v>46</v>
      </c>
      <c r="AO53" t="s">
        <v>46</v>
      </c>
      <c r="AV53">
        <v>3</v>
      </c>
      <c r="AW53">
        <v>50</v>
      </c>
      <c r="AX53">
        <v>3800</v>
      </c>
      <c r="AY53">
        <v>3</v>
      </c>
      <c r="AZ53">
        <v>3</v>
      </c>
      <c r="BA53">
        <v>2</v>
      </c>
      <c r="BB53">
        <v>14</v>
      </c>
      <c r="BC53">
        <v>12</v>
      </c>
      <c r="BD53">
        <v>3</v>
      </c>
      <c r="BE53">
        <v>3</v>
      </c>
      <c r="BF53">
        <v>3</v>
      </c>
      <c r="BG53">
        <v>2</v>
      </c>
      <c r="BH53">
        <v>2</v>
      </c>
      <c r="BI53">
        <v>2</v>
      </c>
      <c r="BJ53">
        <v>2</v>
      </c>
      <c r="BK53">
        <v>1</v>
      </c>
      <c r="BL53">
        <v>48</v>
      </c>
      <c r="BM53">
        <v>25</v>
      </c>
      <c r="BN53">
        <v>13</v>
      </c>
      <c r="BO53">
        <v>12</v>
      </c>
      <c r="BP53">
        <v>29</v>
      </c>
      <c r="BQ53">
        <v>27</v>
      </c>
      <c r="BR53">
        <v>2</v>
      </c>
      <c r="BS53">
        <v>3</v>
      </c>
    </row>
    <row r="54" spans="1:72" x14ac:dyDescent="0.25">
      <c r="A54" s="17">
        <v>43054</v>
      </c>
      <c r="B54">
        <v>16</v>
      </c>
      <c r="C54">
        <v>21</v>
      </c>
      <c r="D54">
        <v>6</v>
      </c>
      <c r="E54">
        <v>8</v>
      </c>
      <c r="F54">
        <v>31</v>
      </c>
      <c r="G54">
        <v>11</v>
      </c>
      <c r="H54">
        <v>25</v>
      </c>
      <c r="I54">
        <v>18</v>
      </c>
      <c r="J54">
        <v>12</v>
      </c>
      <c r="K54">
        <v>1</v>
      </c>
      <c r="L54">
        <v>5</v>
      </c>
      <c r="M54">
        <v>7</v>
      </c>
      <c r="N54">
        <v>9</v>
      </c>
      <c r="O54">
        <v>5</v>
      </c>
      <c r="P54">
        <v>4</v>
      </c>
      <c r="Q54">
        <v>6</v>
      </c>
      <c r="R54">
        <v>4</v>
      </c>
      <c r="S54">
        <v>23</v>
      </c>
      <c r="T54">
        <v>11</v>
      </c>
      <c r="U54">
        <v>23</v>
      </c>
      <c r="V54">
        <v>2</v>
      </c>
      <c r="W54">
        <v>4</v>
      </c>
      <c r="X54">
        <v>20</v>
      </c>
      <c r="Y54">
        <v>3</v>
      </c>
      <c r="Z54">
        <v>8</v>
      </c>
      <c r="AA54">
        <v>5</v>
      </c>
      <c r="AB54">
        <v>8</v>
      </c>
      <c r="AC54">
        <v>3</v>
      </c>
      <c r="AD54">
        <v>2</v>
      </c>
      <c r="AE54">
        <v>2</v>
      </c>
      <c r="AF54">
        <v>3</v>
      </c>
      <c r="AG54">
        <v>2</v>
      </c>
      <c r="AH54">
        <v>0</v>
      </c>
      <c r="AI54">
        <v>5</v>
      </c>
      <c r="AJ54">
        <v>13</v>
      </c>
      <c r="AK54">
        <v>200</v>
      </c>
      <c r="AL54">
        <v>1900</v>
      </c>
      <c r="AM54">
        <v>600</v>
      </c>
      <c r="AN54" t="s">
        <v>46</v>
      </c>
      <c r="AO54" t="s">
        <v>46</v>
      </c>
      <c r="AV54">
        <v>3</v>
      </c>
      <c r="AW54">
        <v>50</v>
      </c>
      <c r="AX54">
        <v>3800</v>
      </c>
      <c r="AY54">
        <v>3</v>
      </c>
      <c r="AZ54">
        <v>3</v>
      </c>
      <c r="BA54">
        <v>2</v>
      </c>
      <c r="BB54">
        <v>14</v>
      </c>
      <c r="BC54">
        <v>12</v>
      </c>
      <c r="BD54">
        <v>3</v>
      </c>
      <c r="BE54">
        <v>3</v>
      </c>
      <c r="BF54">
        <v>3</v>
      </c>
      <c r="BG54">
        <v>2</v>
      </c>
      <c r="BH54">
        <v>2</v>
      </c>
      <c r="BI54">
        <v>2</v>
      </c>
      <c r="BJ54">
        <v>1</v>
      </c>
      <c r="BK54">
        <v>1</v>
      </c>
      <c r="BL54">
        <v>48</v>
      </c>
      <c r="BM54">
        <v>24</v>
      </c>
      <c r="BN54">
        <v>13</v>
      </c>
      <c r="BO54">
        <v>9</v>
      </c>
      <c r="BP54">
        <v>29</v>
      </c>
      <c r="BQ54">
        <v>27</v>
      </c>
      <c r="BR54">
        <v>2</v>
      </c>
      <c r="BS54">
        <v>2</v>
      </c>
    </row>
    <row r="55" spans="1:72" x14ac:dyDescent="0.25">
      <c r="A55" s="17">
        <v>43056</v>
      </c>
      <c r="B55">
        <v>16</v>
      </c>
      <c r="C55">
        <v>21</v>
      </c>
      <c r="D55">
        <v>6</v>
      </c>
      <c r="E55">
        <v>8</v>
      </c>
      <c r="F55">
        <v>31</v>
      </c>
      <c r="G55">
        <v>11</v>
      </c>
      <c r="H55">
        <v>25</v>
      </c>
      <c r="I55">
        <v>17</v>
      </c>
      <c r="J55">
        <v>12</v>
      </c>
      <c r="K55">
        <v>1</v>
      </c>
      <c r="L55">
        <v>5</v>
      </c>
      <c r="M55">
        <v>7</v>
      </c>
      <c r="N55">
        <v>8</v>
      </c>
      <c r="O55">
        <v>5</v>
      </c>
      <c r="P55">
        <v>4</v>
      </c>
      <c r="Q55">
        <v>6</v>
      </c>
      <c r="R55">
        <v>4</v>
      </c>
      <c r="S55">
        <v>23</v>
      </c>
      <c r="T55">
        <v>11</v>
      </c>
      <c r="U55">
        <v>23</v>
      </c>
      <c r="V55">
        <v>2</v>
      </c>
      <c r="W55">
        <v>4</v>
      </c>
      <c r="X55">
        <v>20</v>
      </c>
      <c r="Y55">
        <v>3</v>
      </c>
      <c r="Z55">
        <v>7</v>
      </c>
      <c r="AA55">
        <v>5</v>
      </c>
      <c r="AB55">
        <v>8</v>
      </c>
      <c r="AC55">
        <v>2</v>
      </c>
      <c r="AD55">
        <v>2</v>
      </c>
      <c r="AE55">
        <v>2</v>
      </c>
      <c r="AF55">
        <v>3</v>
      </c>
      <c r="AG55">
        <v>2</v>
      </c>
      <c r="AH55">
        <v>0</v>
      </c>
      <c r="AI55">
        <v>5</v>
      </c>
      <c r="AJ55">
        <v>13</v>
      </c>
      <c r="AK55">
        <v>200</v>
      </c>
      <c r="AL55">
        <v>1900</v>
      </c>
      <c r="AM55">
        <v>600</v>
      </c>
      <c r="AN55" t="s">
        <v>46</v>
      </c>
      <c r="AO55" t="s">
        <v>46</v>
      </c>
      <c r="AV55">
        <v>3</v>
      </c>
      <c r="AW55">
        <v>50</v>
      </c>
      <c r="AX55">
        <v>3800</v>
      </c>
      <c r="AY55">
        <v>3</v>
      </c>
      <c r="AZ55">
        <v>3</v>
      </c>
      <c r="BA55">
        <v>2</v>
      </c>
      <c r="BB55">
        <v>13</v>
      </c>
      <c r="BC55">
        <v>11</v>
      </c>
      <c r="BD55">
        <v>3</v>
      </c>
      <c r="BE55">
        <v>3</v>
      </c>
      <c r="BF55">
        <v>3</v>
      </c>
      <c r="BG55">
        <v>2</v>
      </c>
      <c r="BH55">
        <v>2</v>
      </c>
      <c r="BI55">
        <v>2</v>
      </c>
      <c r="BJ55">
        <v>1</v>
      </c>
      <c r="BK55">
        <v>1</v>
      </c>
      <c r="BL55">
        <v>48</v>
      </c>
      <c r="BM55">
        <v>24</v>
      </c>
      <c r="BN55">
        <v>12</v>
      </c>
      <c r="BO55">
        <v>9</v>
      </c>
      <c r="BP55">
        <v>29</v>
      </c>
      <c r="BQ55">
        <v>27</v>
      </c>
      <c r="BR55">
        <v>2</v>
      </c>
      <c r="BS55">
        <v>2</v>
      </c>
    </row>
    <row r="56" spans="1:72" x14ac:dyDescent="0.25">
      <c r="A56" s="17">
        <v>43059</v>
      </c>
      <c r="B56">
        <v>15</v>
      </c>
      <c r="C56">
        <v>20</v>
      </c>
      <c r="D56">
        <v>5</v>
      </c>
      <c r="E56">
        <v>8</v>
      </c>
      <c r="F56">
        <v>29</v>
      </c>
      <c r="G56">
        <v>11</v>
      </c>
      <c r="H56">
        <v>25</v>
      </c>
      <c r="I56">
        <v>17</v>
      </c>
      <c r="J56">
        <v>12</v>
      </c>
      <c r="K56">
        <v>1</v>
      </c>
      <c r="L56">
        <v>5</v>
      </c>
      <c r="M56">
        <v>7</v>
      </c>
      <c r="N56">
        <v>8</v>
      </c>
      <c r="O56">
        <v>5</v>
      </c>
      <c r="P56">
        <v>4</v>
      </c>
      <c r="Q56">
        <v>6</v>
      </c>
      <c r="R56">
        <v>3</v>
      </c>
      <c r="S56">
        <v>23</v>
      </c>
      <c r="T56">
        <v>11</v>
      </c>
      <c r="U56">
        <v>23</v>
      </c>
      <c r="V56">
        <v>1</v>
      </c>
      <c r="W56">
        <v>4</v>
      </c>
      <c r="X56">
        <v>20</v>
      </c>
      <c r="Y56">
        <v>3</v>
      </c>
      <c r="Z56">
        <v>7</v>
      </c>
      <c r="AA56">
        <v>5</v>
      </c>
      <c r="AB56">
        <v>8</v>
      </c>
      <c r="AC56">
        <v>2</v>
      </c>
      <c r="AD56">
        <v>2</v>
      </c>
      <c r="AE56">
        <v>2</v>
      </c>
      <c r="AF56">
        <v>3</v>
      </c>
      <c r="AG56">
        <v>1</v>
      </c>
      <c r="AH56">
        <v>0</v>
      </c>
      <c r="AI56">
        <v>5</v>
      </c>
      <c r="AJ56">
        <v>13</v>
      </c>
      <c r="AK56">
        <v>200</v>
      </c>
      <c r="AL56">
        <v>1900</v>
      </c>
      <c r="AM56">
        <v>600</v>
      </c>
      <c r="AN56" t="s">
        <v>46</v>
      </c>
      <c r="AO56" t="s">
        <v>46</v>
      </c>
      <c r="AV56">
        <v>3</v>
      </c>
      <c r="AW56">
        <v>50</v>
      </c>
      <c r="AX56">
        <v>3800</v>
      </c>
      <c r="AY56">
        <v>3</v>
      </c>
      <c r="AZ56">
        <v>3</v>
      </c>
      <c r="BA56">
        <v>2</v>
      </c>
      <c r="BB56">
        <v>13</v>
      </c>
      <c r="BC56">
        <v>11</v>
      </c>
      <c r="BD56">
        <v>3</v>
      </c>
      <c r="BE56">
        <v>3</v>
      </c>
      <c r="BF56">
        <v>3</v>
      </c>
      <c r="BG56">
        <v>2</v>
      </c>
      <c r="BH56">
        <v>2</v>
      </c>
      <c r="BI56">
        <v>2</v>
      </c>
      <c r="BJ56">
        <v>1</v>
      </c>
      <c r="BK56">
        <v>1</v>
      </c>
      <c r="BL56">
        <v>48</v>
      </c>
      <c r="BM56">
        <v>24</v>
      </c>
      <c r="BN56">
        <v>12</v>
      </c>
      <c r="BO56">
        <v>9</v>
      </c>
      <c r="BP56">
        <v>29</v>
      </c>
      <c r="BQ56">
        <v>27</v>
      </c>
      <c r="BR56">
        <v>2</v>
      </c>
      <c r="BS56">
        <v>2</v>
      </c>
    </row>
    <row r="57" spans="1:72" x14ac:dyDescent="0.25">
      <c r="A57" s="17">
        <v>43066</v>
      </c>
      <c r="B57">
        <v>15</v>
      </c>
      <c r="C57">
        <v>18</v>
      </c>
      <c r="D57">
        <v>5</v>
      </c>
      <c r="E57">
        <v>8</v>
      </c>
      <c r="F57">
        <v>28</v>
      </c>
      <c r="G57">
        <v>11</v>
      </c>
      <c r="H57">
        <v>24</v>
      </c>
      <c r="I57">
        <v>16</v>
      </c>
      <c r="J57">
        <v>11</v>
      </c>
      <c r="K57">
        <v>1</v>
      </c>
      <c r="L57">
        <v>5</v>
      </c>
      <c r="M57">
        <v>7</v>
      </c>
      <c r="N57">
        <v>7</v>
      </c>
      <c r="O57">
        <v>5</v>
      </c>
      <c r="P57">
        <v>3</v>
      </c>
      <c r="Q57">
        <v>5</v>
      </c>
      <c r="R57">
        <v>2</v>
      </c>
      <c r="S57">
        <v>22</v>
      </c>
      <c r="T57">
        <v>11</v>
      </c>
      <c r="U57">
        <v>22</v>
      </c>
      <c r="V57">
        <v>1</v>
      </c>
      <c r="W57">
        <v>4</v>
      </c>
      <c r="X57">
        <v>19</v>
      </c>
      <c r="Y57">
        <v>2</v>
      </c>
      <c r="Z57">
        <v>7</v>
      </c>
      <c r="AA57">
        <v>5</v>
      </c>
      <c r="AB57">
        <v>6</v>
      </c>
      <c r="AC57">
        <v>2</v>
      </c>
      <c r="AD57">
        <v>0</v>
      </c>
      <c r="AE57">
        <v>2</v>
      </c>
      <c r="AF57">
        <v>2</v>
      </c>
      <c r="AG57">
        <v>1</v>
      </c>
      <c r="AH57">
        <v>2</v>
      </c>
      <c r="AI57">
        <v>5</v>
      </c>
      <c r="AJ57">
        <v>12</v>
      </c>
      <c r="AK57">
        <v>200</v>
      </c>
      <c r="AL57">
        <v>1250</v>
      </c>
      <c r="AM57">
        <v>600</v>
      </c>
      <c r="AN57" t="s">
        <v>46</v>
      </c>
      <c r="AO57" t="s">
        <v>46</v>
      </c>
      <c r="AV57">
        <v>2</v>
      </c>
      <c r="AW57">
        <v>50</v>
      </c>
      <c r="AX57">
        <v>3300</v>
      </c>
      <c r="AY57">
        <v>3</v>
      </c>
      <c r="AZ57">
        <v>3</v>
      </c>
      <c r="BA57">
        <v>2</v>
      </c>
      <c r="BB57">
        <v>12</v>
      </c>
      <c r="BC57">
        <v>10</v>
      </c>
      <c r="BD57">
        <v>2</v>
      </c>
      <c r="BE57">
        <v>3</v>
      </c>
      <c r="BF57">
        <v>3</v>
      </c>
      <c r="BG57">
        <v>2</v>
      </c>
      <c r="BH57">
        <v>2</v>
      </c>
      <c r="BI57">
        <v>2</v>
      </c>
      <c r="BJ57">
        <v>1</v>
      </c>
      <c r="BK57">
        <v>1</v>
      </c>
      <c r="BL57">
        <v>48</v>
      </c>
      <c r="BM57">
        <v>23</v>
      </c>
      <c r="BN57">
        <v>11</v>
      </c>
      <c r="BO57">
        <v>8</v>
      </c>
      <c r="BP57">
        <v>28</v>
      </c>
      <c r="BQ57">
        <v>26</v>
      </c>
      <c r="BR57">
        <v>2</v>
      </c>
      <c r="BS57">
        <v>2</v>
      </c>
    </row>
    <row r="58" spans="1:72" x14ac:dyDescent="0.25">
      <c r="A58" s="17">
        <v>43068</v>
      </c>
      <c r="B58">
        <v>15</v>
      </c>
      <c r="C58">
        <v>18</v>
      </c>
      <c r="D58">
        <v>5</v>
      </c>
      <c r="E58">
        <v>8</v>
      </c>
      <c r="F58">
        <v>28</v>
      </c>
      <c r="G58">
        <v>11</v>
      </c>
      <c r="H58">
        <v>24</v>
      </c>
      <c r="I58">
        <v>16</v>
      </c>
      <c r="J58">
        <v>11</v>
      </c>
      <c r="K58">
        <v>0</v>
      </c>
      <c r="L58">
        <v>5</v>
      </c>
      <c r="M58">
        <v>7</v>
      </c>
      <c r="N58">
        <v>7</v>
      </c>
      <c r="O58">
        <v>5</v>
      </c>
      <c r="P58">
        <v>3</v>
      </c>
      <c r="Q58">
        <v>5</v>
      </c>
      <c r="R58">
        <v>2</v>
      </c>
      <c r="S58">
        <v>22</v>
      </c>
      <c r="T58">
        <v>11</v>
      </c>
      <c r="U58">
        <v>22</v>
      </c>
      <c r="V58">
        <v>1</v>
      </c>
      <c r="W58">
        <v>3</v>
      </c>
      <c r="X58">
        <v>19</v>
      </c>
      <c r="Y58">
        <v>2</v>
      </c>
      <c r="Z58">
        <v>7</v>
      </c>
      <c r="AA58">
        <v>5</v>
      </c>
      <c r="AB58">
        <v>6</v>
      </c>
      <c r="AC58">
        <v>2</v>
      </c>
      <c r="AD58">
        <v>0</v>
      </c>
      <c r="AE58">
        <v>2</v>
      </c>
      <c r="AF58">
        <v>2</v>
      </c>
      <c r="AG58">
        <v>1</v>
      </c>
      <c r="AH58">
        <v>2</v>
      </c>
      <c r="AI58">
        <v>5</v>
      </c>
      <c r="AJ58">
        <v>12</v>
      </c>
      <c r="AK58">
        <v>200</v>
      </c>
      <c r="AL58">
        <v>1100</v>
      </c>
      <c r="AM58">
        <v>600</v>
      </c>
      <c r="AN58" t="s">
        <v>46</v>
      </c>
      <c r="AO58" t="s">
        <v>46</v>
      </c>
      <c r="AV58">
        <v>2</v>
      </c>
      <c r="AW58">
        <v>50</v>
      </c>
      <c r="AX58">
        <v>3300</v>
      </c>
      <c r="AY58">
        <v>3</v>
      </c>
      <c r="AZ58">
        <v>3</v>
      </c>
      <c r="BA58">
        <v>2</v>
      </c>
      <c r="BB58">
        <v>12</v>
      </c>
      <c r="BC58">
        <v>10</v>
      </c>
      <c r="BD58">
        <v>2</v>
      </c>
      <c r="BE58">
        <v>3</v>
      </c>
      <c r="BF58">
        <v>3</v>
      </c>
      <c r="BG58">
        <v>2</v>
      </c>
      <c r="BH58">
        <v>2</v>
      </c>
      <c r="BI58">
        <v>2</v>
      </c>
      <c r="BJ58">
        <v>1</v>
      </c>
      <c r="BK58">
        <v>1</v>
      </c>
      <c r="BL58">
        <v>48</v>
      </c>
      <c r="BM58">
        <v>23</v>
      </c>
      <c r="BN58">
        <v>11</v>
      </c>
      <c r="BO58">
        <v>8</v>
      </c>
      <c r="BP58">
        <v>28</v>
      </c>
      <c r="BQ58">
        <v>26</v>
      </c>
      <c r="BR58">
        <v>2</v>
      </c>
      <c r="BS58">
        <v>7</v>
      </c>
      <c r="BT58">
        <v>1</v>
      </c>
    </row>
    <row r="59" spans="1:72" x14ac:dyDescent="0.25">
      <c r="A59" s="17">
        <v>43069</v>
      </c>
      <c r="B59">
        <v>15</v>
      </c>
      <c r="C59">
        <v>18</v>
      </c>
      <c r="D59">
        <v>5</v>
      </c>
      <c r="E59">
        <v>8</v>
      </c>
      <c r="F59">
        <v>28</v>
      </c>
      <c r="G59">
        <v>11</v>
      </c>
      <c r="H59">
        <v>24</v>
      </c>
      <c r="I59">
        <v>16</v>
      </c>
      <c r="J59">
        <v>11</v>
      </c>
      <c r="K59">
        <v>0</v>
      </c>
      <c r="L59">
        <v>5</v>
      </c>
      <c r="M59">
        <v>7</v>
      </c>
      <c r="N59">
        <v>7</v>
      </c>
      <c r="O59">
        <v>5</v>
      </c>
      <c r="P59">
        <v>3</v>
      </c>
      <c r="Q59">
        <v>5</v>
      </c>
      <c r="R59">
        <v>2</v>
      </c>
      <c r="S59">
        <v>22</v>
      </c>
      <c r="T59">
        <v>11</v>
      </c>
      <c r="U59">
        <v>22</v>
      </c>
      <c r="V59">
        <v>1</v>
      </c>
      <c r="W59">
        <v>3</v>
      </c>
      <c r="X59">
        <v>19</v>
      </c>
      <c r="Y59">
        <v>2</v>
      </c>
      <c r="Z59">
        <v>7</v>
      </c>
      <c r="AA59">
        <v>5</v>
      </c>
      <c r="AB59">
        <v>6</v>
      </c>
      <c r="AC59">
        <v>2</v>
      </c>
      <c r="AD59">
        <v>0</v>
      </c>
      <c r="AE59">
        <v>2</v>
      </c>
      <c r="AF59">
        <v>2</v>
      </c>
      <c r="AG59">
        <v>1</v>
      </c>
      <c r="AH59">
        <v>2</v>
      </c>
      <c r="AI59">
        <v>5</v>
      </c>
      <c r="AJ59">
        <v>12</v>
      </c>
      <c r="AK59">
        <v>200</v>
      </c>
      <c r="AL59">
        <v>1000</v>
      </c>
      <c r="AM59">
        <v>600</v>
      </c>
      <c r="AN59" t="s">
        <v>46</v>
      </c>
      <c r="AO59" t="s">
        <v>46</v>
      </c>
      <c r="AV59">
        <v>2</v>
      </c>
      <c r="AW59">
        <v>50</v>
      </c>
      <c r="AX59">
        <v>3300</v>
      </c>
      <c r="AY59">
        <v>3</v>
      </c>
      <c r="AZ59">
        <v>3</v>
      </c>
      <c r="BA59">
        <v>2</v>
      </c>
      <c r="BB59">
        <v>12</v>
      </c>
      <c r="BC59">
        <v>10</v>
      </c>
      <c r="BD59">
        <v>2</v>
      </c>
      <c r="BE59">
        <v>3</v>
      </c>
      <c r="BF59">
        <v>3</v>
      </c>
      <c r="BG59">
        <v>2</v>
      </c>
      <c r="BH59">
        <v>2</v>
      </c>
      <c r="BI59">
        <v>2</v>
      </c>
      <c r="BJ59">
        <v>1</v>
      </c>
      <c r="BK59">
        <v>1</v>
      </c>
      <c r="BL59">
        <v>48</v>
      </c>
      <c r="BM59">
        <v>23</v>
      </c>
      <c r="BN59">
        <v>11</v>
      </c>
      <c r="BO59">
        <v>8</v>
      </c>
      <c r="BP59">
        <v>28</v>
      </c>
      <c r="BQ59">
        <v>26</v>
      </c>
      <c r="BR59">
        <v>2</v>
      </c>
      <c r="BS59">
        <v>7</v>
      </c>
      <c r="BT59">
        <v>1</v>
      </c>
    </row>
    <row r="60" spans="1:72" x14ac:dyDescent="0.25">
      <c r="A60" s="17">
        <v>43070</v>
      </c>
      <c r="B60">
        <v>15</v>
      </c>
      <c r="C60">
        <v>17</v>
      </c>
      <c r="D60">
        <v>5</v>
      </c>
      <c r="E60">
        <v>8</v>
      </c>
      <c r="F60">
        <v>28</v>
      </c>
      <c r="G60">
        <v>10</v>
      </c>
      <c r="H60">
        <v>24</v>
      </c>
      <c r="I60">
        <v>16</v>
      </c>
      <c r="J60">
        <v>11</v>
      </c>
      <c r="K60">
        <v>0</v>
      </c>
      <c r="L60">
        <v>5</v>
      </c>
      <c r="M60">
        <v>7</v>
      </c>
      <c r="N60">
        <v>7</v>
      </c>
      <c r="O60">
        <v>5</v>
      </c>
      <c r="P60">
        <v>3</v>
      </c>
      <c r="Q60">
        <v>5</v>
      </c>
      <c r="R60">
        <v>1</v>
      </c>
      <c r="S60">
        <v>22</v>
      </c>
      <c r="T60">
        <v>11</v>
      </c>
      <c r="U60">
        <v>22</v>
      </c>
      <c r="V60">
        <v>1</v>
      </c>
      <c r="W60">
        <v>3</v>
      </c>
      <c r="X60">
        <v>19</v>
      </c>
      <c r="Y60">
        <v>2</v>
      </c>
      <c r="Z60">
        <v>6</v>
      </c>
      <c r="AA60">
        <v>5</v>
      </c>
      <c r="AB60">
        <v>6</v>
      </c>
      <c r="AC60">
        <v>2</v>
      </c>
      <c r="AD60">
        <v>0</v>
      </c>
      <c r="AE60">
        <v>2</v>
      </c>
      <c r="AF60">
        <v>2</v>
      </c>
      <c r="AG60">
        <v>1</v>
      </c>
      <c r="AH60">
        <v>2</v>
      </c>
      <c r="AI60">
        <v>5</v>
      </c>
      <c r="AJ60">
        <v>12</v>
      </c>
      <c r="AK60">
        <v>200</v>
      </c>
      <c r="AL60">
        <v>1000</v>
      </c>
      <c r="AM60">
        <v>600</v>
      </c>
      <c r="AN60" t="s">
        <v>46</v>
      </c>
      <c r="AO60" t="s">
        <v>46</v>
      </c>
      <c r="AV60">
        <v>2</v>
      </c>
      <c r="AW60">
        <v>50</v>
      </c>
      <c r="AX60">
        <v>3300</v>
      </c>
      <c r="AY60">
        <v>3</v>
      </c>
      <c r="AZ60">
        <v>3</v>
      </c>
      <c r="BA60">
        <v>2</v>
      </c>
      <c r="BB60">
        <v>12</v>
      </c>
      <c r="BC60">
        <v>10</v>
      </c>
      <c r="BD60">
        <v>2</v>
      </c>
      <c r="BE60">
        <v>3</v>
      </c>
      <c r="BF60">
        <v>3</v>
      </c>
      <c r="BG60">
        <v>2</v>
      </c>
      <c r="BH60">
        <v>2</v>
      </c>
      <c r="BI60">
        <v>2</v>
      </c>
      <c r="BJ60">
        <v>1</v>
      </c>
      <c r="BK60">
        <v>1</v>
      </c>
      <c r="BL60">
        <v>48</v>
      </c>
      <c r="BM60">
        <v>23</v>
      </c>
      <c r="BN60">
        <v>11</v>
      </c>
      <c r="BO60">
        <v>8</v>
      </c>
      <c r="BP60">
        <v>28</v>
      </c>
      <c r="BQ60">
        <v>26</v>
      </c>
      <c r="BR60">
        <v>2</v>
      </c>
      <c r="BS60">
        <v>7</v>
      </c>
      <c r="BT60">
        <v>1</v>
      </c>
    </row>
    <row r="61" spans="1:72" x14ac:dyDescent="0.25">
      <c r="A61" s="17">
        <v>43073</v>
      </c>
      <c r="B61">
        <v>15</v>
      </c>
      <c r="C61">
        <v>17</v>
      </c>
      <c r="D61">
        <v>5</v>
      </c>
      <c r="E61">
        <v>7</v>
      </c>
      <c r="F61">
        <v>28</v>
      </c>
      <c r="G61">
        <v>10</v>
      </c>
      <c r="H61">
        <v>24</v>
      </c>
      <c r="I61">
        <v>16</v>
      </c>
      <c r="J61">
        <v>11</v>
      </c>
      <c r="K61">
        <v>0</v>
      </c>
      <c r="L61">
        <v>5</v>
      </c>
      <c r="M61">
        <v>7</v>
      </c>
      <c r="N61">
        <v>7</v>
      </c>
      <c r="O61">
        <v>5</v>
      </c>
      <c r="P61">
        <v>3</v>
      </c>
      <c r="Q61">
        <v>4</v>
      </c>
      <c r="R61">
        <v>1</v>
      </c>
      <c r="S61">
        <v>22</v>
      </c>
      <c r="T61">
        <v>11</v>
      </c>
      <c r="U61">
        <v>22</v>
      </c>
      <c r="V61">
        <v>1</v>
      </c>
      <c r="W61">
        <v>3</v>
      </c>
      <c r="X61">
        <v>19</v>
      </c>
      <c r="Y61">
        <v>2</v>
      </c>
      <c r="Z61">
        <v>6</v>
      </c>
      <c r="AA61">
        <v>5</v>
      </c>
      <c r="AB61">
        <v>6</v>
      </c>
      <c r="AC61">
        <v>2</v>
      </c>
      <c r="AD61">
        <v>0</v>
      </c>
      <c r="AE61">
        <v>2</v>
      </c>
      <c r="AF61">
        <v>2</v>
      </c>
      <c r="AG61">
        <v>1</v>
      </c>
      <c r="AH61">
        <v>2</v>
      </c>
      <c r="AI61">
        <v>5</v>
      </c>
      <c r="AJ61">
        <v>12</v>
      </c>
      <c r="AK61">
        <v>200</v>
      </c>
      <c r="AL61">
        <v>1000</v>
      </c>
      <c r="AM61">
        <v>600</v>
      </c>
      <c r="AN61" t="s">
        <v>46</v>
      </c>
      <c r="AO61" t="s">
        <v>46</v>
      </c>
      <c r="AV61">
        <v>2</v>
      </c>
      <c r="AW61">
        <v>50</v>
      </c>
      <c r="AX61">
        <v>3300</v>
      </c>
      <c r="AY61">
        <v>3</v>
      </c>
      <c r="AZ61">
        <v>3</v>
      </c>
      <c r="BA61">
        <v>2</v>
      </c>
      <c r="BB61">
        <v>12</v>
      </c>
      <c r="BC61">
        <v>10</v>
      </c>
      <c r="BD61">
        <v>2</v>
      </c>
      <c r="BE61">
        <v>3</v>
      </c>
      <c r="BF61">
        <v>3</v>
      </c>
      <c r="BG61">
        <v>2</v>
      </c>
      <c r="BH61">
        <v>2</v>
      </c>
      <c r="BI61">
        <v>2</v>
      </c>
      <c r="BJ61">
        <v>1</v>
      </c>
      <c r="BK61">
        <v>1</v>
      </c>
      <c r="BL61">
        <v>48</v>
      </c>
      <c r="BM61">
        <v>23</v>
      </c>
      <c r="BN61">
        <v>11</v>
      </c>
      <c r="BO61">
        <v>8</v>
      </c>
      <c r="BP61">
        <v>27</v>
      </c>
      <c r="BQ61">
        <v>26</v>
      </c>
      <c r="BR61">
        <v>2</v>
      </c>
      <c r="BS61">
        <v>7</v>
      </c>
      <c r="BT61">
        <v>1</v>
      </c>
    </row>
    <row r="62" spans="1:72" x14ac:dyDescent="0.25">
      <c r="A62" s="17">
        <v>43075</v>
      </c>
      <c r="B62">
        <v>15</v>
      </c>
      <c r="C62">
        <v>16</v>
      </c>
      <c r="D62">
        <v>14</v>
      </c>
      <c r="E62">
        <v>7</v>
      </c>
      <c r="F62">
        <v>28</v>
      </c>
      <c r="G62">
        <v>10</v>
      </c>
      <c r="H62">
        <v>24</v>
      </c>
      <c r="I62">
        <v>16</v>
      </c>
      <c r="J62">
        <v>11</v>
      </c>
      <c r="K62">
        <v>4</v>
      </c>
      <c r="L62">
        <v>5</v>
      </c>
      <c r="M62">
        <v>7</v>
      </c>
      <c r="N62">
        <v>7</v>
      </c>
      <c r="O62">
        <v>4</v>
      </c>
      <c r="P62">
        <v>3</v>
      </c>
      <c r="Q62">
        <v>4</v>
      </c>
      <c r="R62">
        <v>11</v>
      </c>
      <c r="S62">
        <v>22</v>
      </c>
      <c r="T62">
        <v>11</v>
      </c>
      <c r="U62">
        <v>22</v>
      </c>
      <c r="V62">
        <v>1</v>
      </c>
      <c r="W62">
        <v>3</v>
      </c>
      <c r="X62">
        <v>19</v>
      </c>
      <c r="Y62">
        <v>2</v>
      </c>
      <c r="Z62">
        <v>6</v>
      </c>
      <c r="AA62">
        <v>5</v>
      </c>
      <c r="AB62">
        <v>6</v>
      </c>
      <c r="AC62">
        <v>1</v>
      </c>
      <c r="AD62">
        <v>2</v>
      </c>
      <c r="AE62">
        <v>2</v>
      </c>
      <c r="AF62">
        <v>2</v>
      </c>
      <c r="AG62">
        <v>3</v>
      </c>
      <c r="AH62">
        <v>5</v>
      </c>
      <c r="AI62">
        <v>4</v>
      </c>
      <c r="AJ62">
        <v>12</v>
      </c>
      <c r="AK62">
        <v>200</v>
      </c>
      <c r="AL62">
        <v>800</v>
      </c>
      <c r="AM62">
        <v>600</v>
      </c>
      <c r="AN62" t="s">
        <v>46</v>
      </c>
      <c r="AO62" t="s">
        <v>46</v>
      </c>
      <c r="AV62">
        <v>2</v>
      </c>
      <c r="AW62">
        <v>50</v>
      </c>
      <c r="AX62">
        <v>2825</v>
      </c>
      <c r="AY62">
        <v>3</v>
      </c>
      <c r="AZ62">
        <v>3</v>
      </c>
      <c r="BA62">
        <v>1</v>
      </c>
      <c r="BB62">
        <v>12</v>
      </c>
      <c r="BC62">
        <v>10</v>
      </c>
      <c r="BD62">
        <v>2</v>
      </c>
      <c r="BE62">
        <v>3</v>
      </c>
      <c r="BF62">
        <v>3</v>
      </c>
      <c r="BG62">
        <v>2</v>
      </c>
      <c r="BH62">
        <v>4</v>
      </c>
      <c r="BI62">
        <v>2</v>
      </c>
      <c r="BJ62">
        <v>3</v>
      </c>
      <c r="BK62">
        <v>3</v>
      </c>
      <c r="BL62">
        <v>46</v>
      </c>
      <c r="BM62">
        <v>21</v>
      </c>
      <c r="BN62">
        <v>10</v>
      </c>
      <c r="BO62">
        <v>7</v>
      </c>
      <c r="BP62">
        <v>27</v>
      </c>
      <c r="BQ62">
        <v>26</v>
      </c>
      <c r="BR62">
        <v>2</v>
      </c>
      <c r="BS62">
        <v>7</v>
      </c>
      <c r="BT62">
        <v>3</v>
      </c>
    </row>
    <row r="63" spans="1:72" x14ac:dyDescent="0.25">
      <c r="A63" s="17">
        <v>43077</v>
      </c>
      <c r="B63">
        <v>15</v>
      </c>
      <c r="C63">
        <v>16</v>
      </c>
      <c r="D63">
        <v>14</v>
      </c>
      <c r="E63">
        <v>7</v>
      </c>
      <c r="F63">
        <v>28</v>
      </c>
      <c r="G63">
        <v>10</v>
      </c>
      <c r="H63">
        <v>23</v>
      </c>
      <c r="I63">
        <v>15</v>
      </c>
      <c r="J63">
        <v>10</v>
      </c>
      <c r="K63">
        <v>4</v>
      </c>
      <c r="L63">
        <v>5</v>
      </c>
      <c r="M63">
        <v>7</v>
      </c>
      <c r="N63">
        <v>7</v>
      </c>
      <c r="O63">
        <v>3</v>
      </c>
      <c r="P63">
        <v>3</v>
      </c>
      <c r="Q63">
        <v>4</v>
      </c>
      <c r="R63">
        <v>10</v>
      </c>
      <c r="S63">
        <v>21</v>
      </c>
      <c r="T63">
        <v>11</v>
      </c>
      <c r="U63">
        <v>22</v>
      </c>
      <c r="V63">
        <v>1</v>
      </c>
      <c r="W63">
        <v>3</v>
      </c>
      <c r="X63">
        <v>19</v>
      </c>
      <c r="Y63">
        <v>2</v>
      </c>
      <c r="Z63">
        <v>6</v>
      </c>
      <c r="AA63">
        <v>5</v>
      </c>
      <c r="AB63">
        <v>6</v>
      </c>
      <c r="AC63">
        <v>1</v>
      </c>
      <c r="AD63">
        <v>2</v>
      </c>
      <c r="AE63">
        <v>2</v>
      </c>
      <c r="AF63">
        <v>2</v>
      </c>
      <c r="AG63">
        <v>3</v>
      </c>
      <c r="AH63">
        <v>5</v>
      </c>
      <c r="AI63">
        <v>4</v>
      </c>
      <c r="AJ63">
        <v>11</v>
      </c>
      <c r="AK63">
        <v>200</v>
      </c>
      <c r="AL63">
        <v>4800</v>
      </c>
      <c r="AM63">
        <v>600</v>
      </c>
      <c r="AN63" t="s">
        <v>46</v>
      </c>
      <c r="AO63" t="s">
        <v>46</v>
      </c>
      <c r="AV63">
        <v>1</v>
      </c>
      <c r="AW63">
        <v>50</v>
      </c>
      <c r="AX63">
        <v>2825</v>
      </c>
      <c r="AY63">
        <v>3</v>
      </c>
      <c r="AZ63">
        <v>3</v>
      </c>
      <c r="BA63">
        <v>1</v>
      </c>
      <c r="BB63">
        <v>12</v>
      </c>
      <c r="BC63">
        <v>10</v>
      </c>
      <c r="BD63">
        <v>2</v>
      </c>
      <c r="BE63">
        <v>3</v>
      </c>
      <c r="BF63">
        <v>3</v>
      </c>
      <c r="BG63">
        <v>2</v>
      </c>
      <c r="BH63">
        <v>4</v>
      </c>
      <c r="BI63">
        <v>2</v>
      </c>
      <c r="BJ63">
        <v>3</v>
      </c>
      <c r="BK63">
        <v>3</v>
      </c>
      <c r="BL63">
        <v>46</v>
      </c>
      <c r="BM63">
        <v>21</v>
      </c>
      <c r="BN63">
        <v>10</v>
      </c>
      <c r="BO63">
        <v>7</v>
      </c>
      <c r="BP63">
        <v>27</v>
      </c>
      <c r="BQ63">
        <v>26</v>
      </c>
      <c r="BR63">
        <v>2</v>
      </c>
      <c r="BS63">
        <v>7</v>
      </c>
      <c r="BT63">
        <v>3</v>
      </c>
    </row>
    <row r="64" spans="1:72" x14ac:dyDescent="0.25">
      <c r="A64" s="17">
        <v>43080</v>
      </c>
      <c r="B64">
        <v>15</v>
      </c>
      <c r="C64">
        <v>15</v>
      </c>
      <c r="D64">
        <v>14</v>
      </c>
      <c r="E64">
        <v>7</v>
      </c>
      <c r="F64">
        <v>28</v>
      </c>
      <c r="G64">
        <v>10</v>
      </c>
      <c r="H64">
        <v>23</v>
      </c>
      <c r="I64">
        <v>15</v>
      </c>
      <c r="J64">
        <v>10</v>
      </c>
      <c r="K64">
        <v>4</v>
      </c>
      <c r="L64">
        <v>5</v>
      </c>
      <c r="M64">
        <v>7</v>
      </c>
      <c r="N64">
        <v>6</v>
      </c>
      <c r="O64">
        <v>3</v>
      </c>
      <c r="P64">
        <v>3</v>
      </c>
      <c r="Q64">
        <v>4</v>
      </c>
      <c r="R64">
        <v>10</v>
      </c>
      <c r="S64">
        <v>21</v>
      </c>
      <c r="T64">
        <v>11</v>
      </c>
      <c r="U64">
        <v>22</v>
      </c>
      <c r="V64">
        <v>0</v>
      </c>
      <c r="W64">
        <v>3</v>
      </c>
      <c r="X64">
        <v>18</v>
      </c>
      <c r="Y64">
        <v>2</v>
      </c>
      <c r="Z64">
        <v>6</v>
      </c>
      <c r="AA64">
        <v>5</v>
      </c>
      <c r="AB64">
        <v>5</v>
      </c>
      <c r="AC64">
        <v>1</v>
      </c>
      <c r="AD64">
        <v>2</v>
      </c>
      <c r="AE64">
        <v>2</v>
      </c>
      <c r="AF64">
        <v>2</v>
      </c>
      <c r="AG64">
        <v>3</v>
      </c>
      <c r="AH64">
        <v>5</v>
      </c>
      <c r="AI64">
        <v>4</v>
      </c>
      <c r="AJ64">
        <v>11</v>
      </c>
      <c r="AK64">
        <v>200</v>
      </c>
      <c r="AL64">
        <v>4800</v>
      </c>
      <c r="AM64">
        <v>600</v>
      </c>
      <c r="AN64" t="s">
        <v>46</v>
      </c>
      <c r="AO64" t="s">
        <v>46</v>
      </c>
      <c r="AV64">
        <v>1</v>
      </c>
      <c r="AW64">
        <v>50</v>
      </c>
      <c r="AX64">
        <v>2825</v>
      </c>
      <c r="AY64">
        <v>2</v>
      </c>
      <c r="AZ64">
        <v>3</v>
      </c>
      <c r="BA64">
        <v>1</v>
      </c>
      <c r="BB64">
        <v>11</v>
      </c>
      <c r="BC64">
        <v>9</v>
      </c>
      <c r="BD64">
        <v>2</v>
      </c>
      <c r="BE64">
        <v>3</v>
      </c>
      <c r="BF64">
        <v>3</v>
      </c>
      <c r="BG64">
        <v>2</v>
      </c>
      <c r="BH64">
        <v>4</v>
      </c>
      <c r="BI64">
        <v>2</v>
      </c>
      <c r="BJ64">
        <v>3</v>
      </c>
      <c r="BK64">
        <v>3</v>
      </c>
      <c r="BL64">
        <v>44</v>
      </c>
      <c r="BM64">
        <v>21</v>
      </c>
      <c r="BN64">
        <v>10</v>
      </c>
      <c r="BO64">
        <v>6</v>
      </c>
      <c r="BP64">
        <v>27</v>
      </c>
      <c r="BQ64">
        <v>25</v>
      </c>
      <c r="BR64">
        <v>2</v>
      </c>
      <c r="BS64">
        <v>6</v>
      </c>
      <c r="BT64">
        <v>3</v>
      </c>
    </row>
    <row r="65" spans="1:73" x14ac:dyDescent="0.25">
      <c r="A65" s="17">
        <v>43081</v>
      </c>
      <c r="B65">
        <v>15</v>
      </c>
      <c r="C65">
        <v>15</v>
      </c>
      <c r="D65">
        <v>14</v>
      </c>
      <c r="E65">
        <v>7</v>
      </c>
      <c r="F65">
        <v>28</v>
      </c>
      <c r="G65">
        <v>10</v>
      </c>
      <c r="H65">
        <v>23</v>
      </c>
      <c r="I65">
        <v>15</v>
      </c>
      <c r="J65">
        <v>10</v>
      </c>
      <c r="K65">
        <v>4</v>
      </c>
      <c r="L65">
        <v>5</v>
      </c>
      <c r="M65">
        <v>7</v>
      </c>
      <c r="N65">
        <v>6</v>
      </c>
      <c r="O65">
        <v>3</v>
      </c>
      <c r="P65">
        <v>3</v>
      </c>
      <c r="Q65">
        <v>3</v>
      </c>
      <c r="R65">
        <v>10</v>
      </c>
      <c r="S65">
        <v>21</v>
      </c>
      <c r="T65">
        <v>11</v>
      </c>
      <c r="U65">
        <v>22</v>
      </c>
      <c r="V65">
        <v>2</v>
      </c>
      <c r="W65">
        <v>3</v>
      </c>
      <c r="X65">
        <v>18</v>
      </c>
      <c r="Y65">
        <v>2</v>
      </c>
      <c r="Z65">
        <v>5</v>
      </c>
      <c r="AA65">
        <v>5</v>
      </c>
      <c r="AB65">
        <v>5</v>
      </c>
      <c r="AC65">
        <v>1</v>
      </c>
      <c r="AD65">
        <v>2</v>
      </c>
      <c r="AE65">
        <v>2</v>
      </c>
      <c r="AF65">
        <v>2</v>
      </c>
      <c r="AG65">
        <v>2</v>
      </c>
      <c r="AH65">
        <v>5</v>
      </c>
      <c r="AI65">
        <v>4</v>
      </c>
      <c r="AJ65">
        <v>11</v>
      </c>
      <c r="AK65">
        <v>200</v>
      </c>
      <c r="AL65">
        <v>4800</v>
      </c>
      <c r="AM65">
        <v>600</v>
      </c>
      <c r="AN65" t="s">
        <v>46</v>
      </c>
      <c r="AO65" t="s">
        <v>46</v>
      </c>
      <c r="AV65">
        <v>1</v>
      </c>
      <c r="AW65">
        <v>50</v>
      </c>
      <c r="AX65">
        <v>2825</v>
      </c>
      <c r="AY65">
        <v>2</v>
      </c>
      <c r="AZ65">
        <v>3</v>
      </c>
      <c r="BA65">
        <v>1</v>
      </c>
      <c r="BB65">
        <v>11</v>
      </c>
      <c r="BC65">
        <v>9</v>
      </c>
      <c r="BD65">
        <v>2</v>
      </c>
      <c r="BE65">
        <v>3</v>
      </c>
      <c r="BF65">
        <v>3</v>
      </c>
      <c r="BG65">
        <v>2</v>
      </c>
      <c r="BH65">
        <v>4</v>
      </c>
      <c r="BI65">
        <v>2</v>
      </c>
      <c r="BJ65">
        <v>3</v>
      </c>
      <c r="BK65">
        <v>3</v>
      </c>
      <c r="BL65">
        <v>167</v>
      </c>
      <c r="BM65">
        <v>21</v>
      </c>
      <c r="BN65">
        <v>10</v>
      </c>
      <c r="BO65">
        <v>75</v>
      </c>
      <c r="BP65">
        <v>27</v>
      </c>
      <c r="BQ65">
        <v>25</v>
      </c>
      <c r="BR65">
        <v>2</v>
      </c>
      <c r="BS65">
        <v>6</v>
      </c>
      <c r="BT65">
        <v>3</v>
      </c>
    </row>
    <row r="66" spans="1:73" x14ac:dyDescent="0.25">
      <c r="A66" s="17">
        <v>43084</v>
      </c>
      <c r="B66">
        <v>15</v>
      </c>
      <c r="C66">
        <v>14</v>
      </c>
      <c r="D66">
        <v>14</v>
      </c>
      <c r="E66">
        <v>7</v>
      </c>
      <c r="F66">
        <v>27</v>
      </c>
      <c r="G66">
        <v>10</v>
      </c>
      <c r="H66">
        <v>23</v>
      </c>
      <c r="I66">
        <v>15</v>
      </c>
      <c r="J66">
        <v>10</v>
      </c>
      <c r="K66">
        <v>4</v>
      </c>
      <c r="L66">
        <v>5</v>
      </c>
      <c r="M66">
        <v>7</v>
      </c>
      <c r="N66">
        <v>6</v>
      </c>
      <c r="O66">
        <v>3</v>
      </c>
      <c r="P66">
        <v>3</v>
      </c>
      <c r="Q66">
        <v>3</v>
      </c>
      <c r="R66">
        <v>9</v>
      </c>
      <c r="S66">
        <v>21</v>
      </c>
      <c r="T66">
        <v>10</v>
      </c>
      <c r="U66">
        <v>22</v>
      </c>
      <c r="V66">
        <v>2</v>
      </c>
      <c r="W66">
        <v>3</v>
      </c>
      <c r="X66">
        <v>18</v>
      </c>
      <c r="Y66">
        <v>2</v>
      </c>
      <c r="Z66">
        <v>5</v>
      </c>
      <c r="AA66">
        <v>5</v>
      </c>
      <c r="AB66">
        <v>5</v>
      </c>
      <c r="AC66">
        <v>1</v>
      </c>
      <c r="AD66">
        <v>2</v>
      </c>
      <c r="AE66">
        <v>1</v>
      </c>
      <c r="AF66">
        <v>1</v>
      </c>
      <c r="AG66">
        <v>2</v>
      </c>
      <c r="AH66">
        <v>5</v>
      </c>
      <c r="AI66">
        <v>4</v>
      </c>
      <c r="AJ66">
        <v>11</v>
      </c>
      <c r="AK66">
        <v>200</v>
      </c>
      <c r="AL66">
        <v>4800</v>
      </c>
      <c r="AM66">
        <v>600</v>
      </c>
      <c r="AN66" t="s">
        <v>46</v>
      </c>
      <c r="AO66" t="s">
        <v>46</v>
      </c>
      <c r="AV66">
        <v>1</v>
      </c>
      <c r="AW66">
        <v>50</v>
      </c>
      <c r="AX66">
        <v>2825</v>
      </c>
      <c r="AY66">
        <v>2</v>
      </c>
      <c r="AZ66">
        <v>3</v>
      </c>
      <c r="BA66">
        <v>1</v>
      </c>
      <c r="BB66">
        <v>11</v>
      </c>
      <c r="BC66">
        <v>9</v>
      </c>
      <c r="BD66">
        <v>2</v>
      </c>
      <c r="BE66">
        <v>3</v>
      </c>
      <c r="BF66">
        <v>3</v>
      </c>
      <c r="BG66">
        <v>2</v>
      </c>
      <c r="BH66">
        <v>3</v>
      </c>
      <c r="BI66">
        <v>2</v>
      </c>
      <c r="BJ66">
        <v>3</v>
      </c>
      <c r="BK66">
        <v>3</v>
      </c>
      <c r="BL66">
        <v>167</v>
      </c>
      <c r="BM66">
        <v>21</v>
      </c>
      <c r="BN66">
        <v>10</v>
      </c>
      <c r="BO66">
        <v>75</v>
      </c>
      <c r="BP66">
        <v>26</v>
      </c>
      <c r="BQ66">
        <v>25</v>
      </c>
      <c r="BR66">
        <v>2</v>
      </c>
      <c r="BS66">
        <v>6</v>
      </c>
      <c r="BT66">
        <v>3</v>
      </c>
    </row>
    <row r="67" spans="1:73" x14ac:dyDescent="0.25">
      <c r="A67" s="17">
        <v>43087</v>
      </c>
      <c r="B67">
        <v>15</v>
      </c>
      <c r="C67">
        <v>14</v>
      </c>
      <c r="D67">
        <v>14</v>
      </c>
      <c r="E67">
        <v>7</v>
      </c>
      <c r="F67">
        <v>27</v>
      </c>
      <c r="G67">
        <v>8</v>
      </c>
      <c r="H67">
        <v>23</v>
      </c>
      <c r="I67">
        <v>15</v>
      </c>
      <c r="J67">
        <v>10</v>
      </c>
      <c r="K67">
        <v>3</v>
      </c>
      <c r="L67">
        <v>4</v>
      </c>
      <c r="M67">
        <v>7</v>
      </c>
      <c r="N67">
        <v>6</v>
      </c>
      <c r="O67">
        <v>3</v>
      </c>
      <c r="P67">
        <v>3</v>
      </c>
      <c r="Q67">
        <v>3</v>
      </c>
      <c r="R67">
        <v>9</v>
      </c>
      <c r="S67">
        <v>21</v>
      </c>
      <c r="T67">
        <v>10</v>
      </c>
      <c r="U67">
        <v>22</v>
      </c>
      <c r="V67">
        <v>2</v>
      </c>
      <c r="W67">
        <v>3</v>
      </c>
      <c r="X67">
        <v>18</v>
      </c>
      <c r="Y67">
        <v>2</v>
      </c>
      <c r="Z67">
        <v>5</v>
      </c>
      <c r="AA67">
        <v>5</v>
      </c>
      <c r="AB67">
        <v>5</v>
      </c>
      <c r="AC67">
        <v>1</v>
      </c>
      <c r="AD67">
        <v>2</v>
      </c>
      <c r="AE67">
        <v>1</v>
      </c>
      <c r="AF67">
        <v>1</v>
      </c>
      <c r="AG67">
        <v>2</v>
      </c>
      <c r="AH67">
        <v>4</v>
      </c>
      <c r="AI67">
        <v>4</v>
      </c>
      <c r="AJ67">
        <v>11</v>
      </c>
      <c r="AK67">
        <v>200</v>
      </c>
      <c r="AL67">
        <v>4800</v>
      </c>
      <c r="AM67">
        <v>600</v>
      </c>
      <c r="AN67" t="s">
        <v>46</v>
      </c>
      <c r="AO67" t="s">
        <v>46</v>
      </c>
      <c r="AV67">
        <v>1</v>
      </c>
      <c r="AW67">
        <v>50</v>
      </c>
      <c r="AX67">
        <v>2825</v>
      </c>
      <c r="AY67">
        <v>2</v>
      </c>
      <c r="AZ67">
        <v>3</v>
      </c>
      <c r="BA67">
        <v>1</v>
      </c>
      <c r="BB67">
        <v>10</v>
      </c>
      <c r="BC67">
        <v>8</v>
      </c>
      <c r="BD67">
        <v>2</v>
      </c>
      <c r="BE67">
        <v>3</v>
      </c>
      <c r="BF67">
        <v>3</v>
      </c>
      <c r="BG67">
        <v>2</v>
      </c>
      <c r="BH67">
        <v>3</v>
      </c>
      <c r="BI67">
        <v>2</v>
      </c>
      <c r="BJ67">
        <v>3</v>
      </c>
      <c r="BK67">
        <v>2</v>
      </c>
      <c r="BL67">
        <v>165</v>
      </c>
      <c r="BM67">
        <v>21</v>
      </c>
      <c r="BN67">
        <v>9</v>
      </c>
      <c r="BO67">
        <v>74</v>
      </c>
      <c r="BP67">
        <v>26</v>
      </c>
      <c r="BQ67">
        <v>25</v>
      </c>
      <c r="BR67">
        <v>2</v>
      </c>
      <c r="BS67">
        <v>72</v>
      </c>
      <c r="BT67">
        <v>2</v>
      </c>
    </row>
    <row r="68" spans="1:73" x14ac:dyDescent="0.25">
      <c r="A68" s="17">
        <v>43089</v>
      </c>
      <c r="B68">
        <v>15</v>
      </c>
      <c r="C68">
        <v>13</v>
      </c>
      <c r="D68">
        <v>13</v>
      </c>
      <c r="E68">
        <v>6</v>
      </c>
      <c r="F68">
        <v>27</v>
      </c>
      <c r="G68">
        <v>8</v>
      </c>
      <c r="H68">
        <v>23</v>
      </c>
      <c r="I68">
        <v>14</v>
      </c>
      <c r="J68">
        <v>9</v>
      </c>
      <c r="K68">
        <v>3</v>
      </c>
      <c r="L68">
        <v>4</v>
      </c>
      <c r="M68">
        <v>7</v>
      </c>
      <c r="N68">
        <v>6</v>
      </c>
      <c r="O68">
        <v>3</v>
      </c>
      <c r="P68">
        <v>3</v>
      </c>
      <c r="Q68">
        <v>3</v>
      </c>
      <c r="R68">
        <v>9</v>
      </c>
      <c r="S68">
        <v>21</v>
      </c>
      <c r="T68">
        <v>10</v>
      </c>
      <c r="U68">
        <v>22</v>
      </c>
      <c r="V68">
        <v>2</v>
      </c>
      <c r="W68">
        <v>3</v>
      </c>
      <c r="X68">
        <v>18</v>
      </c>
      <c r="Y68">
        <v>2</v>
      </c>
      <c r="Z68">
        <v>4</v>
      </c>
      <c r="AA68">
        <v>5</v>
      </c>
      <c r="AB68">
        <v>5</v>
      </c>
      <c r="AC68">
        <v>3</v>
      </c>
      <c r="AD68">
        <v>2</v>
      </c>
      <c r="AE68">
        <v>1</v>
      </c>
      <c r="AF68">
        <v>3</v>
      </c>
      <c r="AG68">
        <v>2</v>
      </c>
      <c r="AH68">
        <v>4</v>
      </c>
      <c r="AI68">
        <v>4</v>
      </c>
      <c r="AJ68">
        <v>10</v>
      </c>
      <c r="AK68">
        <v>200</v>
      </c>
      <c r="AL68">
        <v>4200</v>
      </c>
      <c r="AM68">
        <v>600</v>
      </c>
      <c r="AN68" t="s">
        <v>46</v>
      </c>
      <c r="AO68" t="s">
        <v>46</v>
      </c>
      <c r="AV68">
        <v>1</v>
      </c>
      <c r="AW68">
        <v>50</v>
      </c>
      <c r="AX68">
        <v>2225</v>
      </c>
      <c r="AY68">
        <v>2</v>
      </c>
      <c r="AZ68">
        <v>3</v>
      </c>
      <c r="BA68">
        <v>1</v>
      </c>
      <c r="BB68">
        <v>10</v>
      </c>
      <c r="BC68">
        <v>8</v>
      </c>
      <c r="BD68">
        <v>2</v>
      </c>
      <c r="BE68">
        <v>3</v>
      </c>
      <c r="BF68">
        <v>3</v>
      </c>
      <c r="BG68">
        <v>2</v>
      </c>
      <c r="BH68">
        <v>3</v>
      </c>
      <c r="BI68">
        <v>2</v>
      </c>
      <c r="BJ68">
        <v>3</v>
      </c>
      <c r="BK68">
        <v>2</v>
      </c>
      <c r="BL68">
        <v>165</v>
      </c>
      <c r="BM68">
        <v>20</v>
      </c>
      <c r="BN68">
        <v>9</v>
      </c>
      <c r="BO68">
        <v>74</v>
      </c>
      <c r="BP68">
        <v>26</v>
      </c>
      <c r="BQ68">
        <v>25</v>
      </c>
      <c r="BR68">
        <v>2</v>
      </c>
      <c r="BS68">
        <v>72</v>
      </c>
      <c r="BT68">
        <v>2</v>
      </c>
    </row>
    <row r="69" spans="1:73" x14ac:dyDescent="0.25">
      <c r="A69" s="17">
        <v>43091</v>
      </c>
      <c r="B69">
        <v>15</v>
      </c>
      <c r="C69">
        <v>13</v>
      </c>
      <c r="D69">
        <v>13</v>
      </c>
      <c r="E69">
        <v>6</v>
      </c>
      <c r="F69">
        <v>27</v>
      </c>
      <c r="G69">
        <v>8</v>
      </c>
      <c r="H69">
        <v>23</v>
      </c>
      <c r="I69">
        <v>14</v>
      </c>
      <c r="J69">
        <v>9</v>
      </c>
      <c r="K69">
        <v>3</v>
      </c>
      <c r="L69">
        <v>4</v>
      </c>
      <c r="M69">
        <v>7</v>
      </c>
      <c r="N69">
        <v>6</v>
      </c>
      <c r="O69">
        <v>3</v>
      </c>
      <c r="P69">
        <v>2</v>
      </c>
      <c r="Q69">
        <v>2</v>
      </c>
      <c r="R69">
        <v>8</v>
      </c>
      <c r="S69">
        <v>21</v>
      </c>
      <c r="T69">
        <v>10</v>
      </c>
      <c r="U69">
        <v>21</v>
      </c>
      <c r="V69">
        <v>2</v>
      </c>
      <c r="W69">
        <v>3</v>
      </c>
      <c r="X69">
        <v>17</v>
      </c>
      <c r="Y69">
        <v>2</v>
      </c>
      <c r="Z69">
        <v>4</v>
      </c>
      <c r="AA69">
        <v>5</v>
      </c>
      <c r="AB69">
        <v>5</v>
      </c>
      <c r="AC69">
        <v>3</v>
      </c>
      <c r="AD69">
        <v>2</v>
      </c>
      <c r="AE69">
        <v>1</v>
      </c>
      <c r="AF69">
        <v>3</v>
      </c>
      <c r="AG69">
        <v>2</v>
      </c>
      <c r="AH69">
        <v>4</v>
      </c>
      <c r="AI69">
        <v>4</v>
      </c>
      <c r="AJ69">
        <v>10</v>
      </c>
      <c r="AK69">
        <v>200</v>
      </c>
      <c r="AL69">
        <v>4200</v>
      </c>
      <c r="AM69">
        <v>600</v>
      </c>
      <c r="AN69" t="s">
        <v>46</v>
      </c>
      <c r="AO69" t="s">
        <v>46</v>
      </c>
      <c r="AV69">
        <v>1</v>
      </c>
      <c r="AW69">
        <v>50</v>
      </c>
      <c r="AX69">
        <v>2225</v>
      </c>
      <c r="AY69">
        <v>2</v>
      </c>
      <c r="AZ69">
        <v>3</v>
      </c>
      <c r="BA69">
        <v>1</v>
      </c>
      <c r="BB69">
        <v>10</v>
      </c>
      <c r="BC69">
        <v>8</v>
      </c>
      <c r="BD69">
        <v>2</v>
      </c>
      <c r="BE69">
        <v>3</v>
      </c>
      <c r="BF69">
        <v>2</v>
      </c>
      <c r="BG69">
        <v>2</v>
      </c>
      <c r="BH69">
        <v>3</v>
      </c>
      <c r="BI69">
        <v>2</v>
      </c>
      <c r="BJ69">
        <v>3</v>
      </c>
      <c r="BK69">
        <v>2</v>
      </c>
      <c r="BL69">
        <v>165</v>
      </c>
      <c r="BM69">
        <v>20</v>
      </c>
      <c r="BN69">
        <v>9</v>
      </c>
      <c r="BO69">
        <v>74</v>
      </c>
      <c r="BP69">
        <v>26</v>
      </c>
      <c r="BQ69">
        <v>25</v>
      </c>
      <c r="BR69">
        <v>2</v>
      </c>
      <c r="BS69">
        <v>71</v>
      </c>
      <c r="BT69">
        <v>2</v>
      </c>
      <c r="BU69">
        <v>2</v>
      </c>
    </row>
    <row r="70" spans="1:73" x14ac:dyDescent="0.25">
      <c r="A70" s="17">
        <v>43096</v>
      </c>
      <c r="B70">
        <v>15</v>
      </c>
      <c r="C70">
        <v>11</v>
      </c>
      <c r="D70">
        <v>13</v>
      </c>
      <c r="E70">
        <v>6</v>
      </c>
      <c r="F70">
        <v>27</v>
      </c>
      <c r="G70">
        <v>8</v>
      </c>
      <c r="H70">
        <v>22</v>
      </c>
      <c r="I70">
        <v>14</v>
      </c>
      <c r="J70">
        <v>9</v>
      </c>
      <c r="K70">
        <v>3</v>
      </c>
      <c r="L70">
        <v>4</v>
      </c>
      <c r="M70">
        <v>7</v>
      </c>
      <c r="N70">
        <v>6</v>
      </c>
      <c r="O70">
        <v>3</v>
      </c>
      <c r="P70">
        <v>2</v>
      </c>
      <c r="Q70">
        <v>2</v>
      </c>
      <c r="R70">
        <v>8</v>
      </c>
      <c r="S70">
        <v>21</v>
      </c>
      <c r="T70">
        <v>10</v>
      </c>
      <c r="U70">
        <v>21</v>
      </c>
      <c r="V70">
        <v>2</v>
      </c>
      <c r="W70">
        <v>3</v>
      </c>
      <c r="X70">
        <v>17</v>
      </c>
      <c r="Y70">
        <v>2</v>
      </c>
      <c r="Z70">
        <v>4</v>
      </c>
      <c r="AA70">
        <v>5</v>
      </c>
      <c r="AB70">
        <v>5</v>
      </c>
      <c r="AC70">
        <v>3</v>
      </c>
      <c r="AD70">
        <v>2</v>
      </c>
      <c r="AE70">
        <v>1</v>
      </c>
      <c r="AF70">
        <v>3</v>
      </c>
      <c r="AG70">
        <v>2</v>
      </c>
      <c r="AH70">
        <v>4</v>
      </c>
      <c r="AI70">
        <v>4</v>
      </c>
      <c r="AJ70">
        <v>10</v>
      </c>
      <c r="AK70">
        <v>200</v>
      </c>
      <c r="AL70">
        <v>4000</v>
      </c>
      <c r="AM70">
        <v>600</v>
      </c>
      <c r="AN70" t="s">
        <v>46</v>
      </c>
      <c r="AO70" t="s">
        <v>46</v>
      </c>
      <c r="AV70">
        <v>1</v>
      </c>
      <c r="AW70">
        <v>50</v>
      </c>
      <c r="AX70">
        <v>1975</v>
      </c>
      <c r="AY70">
        <v>2</v>
      </c>
      <c r="AZ70">
        <v>3</v>
      </c>
      <c r="BA70">
        <v>1</v>
      </c>
      <c r="BB70">
        <v>9</v>
      </c>
      <c r="BC70">
        <v>7</v>
      </c>
      <c r="BD70">
        <v>2</v>
      </c>
      <c r="BE70">
        <v>3</v>
      </c>
      <c r="BF70">
        <v>2</v>
      </c>
      <c r="BG70">
        <v>2</v>
      </c>
      <c r="BH70">
        <v>3</v>
      </c>
      <c r="BI70">
        <v>2</v>
      </c>
      <c r="BJ70">
        <v>3</v>
      </c>
      <c r="BK70">
        <v>2</v>
      </c>
      <c r="BL70">
        <v>164</v>
      </c>
      <c r="BM70">
        <v>20</v>
      </c>
      <c r="BN70">
        <v>8</v>
      </c>
      <c r="BO70">
        <v>73</v>
      </c>
      <c r="BP70">
        <v>26</v>
      </c>
      <c r="BQ70">
        <v>24</v>
      </c>
      <c r="BR70">
        <v>2</v>
      </c>
      <c r="BS70">
        <v>71</v>
      </c>
      <c r="BT70">
        <v>2</v>
      </c>
      <c r="BU70">
        <v>2</v>
      </c>
    </row>
    <row r="71" spans="1:73" x14ac:dyDescent="0.25">
      <c r="A71" s="17">
        <v>43098</v>
      </c>
      <c r="B71">
        <v>14</v>
      </c>
      <c r="C71">
        <v>11</v>
      </c>
      <c r="D71">
        <v>13</v>
      </c>
      <c r="E71">
        <v>6</v>
      </c>
      <c r="F71">
        <v>27</v>
      </c>
      <c r="G71">
        <v>8</v>
      </c>
      <c r="H71">
        <v>22</v>
      </c>
      <c r="I71">
        <v>14</v>
      </c>
      <c r="J71">
        <v>9</v>
      </c>
      <c r="K71">
        <v>3</v>
      </c>
      <c r="L71">
        <v>4</v>
      </c>
      <c r="M71">
        <v>7</v>
      </c>
      <c r="N71">
        <v>6</v>
      </c>
      <c r="O71">
        <v>3</v>
      </c>
      <c r="P71">
        <v>2</v>
      </c>
      <c r="Q71">
        <v>1</v>
      </c>
      <c r="R71">
        <v>8</v>
      </c>
      <c r="S71">
        <v>21</v>
      </c>
      <c r="T71">
        <v>10</v>
      </c>
      <c r="U71">
        <v>21</v>
      </c>
      <c r="V71">
        <v>1</v>
      </c>
      <c r="W71">
        <v>2</v>
      </c>
      <c r="X71">
        <v>17</v>
      </c>
      <c r="Y71">
        <v>2</v>
      </c>
      <c r="Z71">
        <v>3</v>
      </c>
      <c r="AA71">
        <v>5</v>
      </c>
      <c r="AB71">
        <v>5</v>
      </c>
      <c r="AC71">
        <v>3</v>
      </c>
      <c r="AD71">
        <v>1</v>
      </c>
      <c r="AE71">
        <v>1</v>
      </c>
      <c r="AF71">
        <v>3</v>
      </c>
      <c r="AG71">
        <v>2</v>
      </c>
      <c r="AH71">
        <v>4</v>
      </c>
      <c r="AI71">
        <v>4</v>
      </c>
      <c r="AJ71">
        <v>10</v>
      </c>
      <c r="AK71">
        <v>200</v>
      </c>
      <c r="AL71">
        <v>4000</v>
      </c>
      <c r="AM71">
        <v>600</v>
      </c>
      <c r="AN71" t="s">
        <v>46</v>
      </c>
      <c r="AO71" t="s">
        <v>46</v>
      </c>
      <c r="AV71">
        <v>1</v>
      </c>
      <c r="AW71">
        <v>50</v>
      </c>
      <c r="AX71">
        <v>1975</v>
      </c>
      <c r="AY71">
        <v>2</v>
      </c>
      <c r="AZ71">
        <v>3</v>
      </c>
      <c r="BA71">
        <v>1</v>
      </c>
      <c r="BB71">
        <v>9</v>
      </c>
      <c r="BC71">
        <v>7</v>
      </c>
      <c r="BD71">
        <v>2</v>
      </c>
      <c r="BE71">
        <v>3</v>
      </c>
      <c r="BF71">
        <v>2</v>
      </c>
      <c r="BG71">
        <v>2</v>
      </c>
      <c r="BH71">
        <v>3</v>
      </c>
      <c r="BI71">
        <v>2</v>
      </c>
      <c r="BJ71">
        <v>3</v>
      </c>
      <c r="BK71">
        <v>2</v>
      </c>
      <c r="BL71">
        <v>164</v>
      </c>
      <c r="BM71">
        <v>20</v>
      </c>
      <c r="BN71">
        <v>8</v>
      </c>
      <c r="BO71">
        <v>73</v>
      </c>
      <c r="BP71">
        <v>26</v>
      </c>
      <c r="BQ71">
        <v>24</v>
      </c>
      <c r="BR71">
        <v>2</v>
      </c>
      <c r="BS71">
        <v>71</v>
      </c>
      <c r="BT71">
        <v>2</v>
      </c>
      <c r="BU71">
        <v>2</v>
      </c>
    </row>
    <row r="72" spans="1:73" x14ac:dyDescent="0.25">
      <c r="A72" s="17">
        <v>43103</v>
      </c>
      <c r="B72">
        <v>14</v>
      </c>
      <c r="C72">
        <v>10</v>
      </c>
      <c r="D72">
        <v>13</v>
      </c>
      <c r="E72">
        <v>5</v>
      </c>
      <c r="F72">
        <v>27</v>
      </c>
      <c r="G72">
        <v>8</v>
      </c>
      <c r="H72">
        <v>22</v>
      </c>
      <c r="I72">
        <v>13</v>
      </c>
      <c r="J72">
        <v>8</v>
      </c>
      <c r="K72">
        <v>3</v>
      </c>
      <c r="L72">
        <v>4</v>
      </c>
      <c r="M72">
        <v>7</v>
      </c>
      <c r="N72">
        <v>6</v>
      </c>
      <c r="O72">
        <v>3</v>
      </c>
      <c r="P72">
        <v>2</v>
      </c>
      <c r="Q72">
        <v>1</v>
      </c>
      <c r="R72">
        <v>7</v>
      </c>
      <c r="S72">
        <v>20</v>
      </c>
      <c r="T72">
        <v>10</v>
      </c>
      <c r="U72">
        <v>21</v>
      </c>
      <c r="V72">
        <v>5</v>
      </c>
      <c r="W72">
        <v>1</v>
      </c>
      <c r="X72">
        <v>17</v>
      </c>
      <c r="Y72">
        <v>2</v>
      </c>
      <c r="Z72">
        <v>3</v>
      </c>
      <c r="AA72">
        <v>4</v>
      </c>
      <c r="AB72">
        <v>5</v>
      </c>
      <c r="AC72">
        <v>2</v>
      </c>
      <c r="AD72">
        <v>1</v>
      </c>
      <c r="AE72">
        <v>1</v>
      </c>
      <c r="AF72">
        <v>2</v>
      </c>
      <c r="AG72">
        <v>2</v>
      </c>
      <c r="AH72">
        <v>4</v>
      </c>
      <c r="AI72">
        <v>4</v>
      </c>
      <c r="AJ72">
        <v>9</v>
      </c>
      <c r="AK72">
        <v>200</v>
      </c>
      <c r="AL72">
        <v>4000</v>
      </c>
      <c r="AM72">
        <v>600</v>
      </c>
      <c r="AN72" t="s">
        <v>46</v>
      </c>
      <c r="AO72" t="s">
        <v>46</v>
      </c>
      <c r="AV72">
        <v>1</v>
      </c>
      <c r="AW72">
        <v>50</v>
      </c>
      <c r="AX72">
        <v>1975</v>
      </c>
      <c r="AY72">
        <v>2</v>
      </c>
      <c r="AZ72">
        <v>3</v>
      </c>
      <c r="BA72">
        <v>1</v>
      </c>
      <c r="BB72">
        <v>9</v>
      </c>
      <c r="BC72">
        <v>7</v>
      </c>
      <c r="BD72">
        <v>2</v>
      </c>
      <c r="BE72">
        <v>3</v>
      </c>
      <c r="BF72">
        <v>2</v>
      </c>
      <c r="BG72">
        <v>2</v>
      </c>
      <c r="BH72">
        <v>3</v>
      </c>
      <c r="BI72">
        <v>2</v>
      </c>
      <c r="BJ72">
        <v>3</v>
      </c>
      <c r="BK72">
        <v>2</v>
      </c>
      <c r="BL72">
        <v>164</v>
      </c>
      <c r="BM72">
        <v>20</v>
      </c>
      <c r="BN72">
        <v>8</v>
      </c>
      <c r="BO72">
        <v>73</v>
      </c>
      <c r="BP72">
        <v>26</v>
      </c>
      <c r="BQ72">
        <v>24</v>
      </c>
      <c r="BR72">
        <v>2</v>
      </c>
      <c r="BS72">
        <v>71</v>
      </c>
      <c r="BT72">
        <v>2</v>
      </c>
      <c r="BU72">
        <v>2</v>
      </c>
    </row>
    <row r="73" spans="1:73" x14ac:dyDescent="0.25">
      <c r="A73" s="17">
        <v>43105</v>
      </c>
      <c r="B73">
        <v>14</v>
      </c>
      <c r="C73">
        <v>9</v>
      </c>
      <c r="D73">
        <v>13</v>
      </c>
      <c r="E73">
        <v>5</v>
      </c>
      <c r="F73">
        <v>27</v>
      </c>
      <c r="G73">
        <v>8</v>
      </c>
      <c r="H73">
        <v>22</v>
      </c>
      <c r="I73">
        <v>13</v>
      </c>
      <c r="J73">
        <v>8</v>
      </c>
      <c r="K73">
        <v>3</v>
      </c>
      <c r="L73">
        <v>4</v>
      </c>
      <c r="M73">
        <v>7</v>
      </c>
      <c r="N73">
        <v>5</v>
      </c>
      <c r="O73">
        <v>2</v>
      </c>
      <c r="P73">
        <v>4</v>
      </c>
      <c r="Q73">
        <v>8</v>
      </c>
      <c r="R73">
        <v>7</v>
      </c>
      <c r="S73">
        <v>20</v>
      </c>
      <c r="T73">
        <v>9</v>
      </c>
      <c r="U73">
        <v>21</v>
      </c>
      <c r="V73">
        <v>5</v>
      </c>
      <c r="W73">
        <v>1</v>
      </c>
      <c r="X73">
        <v>16</v>
      </c>
      <c r="Y73">
        <v>2</v>
      </c>
      <c r="Z73">
        <v>3</v>
      </c>
      <c r="AA73">
        <v>4</v>
      </c>
      <c r="AB73">
        <v>4</v>
      </c>
      <c r="AC73">
        <v>2</v>
      </c>
      <c r="AD73">
        <v>1</v>
      </c>
      <c r="AE73">
        <v>3</v>
      </c>
      <c r="AF73">
        <v>2</v>
      </c>
      <c r="AG73">
        <v>2</v>
      </c>
      <c r="AH73">
        <v>4</v>
      </c>
      <c r="AI73">
        <v>4</v>
      </c>
      <c r="AJ73">
        <v>9</v>
      </c>
      <c r="AK73">
        <v>200</v>
      </c>
      <c r="AL73">
        <v>3250</v>
      </c>
      <c r="AM73">
        <v>600</v>
      </c>
      <c r="AN73" t="s">
        <v>46</v>
      </c>
      <c r="AO73" t="s">
        <v>46</v>
      </c>
      <c r="AV73">
        <v>1</v>
      </c>
      <c r="AW73">
        <v>50</v>
      </c>
      <c r="AX73">
        <v>1575</v>
      </c>
      <c r="AY73">
        <v>2</v>
      </c>
      <c r="AZ73">
        <v>3</v>
      </c>
      <c r="BA73">
        <v>1</v>
      </c>
      <c r="BB73">
        <v>9</v>
      </c>
      <c r="BC73">
        <v>7</v>
      </c>
      <c r="BD73">
        <v>1</v>
      </c>
      <c r="BE73">
        <v>3</v>
      </c>
      <c r="BF73">
        <v>2</v>
      </c>
      <c r="BG73">
        <v>2</v>
      </c>
      <c r="BH73">
        <v>3</v>
      </c>
      <c r="BI73">
        <v>2</v>
      </c>
      <c r="BJ73">
        <v>3</v>
      </c>
      <c r="BK73">
        <v>2</v>
      </c>
      <c r="BL73">
        <v>163</v>
      </c>
      <c r="BM73">
        <v>19</v>
      </c>
      <c r="BN73">
        <v>8</v>
      </c>
      <c r="BO73">
        <v>72</v>
      </c>
      <c r="BP73">
        <v>25</v>
      </c>
      <c r="BQ73">
        <v>23</v>
      </c>
      <c r="BR73">
        <v>2</v>
      </c>
      <c r="BS73">
        <v>70</v>
      </c>
      <c r="BT73">
        <v>2</v>
      </c>
      <c r="BU73">
        <v>2</v>
      </c>
    </row>
    <row r="74" spans="1:73" x14ac:dyDescent="0.25">
      <c r="A74" s="17">
        <v>43108</v>
      </c>
      <c r="B74">
        <v>14</v>
      </c>
      <c r="C74">
        <v>8</v>
      </c>
      <c r="D74">
        <v>13</v>
      </c>
      <c r="E74">
        <v>5</v>
      </c>
      <c r="F74">
        <v>27</v>
      </c>
      <c r="G74">
        <v>8</v>
      </c>
      <c r="H74">
        <v>21</v>
      </c>
      <c r="I74">
        <v>13</v>
      </c>
      <c r="J74">
        <v>8</v>
      </c>
      <c r="K74">
        <v>3</v>
      </c>
      <c r="L74">
        <v>4</v>
      </c>
      <c r="M74">
        <v>7</v>
      </c>
      <c r="N74">
        <v>5</v>
      </c>
      <c r="O74">
        <v>2</v>
      </c>
      <c r="P74">
        <v>4</v>
      </c>
      <c r="Q74">
        <v>7</v>
      </c>
      <c r="R74">
        <v>6</v>
      </c>
      <c r="S74">
        <v>20</v>
      </c>
      <c r="T74">
        <v>9</v>
      </c>
      <c r="U74">
        <v>21</v>
      </c>
      <c r="V74">
        <v>5</v>
      </c>
      <c r="W74">
        <v>1</v>
      </c>
      <c r="X74">
        <v>16</v>
      </c>
      <c r="Y74">
        <v>2</v>
      </c>
      <c r="Z74">
        <v>3</v>
      </c>
      <c r="AA74">
        <v>4</v>
      </c>
      <c r="AB74">
        <v>4</v>
      </c>
      <c r="AC74">
        <v>2</v>
      </c>
      <c r="AD74">
        <v>1</v>
      </c>
      <c r="AE74">
        <v>3</v>
      </c>
      <c r="AF74">
        <v>2</v>
      </c>
      <c r="AG74">
        <v>1</v>
      </c>
      <c r="AH74">
        <v>4</v>
      </c>
      <c r="AI74">
        <v>4</v>
      </c>
      <c r="AJ74">
        <v>9</v>
      </c>
      <c r="AK74">
        <v>200</v>
      </c>
      <c r="AL74">
        <v>3250</v>
      </c>
      <c r="AM74">
        <v>600</v>
      </c>
      <c r="AN74" t="s">
        <v>46</v>
      </c>
      <c r="AO74" t="s">
        <v>46</v>
      </c>
      <c r="AV74">
        <v>1</v>
      </c>
      <c r="AW74">
        <v>50</v>
      </c>
      <c r="AX74">
        <v>1575</v>
      </c>
      <c r="AY74">
        <v>2</v>
      </c>
      <c r="AZ74">
        <v>3</v>
      </c>
      <c r="BA74">
        <v>1</v>
      </c>
      <c r="BB74">
        <v>8</v>
      </c>
      <c r="BC74">
        <v>6</v>
      </c>
      <c r="BD74">
        <v>1</v>
      </c>
      <c r="BE74">
        <v>3</v>
      </c>
      <c r="BF74">
        <v>2</v>
      </c>
      <c r="BG74">
        <v>2</v>
      </c>
      <c r="BH74">
        <v>3</v>
      </c>
      <c r="BI74">
        <v>2</v>
      </c>
      <c r="BJ74">
        <v>3</v>
      </c>
      <c r="BK74">
        <v>1</v>
      </c>
      <c r="BL74">
        <v>163</v>
      </c>
      <c r="BM74">
        <v>19</v>
      </c>
      <c r="BN74">
        <v>8</v>
      </c>
      <c r="BO74">
        <v>71</v>
      </c>
      <c r="BP74">
        <v>25</v>
      </c>
      <c r="BQ74">
        <v>23</v>
      </c>
      <c r="BR74">
        <v>2</v>
      </c>
      <c r="BS74">
        <v>70</v>
      </c>
      <c r="BT74">
        <v>2</v>
      </c>
      <c r="BU74">
        <v>2</v>
      </c>
    </row>
    <row r="75" spans="1:73" x14ac:dyDescent="0.25">
      <c r="A75" s="17">
        <v>43110</v>
      </c>
      <c r="B75">
        <v>14</v>
      </c>
      <c r="C75">
        <v>8</v>
      </c>
      <c r="D75">
        <v>12</v>
      </c>
      <c r="E75">
        <v>5</v>
      </c>
      <c r="F75">
        <v>27</v>
      </c>
      <c r="G75">
        <v>7</v>
      </c>
      <c r="H75">
        <v>21</v>
      </c>
      <c r="I75">
        <v>13</v>
      </c>
      <c r="J75">
        <v>8</v>
      </c>
      <c r="K75">
        <v>3</v>
      </c>
      <c r="L75">
        <v>4</v>
      </c>
      <c r="M75">
        <v>7</v>
      </c>
      <c r="N75">
        <v>5</v>
      </c>
      <c r="O75">
        <v>2</v>
      </c>
      <c r="P75">
        <v>4</v>
      </c>
      <c r="Q75">
        <v>7</v>
      </c>
      <c r="R75">
        <v>6</v>
      </c>
      <c r="S75">
        <v>20</v>
      </c>
      <c r="T75">
        <v>9</v>
      </c>
      <c r="U75">
        <v>21</v>
      </c>
      <c r="V75">
        <v>5</v>
      </c>
      <c r="W75">
        <v>1</v>
      </c>
      <c r="X75">
        <v>16</v>
      </c>
      <c r="Y75">
        <v>2</v>
      </c>
      <c r="Z75">
        <v>3</v>
      </c>
      <c r="AA75">
        <v>4</v>
      </c>
      <c r="AB75">
        <v>4</v>
      </c>
      <c r="AC75">
        <v>2</v>
      </c>
      <c r="AD75">
        <v>1</v>
      </c>
      <c r="AE75">
        <v>3</v>
      </c>
      <c r="AF75">
        <v>2</v>
      </c>
      <c r="AG75">
        <v>1</v>
      </c>
      <c r="AH75">
        <v>4</v>
      </c>
      <c r="AI75">
        <v>4</v>
      </c>
      <c r="AJ75">
        <v>9</v>
      </c>
      <c r="AK75">
        <v>200</v>
      </c>
      <c r="AL75">
        <v>2750</v>
      </c>
      <c r="AM75">
        <v>600</v>
      </c>
      <c r="AN75" t="s">
        <v>46</v>
      </c>
      <c r="AO75" t="s">
        <v>46</v>
      </c>
      <c r="AV75">
        <v>1</v>
      </c>
      <c r="AW75">
        <v>50</v>
      </c>
      <c r="AX75">
        <v>1275</v>
      </c>
      <c r="AY75">
        <v>2</v>
      </c>
      <c r="AZ75">
        <v>3</v>
      </c>
      <c r="BA75">
        <v>1</v>
      </c>
      <c r="BB75">
        <v>8</v>
      </c>
      <c r="BC75">
        <v>6</v>
      </c>
      <c r="BD75">
        <v>1</v>
      </c>
      <c r="BE75">
        <v>3</v>
      </c>
      <c r="BF75">
        <v>2</v>
      </c>
      <c r="BG75">
        <v>2</v>
      </c>
      <c r="BH75">
        <v>3</v>
      </c>
      <c r="BI75">
        <v>2</v>
      </c>
      <c r="BJ75">
        <v>3</v>
      </c>
      <c r="BK75">
        <v>1</v>
      </c>
      <c r="BL75">
        <v>163</v>
      </c>
      <c r="BM75">
        <v>19</v>
      </c>
      <c r="BN75">
        <v>8</v>
      </c>
      <c r="BO75">
        <v>71</v>
      </c>
      <c r="BP75">
        <v>25</v>
      </c>
      <c r="BQ75">
        <v>23</v>
      </c>
      <c r="BR75">
        <v>2</v>
      </c>
      <c r="BS75">
        <v>70</v>
      </c>
      <c r="BT75">
        <v>2</v>
      </c>
      <c r="BU75">
        <v>2</v>
      </c>
    </row>
    <row r="76" spans="1:73" x14ac:dyDescent="0.25">
      <c r="A76" s="17">
        <v>43111</v>
      </c>
      <c r="B76">
        <v>14</v>
      </c>
      <c r="C76">
        <v>8</v>
      </c>
      <c r="D76">
        <v>12</v>
      </c>
      <c r="E76">
        <v>5</v>
      </c>
      <c r="F76">
        <v>26</v>
      </c>
      <c r="G76">
        <v>7</v>
      </c>
      <c r="H76">
        <v>21</v>
      </c>
      <c r="I76">
        <v>13</v>
      </c>
      <c r="J76">
        <v>8</v>
      </c>
      <c r="K76">
        <v>3</v>
      </c>
      <c r="L76">
        <v>4</v>
      </c>
      <c r="M76">
        <v>7</v>
      </c>
      <c r="N76">
        <v>5</v>
      </c>
      <c r="O76">
        <v>2</v>
      </c>
      <c r="P76">
        <v>4</v>
      </c>
      <c r="Q76">
        <v>7</v>
      </c>
      <c r="R76">
        <v>6</v>
      </c>
      <c r="S76">
        <v>20</v>
      </c>
      <c r="T76">
        <v>9</v>
      </c>
      <c r="U76">
        <v>21</v>
      </c>
      <c r="V76">
        <v>5</v>
      </c>
      <c r="W76">
        <v>1</v>
      </c>
      <c r="X76">
        <v>16</v>
      </c>
      <c r="Y76">
        <v>2</v>
      </c>
      <c r="Z76">
        <v>3</v>
      </c>
      <c r="AA76">
        <v>4</v>
      </c>
      <c r="AB76">
        <v>4</v>
      </c>
      <c r="AC76">
        <v>2</v>
      </c>
      <c r="AD76">
        <v>1</v>
      </c>
      <c r="AE76">
        <v>2</v>
      </c>
      <c r="AF76">
        <v>2</v>
      </c>
      <c r="AG76">
        <v>1</v>
      </c>
      <c r="AH76">
        <v>3</v>
      </c>
      <c r="AI76">
        <v>4</v>
      </c>
      <c r="AJ76">
        <v>9</v>
      </c>
      <c r="AK76">
        <v>200</v>
      </c>
      <c r="AL76">
        <v>2750</v>
      </c>
      <c r="AM76">
        <v>600</v>
      </c>
      <c r="AN76" t="s">
        <v>46</v>
      </c>
      <c r="AO76" t="s">
        <v>46</v>
      </c>
      <c r="AV76">
        <v>1</v>
      </c>
      <c r="AW76">
        <v>50</v>
      </c>
      <c r="AX76">
        <v>1275</v>
      </c>
      <c r="AY76">
        <v>2</v>
      </c>
      <c r="AZ76">
        <v>3</v>
      </c>
      <c r="BA76">
        <v>1</v>
      </c>
      <c r="BB76">
        <v>8</v>
      </c>
      <c r="BC76">
        <v>6</v>
      </c>
      <c r="BD76">
        <v>1</v>
      </c>
      <c r="BE76">
        <v>3</v>
      </c>
      <c r="BF76">
        <v>2</v>
      </c>
      <c r="BG76">
        <v>2</v>
      </c>
      <c r="BH76">
        <v>3</v>
      </c>
      <c r="BI76">
        <v>2</v>
      </c>
      <c r="BJ76">
        <v>3</v>
      </c>
      <c r="BK76">
        <v>1</v>
      </c>
      <c r="BL76">
        <v>163</v>
      </c>
      <c r="BM76">
        <v>19</v>
      </c>
      <c r="BN76">
        <v>8</v>
      </c>
      <c r="BO76">
        <v>71</v>
      </c>
      <c r="BP76">
        <v>24</v>
      </c>
      <c r="BQ76">
        <v>23</v>
      </c>
      <c r="BR76">
        <v>2</v>
      </c>
      <c r="BS76">
        <v>69</v>
      </c>
      <c r="BT76">
        <v>2</v>
      </c>
      <c r="BU76">
        <v>2</v>
      </c>
    </row>
    <row r="77" spans="1:73" x14ac:dyDescent="0.25">
      <c r="A77" s="17">
        <v>43115</v>
      </c>
      <c r="B77">
        <v>14</v>
      </c>
      <c r="C77">
        <v>7</v>
      </c>
      <c r="D77">
        <v>12</v>
      </c>
      <c r="E77">
        <v>5</v>
      </c>
      <c r="F77">
        <v>26</v>
      </c>
      <c r="G77">
        <v>7</v>
      </c>
      <c r="H77">
        <v>21</v>
      </c>
      <c r="I77">
        <v>12</v>
      </c>
      <c r="J77">
        <v>7</v>
      </c>
      <c r="K77">
        <v>2</v>
      </c>
      <c r="L77">
        <v>4</v>
      </c>
      <c r="M77">
        <v>7</v>
      </c>
      <c r="N77">
        <v>5</v>
      </c>
      <c r="O77">
        <v>2</v>
      </c>
      <c r="P77">
        <v>3</v>
      </c>
      <c r="Q77">
        <v>7</v>
      </c>
      <c r="R77">
        <v>5</v>
      </c>
      <c r="S77">
        <v>19</v>
      </c>
      <c r="T77">
        <v>9</v>
      </c>
      <c r="U77">
        <v>21</v>
      </c>
      <c r="V77">
        <v>5</v>
      </c>
      <c r="W77">
        <v>1</v>
      </c>
      <c r="X77">
        <v>16</v>
      </c>
      <c r="Y77">
        <v>2</v>
      </c>
      <c r="Z77">
        <v>3</v>
      </c>
      <c r="AA77">
        <v>4</v>
      </c>
      <c r="AB77">
        <v>4</v>
      </c>
      <c r="AC77">
        <v>2</v>
      </c>
      <c r="AD77">
        <v>0</v>
      </c>
      <c r="AE77">
        <v>2</v>
      </c>
      <c r="AF77">
        <v>2</v>
      </c>
      <c r="AG77">
        <v>1</v>
      </c>
      <c r="AH77">
        <v>3</v>
      </c>
      <c r="AI77">
        <v>3</v>
      </c>
      <c r="AJ77">
        <v>8</v>
      </c>
      <c r="AK77">
        <v>200</v>
      </c>
      <c r="AL77">
        <v>2250</v>
      </c>
      <c r="AM77">
        <v>600</v>
      </c>
      <c r="AN77" t="s">
        <v>46</v>
      </c>
      <c r="AO77" t="s">
        <v>46</v>
      </c>
      <c r="AV77">
        <v>1</v>
      </c>
      <c r="AW77">
        <v>50</v>
      </c>
      <c r="AX77">
        <v>1025</v>
      </c>
      <c r="AY77">
        <v>2</v>
      </c>
      <c r="AZ77">
        <v>3</v>
      </c>
      <c r="BA77">
        <v>1</v>
      </c>
      <c r="BB77">
        <v>7</v>
      </c>
      <c r="BC77">
        <v>5</v>
      </c>
      <c r="BD77">
        <v>1</v>
      </c>
      <c r="BE77">
        <v>3</v>
      </c>
      <c r="BF77">
        <v>2</v>
      </c>
      <c r="BG77">
        <v>2</v>
      </c>
      <c r="BH77">
        <v>2</v>
      </c>
      <c r="BI77">
        <v>2</v>
      </c>
      <c r="BJ77">
        <v>3</v>
      </c>
      <c r="BK77">
        <v>1</v>
      </c>
      <c r="BL77">
        <v>162</v>
      </c>
      <c r="BM77">
        <v>18</v>
      </c>
      <c r="BN77">
        <v>7</v>
      </c>
      <c r="BO77">
        <v>70</v>
      </c>
      <c r="BP77">
        <v>24</v>
      </c>
      <c r="BQ77">
        <v>23</v>
      </c>
      <c r="BR77">
        <v>2</v>
      </c>
      <c r="BS77">
        <v>69</v>
      </c>
      <c r="BT77">
        <v>1</v>
      </c>
      <c r="BU77">
        <v>2</v>
      </c>
    </row>
    <row r="78" spans="1:73" x14ac:dyDescent="0.25">
      <c r="A78" s="17">
        <v>43117</v>
      </c>
      <c r="B78">
        <v>14</v>
      </c>
      <c r="C78">
        <v>7</v>
      </c>
      <c r="D78">
        <v>12</v>
      </c>
      <c r="E78">
        <v>5</v>
      </c>
      <c r="F78">
        <v>26</v>
      </c>
      <c r="G78">
        <v>7</v>
      </c>
      <c r="H78">
        <v>21</v>
      </c>
      <c r="I78">
        <v>12</v>
      </c>
      <c r="J78">
        <v>7</v>
      </c>
      <c r="K78">
        <v>2</v>
      </c>
      <c r="L78">
        <v>4</v>
      </c>
      <c r="M78">
        <v>7</v>
      </c>
      <c r="N78">
        <v>5</v>
      </c>
      <c r="O78">
        <v>2</v>
      </c>
      <c r="P78">
        <v>3</v>
      </c>
      <c r="Q78">
        <v>6</v>
      </c>
      <c r="R78">
        <v>4</v>
      </c>
      <c r="S78">
        <v>19</v>
      </c>
      <c r="T78">
        <v>9</v>
      </c>
      <c r="U78">
        <v>21</v>
      </c>
      <c r="V78">
        <v>5</v>
      </c>
      <c r="W78">
        <v>1</v>
      </c>
      <c r="X78">
        <v>16</v>
      </c>
      <c r="Y78">
        <v>2</v>
      </c>
      <c r="Z78">
        <v>2</v>
      </c>
      <c r="AA78">
        <v>4</v>
      </c>
      <c r="AB78">
        <v>4</v>
      </c>
      <c r="AC78">
        <v>2</v>
      </c>
      <c r="AD78">
        <v>0</v>
      </c>
      <c r="AE78">
        <v>2</v>
      </c>
      <c r="AF78">
        <v>1</v>
      </c>
      <c r="AG78">
        <v>1</v>
      </c>
      <c r="AH78">
        <v>3</v>
      </c>
      <c r="AI78">
        <v>3</v>
      </c>
      <c r="AJ78">
        <v>8</v>
      </c>
      <c r="AK78">
        <v>200</v>
      </c>
      <c r="AL78">
        <v>2250</v>
      </c>
      <c r="AM78">
        <v>600</v>
      </c>
      <c r="AN78" t="s">
        <v>46</v>
      </c>
      <c r="AO78" t="s">
        <v>46</v>
      </c>
      <c r="AV78">
        <v>0</v>
      </c>
      <c r="AW78">
        <v>50</v>
      </c>
      <c r="AX78">
        <v>1025</v>
      </c>
      <c r="AY78">
        <v>2</v>
      </c>
      <c r="AZ78">
        <v>3</v>
      </c>
      <c r="BA78">
        <v>1</v>
      </c>
      <c r="BB78">
        <v>7</v>
      </c>
      <c r="BC78">
        <v>5</v>
      </c>
      <c r="BD78">
        <v>1</v>
      </c>
      <c r="BE78">
        <v>3</v>
      </c>
      <c r="BF78">
        <v>2</v>
      </c>
      <c r="BG78">
        <v>2</v>
      </c>
      <c r="BH78">
        <v>2</v>
      </c>
      <c r="BI78">
        <v>2</v>
      </c>
      <c r="BJ78">
        <v>3</v>
      </c>
      <c r="BK78">
        <v>1</v>
      </c>
      <c r="BL78">
        <v>162</v>
      </c>
      <c r="BM78">
        <v>18</v>
      </c>
      <c r="BN78">
        <v>7</v>
      </c>
      <c r="BO78">
        <v>70</v>
      </c>
      <c r="BP78">
        <v>24</v>
      </c>
      <c r="BQ78">
        <v>23</v>
      </c>
      <c r="BR78">
        <v>2</v>
      </c>
      <c r="BS78">
        <v>69</v>
      </c>
      <c r="BT78">
        <v>1</v>
      </c>
      <c r="BU78">
        <v>2</v>
      </c>
    </row>
    <row r="79" spans="1:73" x14ac:dyDescent="0.25">
      <c r="A79" s="17">
        <v>43119</v>
      </c>
      <c r="B79">
        <v>14</v>
      </c>
      <c r="C79">
        <v>7</v>
      </c>
      <c r="D79">
        <v>12</v>
      </c>
      <c r="E79">
        <v>4</v>
      </c>
      <c r="F79">
        <v>26</v>
      </c>
      <c r="G79">
        <v>7</v>
      </c>
      <c r="H79">
        <v>21</v>
      </c>
      <c r="I79">
        <v>12</v>
      </c>
      <c r="J79">
        <v>7</v>
      </c>
      <c r="K79">
        <v>2</v>
      </c>
      <c r="L79">
        <v>4</v>
      </c>
      <c r="M79">
        <v>7</v>
      </c>
      <c r="N79">
        <v>5</v>
      </c>
      <c r="O79">
        <v>2</v>
      </c>
      <c r="P79">
        <v>3</v>
      </c>
      <c r="Q79">
        <v>6</v>
      </c>
      <c r="R79">
        <v>14</v>
      </c>
      <c r="S79">
        <v>19</v>
      </c>
      <c r="T79">
        <v>9</v>
      </c>
      <c r="U79">
        <v>20</v>
      </c>
      <c r="V79">
        <v>4</v>
      </c>
      <c r="W79">
        <v>1</v>
      </c>
      <c r="X79">
        <v>15</v>
      </c>
      <c r="Y79">
        <v>1</v>
      </c>
      <c r="Z79">
        <v>2</v>
      </c>
      <c r="AA79">
        <v>4</v>
      </c>
      <c r="AB79">
        <v>4</v>
      </c>
      <c r="AC79">
        <v>2</v>
      </c>
      <c r="AD79">
        <v>2</v>
      </c>
      <c r="AE79">
        <v>2</v>
      </c>
      <c r="AF79">
        <v>3</v>
      </c>
      <c r="AG79">
        <v>3</v>
      </c>
      <c r="AH79">
        <v>3</v>
      </c>
      <c r="AI79">
        <v>8</v>
      </c>
      <c r="AJ79">
        <v>8</v>
      </c>
      <c r="AK79">
        <v>200</v>
      </c>
      <c r="AL79">
        <v>6250</v>
      </c>
      <c r="AM79">
        <v>600</v>
      </c>
      <c r="AN79" t="s">
        <v>46</v>
      </c>
      <c r="AO79" t="s">
        <v>46</v>
      </c>
      <c r="AV79">
        <v>4</v>
      </c>
      <c r="AW79">
        <v>50</v>
      </c>
      <c r="AX79">
        <v>1775</v>
      </c>
      <c r="AY79">
        <v>2</v>
      </c>
      <c r="AZ79">
        <v>3</v>
      </c>
      <c r="BA79">
        <v>3</v>
      </c>
      <c r="BB79">
        <v>7</v>
      </c>
      <c r="BC79">
        <v>5</v>
      </c>
      <c r="BD79">
        <v>3</v>
      </c>
      <c r="BE79">
        <v>3</v>
      </c>
      <c r="BF79">
        <v>2</v>
      </c>
      <c r="BG79">
        <v>2</v>
      </c>
      <c r="BH79">
        <v>2</v>
      </c>
      <c r="BI79">
        <v>2</v>
      </c>
      <c r="BJ79">
        <v>3</v>
      </c>
      <c r="BK79">
        <v>3</v>
      </c>
      <c r="BL79">
        <v>162</v>
      </c>
      <c r="BM79">
        <v>17</v>
      </c>
      <c r="BN79">
        <v>7</v>
      </c>
      <c r="BO79">
        <v>70</v>
      </c>
      <c r="BP79">
        <v>24</v>
      </c>
      <c r="BQ79">
        <v>22</v>
      </c>
      <c r="BR79">
        <v>2</v>
      </c>
      <c r="BS79">
        <v>69</v>
      </c>
      <c r="BT79">
        <v>3</v>
      </c>
      <c r="BU79">
        <v>2</v>
      </c>
    </row>
    <row r="80" spans="1:73" x14ac:dyDescent="0.25">
      <c r="A80" s="17">
        <v>43122</v>
      </c>
      <c r="B80">
        <v>14</v>
      </c>
      <c r="C80">
        <v>5</v>
      </c>
      <c r="D80">
        <v>12</v>
      </c>
      <c r="E80">
        <v>4</v>
      </c>
      <c r="F80">
        <v>26</v>
      </c>
      <c r="G80">
        <v>7</v>
      </c>
      <c r="H80">
        <v>21</v>
      </c>
      <c r="I80">
        <v>12</v>
      </c>
      <c r="J80">
        <v>7</v>
      </c>
      <c r="K80">
        <v>2</v>
      </c>
      <c r="L80">
        <v>4</v>
      </c>
      <c r="M80">
        <v>7</v>
      </c>
      <c r="N80">
        <v>5</v>
      </c>
      <c r="O80">
        <v>2</v>
      </c>
      <c r="P80">
        <v>3</v>
      </c>
      <c r="Q80">
        <v>6</v>
      </c>
      <c r="R80">
        <v>14</v>
      </c>
      <c r="S80">
        <v>19</v>
      </c>
      <c r="T80">
        <v>9</v>
      </c>
      <c r="U80">
        <v>20</v>
      </c>
      <c r="V80">
        <v>4</v>
      </c>
      <c r="W80">
        <v>1</v>
      </c>
      <c r="X80">
        <v>15</v>
      </c>
      <c r="Y80">
        <v>1</v>
      </c>
      <c r="Z80">
        <v>2</v>
      </c>
      <c r="AA80">
        <v>4</v>
      </c>
      <c r="AB80">
        <v>4</v>
      </c>
      <c r="AC80">
        <v>2</v>
      </c>
      <c r="AD80">
        <v>2</v>
      </c>
      <c r="AE80">
        <v>2</v>
      </c>
      <c r="AF80">
        <v>3</v>
      </c>
      <c r="AG80">
        <v>3</v>
      </c>
      <c r="AH80">
        <v>3</v>
      </c>
      <c r="AI80">
        <v>8</v>
      </c>
      <c r="AJ80">
        <v>8</v>
      </c>
      <c r="AK80">
        <v>200</v>
      </c>
      <c r="AL80">
        <v>6250</v>
      </c>
      <c r="AM80">
        <v>600</v>
      </c>
      <c r="AN80" t="s">
        <v>46</v>
      </c>
      <c r="AO80" t="s">
        <v>46</v>
      </c>
      <c r="AV80">
        <v>4</v>
      </c>
      <c r="AW80">
        <v>50</v>
      </c>
      <c r="AX80">
        <v>1775</v>
      </c>
      <c r="AY80">
        <v>2</v>
      </c>
      <c r="AZ80">
        <v>3</v>
      </c>
      <c r="BA80">
        <v>3</v>
      </c>
      <c r="BB80">
        <v>7</v>
      </c>
      <c r="BC80">
        <v>5</v>
      </c>
      <c r="BD80">
        <v>3</v>
      </c>
      <c r="BE80">
        <v>3</v>
      </c>
      <c r="BF80">
        <v>2</v>
      </c>
      <c r="BG80">
        <v>2</v>
      </c>
      <c r="BH80">
        <v>2</v>
      </c>
      <c r="BI80">
        <v>2</v>
      </c>
      <c r="BJ80">
        <v>3</v>
      </c>
      <c r="BK80">
        <v>3</v>
      </c>
      <c r="BL80">
        <v>162</v>
      </c>
      <c r="BM80">
        <v>17</v>
      </c>
      <c r="BN80">
        <v>7</v>
      </c>
      <c r="BO80">
        <v>70</v>
      </c>
      <c r="BP80">
        <v>23</v>
      </c>
      <c r="BQ80">
        <v>22</v>
      </c>
      <c r="BR80">
        <v>2</v>
      </c>
      <c r="BS80">
        <v>69</v>
      </c>
      <c r="BT80">
        <v>3</v>
      </c>
      <c r="BU80">
        <v>2</v>
      </c>
    </row>
    <row r="81" spans="1:73" x14ac:dyDescent="0.25">
      <c r="A81" s="17">
        <v>43124</v>
      </c>
      <c r="B81">
        <v>14</v>
      </c>
      <c r="C81">
        <v>5</v>
      </c>
      <c r="D81">
        <v>12</v>
      </c>
      <c r="E81">
        <v>4</v>
      </c>
      <c r="F81">
        <v>26</v>
      </c>
      <c r="G81">
        <v>7</v>
      </c>
      <c r="H81">
        <v>20</v>
      </c>
      <c r="I81">
        <v>12</v>
      </c>
      <c r="J81">
        <v>6</v>
      </c>
      <c r="K81">
        <v>2</v>
      </c>
      <c r="L81">
        <v>4</v>
      </c>
      <c r="M81">
        <v>7</v>
      </c>
      <c r="N81">
        <v>5</v>
      </c>
      <c r="O81">
        <v>2</v>
      </c>
      <c r="P81">
        <v>3</v>
      </c>
      <c r="Q81">
        <v>5</v>
      </c>
      <c r="R81">
        <v>14</v>
      </c>
      <c r="S81">
        <v>19</v>
      </c>
      <c r="T81">
        <v>9</v>
      </c>
      <c r="U81">
        <v>20</v>
      </c>
      <c r="V81">
        <v>4</v>
      </c>
      <c r="W81">
        <v>1</v>
      </c>
      <c r="X81">
        <v>15</v>
      </c>
      <c r="Y81">
        <v>1</v>
      </c>
      <c r="Z81">
        <v>2</v>
      </c>
      <c r="AA81">
        <v>4</v>
      </c>
      <c r="AB81">
        <v>4</v>
      </c>
      <c r="AC81">
        <v>2</v>
      </c>
      <c r="AD81">
        <v>2</v>
      </c>
      <c r="AE81">
        <v>2</v>
      </c>
      <c r="AF81">
        <v>3</v>
      </c>
      <c r="AG81">
        <v>3</v>
      </c>
      <c r="AH81">
        <v>2</v>
      </c>
      <c r="AI81">
        <v>8</v>
      </c>
      <c r="AJ81">
        <v>7</v>
      </c>
      <c r="AK81">
        <v>200</v>
      </c>
      <c r="AL81">
        <v>6250</v>
      </c>
      <c r="AM81">
        <v>600</v>
      </c>
      <c r="AN81" t="s">
        <v>46</v>
      </c>
      <c r="AO81" t="s">
        <v>46</v>
      </c>
      <c r="AV81">
        <v>4</v>
      </c>
      <c r="AW81">
        <v>50</v>
      </c>
      <c r="AX81">
        <v>1775</v>
      </c>
      <c r="AY81">
        <v>2</v>
      </c>
      <c r="AZ81">
        <v>3</v>
      </c>
      <c r="BA81">
        <v>3</v>
      </c>
      <c r="BB81">
        <v>6</v>
      </c>
      <c r="BC81">
        <v>4</v>
      </c>
      <c r="BD81">
        <v>3</v>
      </c>
      <c r="BE81">
        <v>3</v>
      </c>
      <c r="BF81">
        <v>2</v>
      </c>
      <c r="BG81">
        <v>2</v>
      </c>
      <c r="BH81">
        <v>2</v>
      </c>
      <c r="BI81">
        <v>2</v>
      </c>
      <c r="BJ81">
        <v>3</v>
      </c>
      <c r="BK81">
        <v>3</v>
      </c>
      <c r="BL81">
        <v>162</v>
      </c>
      <c r="BM81">
        <v>17</v>
      </c>
      <c r="BN81">
        <v>6</v>
      </c>
      <c r="BO81">
        <v>70</v>
      </c>
      <c r="BP81">
        <v>23</v>
      </c>
      <c r="BQ81">
        <v>22</v>
      </c>
      <c r="BR81">
        <v>2</v>
      </c>
      <c r="BS81">
        <v>68</v>
      </c>
      <c r="BT81">
        <v>3</v>
      </c>
      <c r="BU81">
        <v>2</v>
      </c>
    </row>
    <row r="82" spans="1:73" x14ac:dyDescent="0.25">
      <c r="A82" s="17">
        <v>43126</v>
      </c>
      <c r="B82">
        <v>14</v>
      </c>
      <c r="C82">
        <v>4</v>
      </c>
      <c r="D82">
        <v>11</v>
      </c>
      <c r="E82">
        <v>4</v>
      </c>
      <c r="F82">
        <v>26</v>
      </c>
      <c r="G82">
        <v>7</v>
      </c>
      <c r="H82">
        <v>20</v>
      </c>
      <c r="I82">
        <v>11</v>
      </c>
      <c r="J82">
        <v>6</v>
      </c>
      <c r="K82">
        <v>2</v>
      </c>
      <c r="L82">
        <v>4</v>
      </c>
      <c r="M82">
        <v>7</v>
      </c>
      <c r="N82">
        <v>4</v>
      </c>
      <c r="O82">
        <v>2</v>
      </c>
      <c r="P82">
        <v>3</v>
      </c>
      <c r="Q82">
        <v>5</v>
      </c>
      <c r="R82">
        <v>14</v>
      </c>
      <c r="S82">
        <v>19</v>
      </c>
      <c r="T82">
        <v>9</v>
      </c>
      <c r="U82">
        <v>20</v>
      </c>
      <c r="V82">
        <v>4</v>
      </c>
      <c r="W82">
        <v>1</v>
      </c>
      <c r="X82">
        <v>15</v>
      </c>
      <c r="Y82">
        <v>1</v>
      </c>
      <c r="Z82">
        <v>2</v>
      </c>
      <c r="AA82">
        <v>4</v>
      </c>
      <c r="AB82">
        <v>4</v>
      </c>
      <c r="AC82">
        <v>2</v>
      </c>
      <c r="AD82">
        <v>2</v>
      </c>
      <c r="AE82">
        <v>2</v>
      </c>
      <c r="AF82">
        <v>3</v>
      </c>
      <c r="AG82">
        <v>3</v>
      </c>
      <c r="AH82">
        <v>2</v>
      </c>
      <c r="AI82">
        <v>8</v>
      </c>
      <c r="AJ82">
        <v>7</v>
      </c>
      <c r="AK82">
        <v>200</v>
      </c>
      <c r="AL82">
        <v>5750</v>
      </c>
      <c r="AM82">
        <v>600</v>
      </c>
      <c r="AN82" t="s">
        <v>46</v>
      </c>
      <c r="AO82" t="s">
        <v>46</v>
      </c>
      <c r="AS82">
        <v>52</v>
      </c>
      <c r="AT82">
        <v>20</v>
      </c>
      <c r="AV82">
        <v>4</v>
      </c>
      <c r="AW82">
        <v>9</v>
      </c>
      <c r="AX82">
        <v>1500</v>
      </c>
      <c r="AY82">
        <v>2</v>
      </c>
      <c r="AZ82">
        <v>3</v>
      </c>
      <c r="BA82">
        <v>3</v>
      </c>
      <c r="BB82">
        <v>6</v>
      </c>
      <c r="BC82">
        <v>4</v>
      </c>
      <c r="BD82">
        <v>3</v>
      </c>
      <c r="BE82">
        <v>3</v>
      </c>
      <c r="BF82">
        <v>2</v>
      </c>
      <c r="BG82">
        <v>2</v>
      </c>
      <c r="BH82">
        <v>2</v>
      </c>
      <c r="BI82">
        <v>2</v>
      </c>
      <c r="BJ82">
        <v>3</v>
      </c>
      <c r="BK82">
        <v>3</v>
      </c>
      <c r="BL82">
        <v>161</v>
      </c>
      <c r="BM82">
        <v>17</v>
      </c>
      <c r="BN82">
        <v>150</v>
      </c>
      <c r="BO82">
        <v>69</v>
      </c>
      <c r="BP82">
        <v>23</v>
      </c>
      <c r="BQ82">
        <v>22</v>
      </c>
      <c r="BR82">
        <v>2</v>
      </c>
      <c r="BS82">
        <v>68</v>
      </c>
      <c r="BT82">
        <v>3</v>
      </c>
      <c r="BU82">
        <v>2</v>
      </c>
    </row>
    <row r="83" spans="1:73" x14ac:dyDescent="0.25">
      <c r="A83" s="17">
        <v>43129</v>
      </c>
      <c r="B83">
        <v>14</v>
      </c>
      <c r="C83">
        <v>4</v>
      </c>
      <c r="D83">
        <v>11</v>
      </c>
      <c r="E83">
        <v>4</v>
      </c>
      <c r="F83">
        <v>26</v>
      </c>
      <c r="G83">
        <v>7</v>
      </c>
      <c r="H83">
        <v>20</v>
      </c>
      <c r="I83">
        <v>11</v>
      </c>
      <c r="J83">
        <v>6</v>
      </c>
      <c r="K83">
        <v>2</v>
      </c>
      <c r="L83">
        <v>4</v>
      </c>
      <c r="M83">
        <v>7</v>
      </c>
      <c r="N83">
        <v>4</v>
      </c>
      <c r="O83">
        <v>2</v>
      </c>
      <c r="P83">
        <v>3</v>
      </c>
      <c r="Q83">
        <v>5</v>
      </c>
      <c r="R83">
        <v>13</v>
      </c>
      <c r="S83">
        <v>18</v>
      </c>
      <c r="T83">
        <v>9</v>
      </c>
      <c r="U83">
        <v>20</v>
      </c>
      <c r="V83">
        <v>4</v>
      </c>
      <c r="W83">
        <v>1</v>
      </c>
      <c r="X83">
        <v>15</v>
      </c>
      <c r="Y83">
        <v>1</v>
      </c>
      <c r="Z83">
        <v>2</v>
      </c>
      <c r="AA83">
        <v>4</v>
      </c>
      <c r="AB83">
        <v>4</v>
      </c>
      <c r="AC83">
        <v>1</v>
      </c>
      <c r="AD83">
        <v>2</v>
      </c>
      <c r="AE83">
        <v>1</v>
      </c>
      <c r="AF83">
        <v>3</v>
      </c>
      <c r="AG83">
        <v>2</v>
      </c>
      <c r="AH83">
        <v>2</v>
      </c>
      <c r="AI83">
        <v>8</v>
      </c>
      <c r="AJ83">
        <v>7</v>
      </c>
      <c r="AK83">
        <v>200</v>
      </c>
      <c r="AL83">
        <v>5750</v>
      </c>
      <c r="AM83">
        <v>600</v>
      </c>
      <c r="AN83" t="s">
        <v>46</v>
      </c>
      <c r="AO83" t="s">
        <v>46</v>
      </c>
      <c r="AS83">
        <v>52</v>
      </c>
      <c r="AT83">
        <v>20</v>
      </c>
      <c r="AV83">
        <v>4</v>
      </c>
      <c r="AW83">
        <v>9</v>
      </c>
      <c r="AX83">
        <v>1500</v>
      </c>
      <c r="AY83">
        <v>2</v>
      </c>
      <c r="AZ83">
        <v>3</v>
      </c>
      <c r="BA83">
        <v>3</v>
      </c>
      <c r="BB83">
        <v>6</v>
      </c>
      <c r="BC83">
        <v>4</v>
      </c>
      <c r="BD83">
        <v>3</v>
      </c>
      <c r="BE83">
        <v>3</v>
      </c>
      <c r="BF83">
        <v>2</v>
      </c>
      <c r="BG83">
        <v>2</v>
      </c>
      <c r="BH83">
        <v>2</v>
      </c>
      <c r="BI83">
        <v>2</v>
      </c>
      <c r="BJ83">
        <v>3</v>
      </c>
      <c r="BK83">
        <v>3</v>
      </c>
      <c r="BL83">
        <v>161</v>
      </c>
      <c r="BM83">
        <v>17</v>
      </c>
      <c r="BN83">
        <v>150</v>
      </c>
      <c r="BO83">
        <v>69</v>
      </c>
      <c r="BP83">
        <v>23</v>
      </c>
      <c r="BQ83">
        <v>22</v>
      </c>
      <c r="BR83">
        <v>2</v>
      </c>
      <c r="BS83">
        <v>68</v>
      </c>
      <c r="BT83">
        <v>3</v>
      </c>
      <c r="BU83">
        <v>2</v>
      </c>
    </row>
    <row r="84" spans="1:73" x14ac:dyDescent="0.25">
      <c r="A84" s="17">
        <v>43132</v>
      </c>
      <c r="B84">
        <v>14</v>
      </c>
      <c r="C84">
        <v>3</v>
      </c>
      <c r="D84">
        <v>11</v>
      </c>
      <c r="E84">
        <v>3</v>
      </c>
      <c r="F84">
        <v>26</v>
      </c>
      <c r="G84">
        <v>6</v>
      </c>
      <c r="H84">
        <v>20</v>
      </c>
      <c r="I84">
        <v>10</v>
      </c>
      <c r="J84">
        <v>6</v>
      </c>
      <c r="K84">
        <v>2</v>
      </c>
      <c r="L84">
        <v>4</v>
      </c>
      <c r="M84">
        <v>7</v>
      </c>
      <c r="N84">
        <v>4</v>
      </c>
      <c r="O84">
        <v>1</v>
      </c>
      <c r="P84">
        <v>2</v>
      </c>
      <c r="Q84">
        <v>4</v>
      </c>
      <c r="R84">
        <v>13</v>
      </c>
      <c r="S84">
        <v>18</v>
      </c>
      <c r="T84">
        <v>9</v>
      </c>
      <c r="U84">
        <v>20</v>
      </c>
      <c r="V84">
        <v>4</v>
      </c>
      <c r="W84">
        <v>0</v>
      </c>
      <c r="X84">
        <v>15</v>
      </c>
      <c r="Y84">
        <v>1</v>
      </c>
      <c r="Z84">
        <v>1</v>
      </c>
      <c r="AA84">
        <v>4</v>
      </c>
      <c r="AB84">
        <v>3</v>
      </c>
      <c r="AC84">
        <v>1</v>
      </c>
      <c r="AD84">
        <v>1</v>
      </c>
      <c r="AE84">
        <v>1</v>
      </c>
      <c r="AF84">
        <v>3</v>
      </c>
      <c r="AG84">
        <v>2</v>
      </c>
      <c r="AH84">
        <v>2</v>
      </c>
      <c r="AI84">
        <v>8</v>
      </c>
      <c r="AJ84">
        <v>7</v>
      </c>
      <c r="AK84">
        <v>200</v>
      </c>
      <c r="AL84">
        <v>5250</v>
      </c>
      <c r="AM84">
        <v>600</v>
      </c>
      <c r="AN84" t="s">
        <v>46</v>
      </c>
      <c r="AO84" t="s">
        <v>46</v>
      </c>
      <c r="AS84">
        <v>52</v>
      </c>
      <c r="AT84">
        <v>20</v>
      </c>
      <c r="AV84">
        <v>4</v>
      </c>
      <c r="AW84">
        <v>9</v>
      </c>
      <c r="AX84">
        <v>1150</v>
      </c>
      <c r="AY84">
        <v>2</v>
      </c>
      <c r="AZ84">
        <v>3</v>
      </c>
      <c r="BA84">
        <v>3</v>
      </c>
      <c r="BB84">
        <v>5</v>
      </c>
      <c r="BC84">
        <v>3</v>
      </c>
      <c r="BD84">
        <v>2</v>
      </c>
      <c r="BE84">
        <v>3</v>
      </c>
      <c r="BF84">
        <v>2</v>
      </c>
      <c r="BG84">
        <v>2</v>
      </c>
      <c r="BH84">
        <v>2</v>
      </c>
      <c r="BI84">
        <v>1</v>
      </c>
      <c r="BJ84">
        <v>3</v>
      </c>
      <c r="BK84">
        <v>3</v>
      </c>
      <c r="BL84">
        <v>161</v>
      </c>
      <c r="BM84">
        <v>17</v>
      </c>
      <c r="BN84">
        <v>150</v>
      </c>
      <c r="BO84">
        <v>68</v>
      </c>
      <c r="BP84">
        <v>23</v>
      </c>
      <c r="BQ84">
        <v>22</v>
      </c>
      <c r="BR84">
        <v>0</v>
      </c>
      <c r="BS84">
        <v>68</v>
      </c>
      <c r="BT84">
        <v>3</v>
      </c>
      <c r="BU84">
        <v>2</v>
      </c>
    </row>
    <row r="85" spans="1:73" x14ac:dyDescent="0.25">
      <c r="A85" s="17">
        <v>43136</v>
      </c>
      <c r="B85">
        <v>14</v>
      </c>
      <c r="C85">
        <v>2</v>
      </c>
      <c r="D85">
        <v>11</v>
      </c>
      <c r="E85">
        <v>3</v>
      </c>
      <c r="F85">
        <v>25</v>
      </c>
      <c r="G85">
        <v>6</v>
      </c>
      <c r="H85">
        <v>19</v>
      </c>
      <c r="I85">
        <v>10</v>
      </c>
      <c r="J85">
        <v>5</v>
      </c>
      <c r="K85">
        <v>1</v>
      </c>
      <c r="L85">
        <v>4</v>
      </c>
      <c r="M85">
        <v>7</v>
      </c>
      <c r="N85">
        <v>4</v>
      </c>
      <c r="O85">
        <v>1</v>
      </c>
      <c r="P85">
        <v>2</v>
      </c>
      <c r="Q85">
        <v>4</v>
      </c>
      <c r="R85">
        <v>12</v>
      </c>
      <c r="S85">
        <v>18</v>
      </c>
      <c r="T85">
        <v>8</v>
      </c>
      <c r="U85">
        <v>20</v>
      </c>
      <c r="V85">
        <v>4</v>
      </c>
      <c r="W85">
        <v>0</v>
      </c>
      <c r="X85">
        <v>15</v>
      </c>
      <c r="Y85">
        <v>1</v>
      </c>
      <c r="Z85">
        <v>1</v>
      </c>
      <c r="AA85">
        <v>4</v>
      </c>
      <c r="AB85">
        <v>3</v>
      </c>
      <c r="AC85">
        <v>1</v>
      </c>
      <c r="AD85">
        <v>1</v>
      </c>
      <c r="AE85">
        <v>1</v>
      </c>
      <c r="AF85">
        <v>2</v>
      </c>
      <c r="AG85">
        <v>2</v>
      </c>
      <c r="AH85">
        <v>2</v>
      </c>
      <c r="AI85">
        <v>8</v>
      </c>
      <c r="AJ85">
        <v>6</v>
      </c>
      <c r="AK85">
        <v>200</v>
      </c>
      <c r="AL85">
        <v>5200</v>
      </c>
      <c r="AM85">
        <v>600</v>
      </c>
      <c r="AN85" t="s">
        <v>46</v>
      </c>
      <c r="AO85" t="s">
        <v>46</v>
      </c>
      <c r="AS85">
        <v>52</v>
      </c>
      <c r="AT85">
        <v>20</v>
      </c>
      <c r="AV85">
        <v>4</v>
      </c>
      <c r="AW85">
        <v>9</v>
      </c>
      <c r="AX85">
        <v>1000</v>
      </c>
      <c r="AY85">
        <v>2</v>
      </c>
      <c r="AZ85">
        <v>2</v>
      </c>
      <c r="BA85">
        <v>3</v>
      </c>
      <c r="BB85">
        <v>5</v>
      </c>
      <c r="BC85">
        <v>3</v>
      </c>
      <c r="BD85">
        <v>2</v>
      </c>
      <c r="BE85">
        <v>3</v>
      </c>
      <c r="BF85">
        <v>2</v>
      </c>
      <c r="BG85">
        <v>2</v>
      </c>
      <c r="BH85">
        <v>2</v>
      </c>
      <c r="BI85">
        <v>1</v>
      </c>
      <c r="BJ85">
        <v>3</v>
      </c>
      <c r="BK85">
        <v>3</v>
      </c>
      <c r="BL85">
        <v>160</v>
      </c>
      <c r="BM85">
        <v>17</v>
      </c>
      <c r="BN85">
        <v>148</v>
      </c>
      <c r="BO85">
        <v>68</v>
      </c>
      <c r="BP85">
        <v>22</v>
      </c>
      <c r="BQ85">
        <v>22</v>
      </c>
      <c r="BR85">
        <v>0</v>
      </c>
      <c r="BS85">
        <v>68</v>
      </c>
      <c r="BT85">
        <v>2</v>
      </c>
      <c r="BU85">
        <v>2</v>
      </c>
    </row>
    <row r="86" spans="1:73" x14ac:dyDescent="0.25">
      <c r="A86" s="17">
        <v>43139</v>
      </c>
      <c r="B86">
        <v>13</v>
      </c>
      <c r="C86">
        <v>1</v>
      </c>
      <c r="D86">
        <v>11</v>
      </c>
      <c r="E86">
        <v>3</v>
      </c>
      <c r="F86">
        <v>25</v>
      </c>
      <c r="G86">
        <v>6</v>
      </c>
      <c r="H86">
        <v>19</v>
      </c>
      <c r="I86">
        <v>10</v>
      </c>
      <c r="J86">
        <v>5</v>
      </c>
      <c r="K86">
        <v>1</v>
      </c>
      <c r="L86">
        <v>4</v>
      </c>
      <c r="M86">
        <v>7</v>
      </c>
      <c r="N86">
        <v>3</v>
      </c>
      <c r="O86">
        <v>1</v>
      </c>
      <c r="P86">
        <v>2</v>
      </c>
      <c r="Q86">
        <v>4</v>
      </c>
      <c r="R86">
        <v>12</v>
      </c>
      <c r="S86">
        <v>18</v>
      </c>
      <c r="T86">
        <v>8</v>
      </c>
      <c r="U86">
        <v>20</v>
      </c>
      <c r="V86">
        <v>3</v>
      </c>
      <c r="W86">
        <v>0</v>
      </c>
      <c r="X86">
        <v>15</v>
      </c>
      <c r="Y86">
        <v>1</v>
      </c>
      <c r="Z86">
        <v>1</v>
      </c>
      <c r="AA86">
        <v>4</v>
      </c>
      <c r="AB86">
        <v>3</v>
      </c>
      <c r="AC86">
        <v>0</v>
      </c>
      <c r="AD86">
        <v>1</v>
      </c>
      <c r="AE86">
        <v>1</v>
      </c>
      <c r="AF86">
        <v>2</v>
      </c>
      <c r="AG86">
        <v>2</v>
      </c>
      <c r="AH86">
        <v>2</v>
      </c>
      <c r="AI86">
        <v>8</v>
      </c>
      <c r="AJ86">
        <v>6</v>
      </c>
      <c r="AK86">
        <v>200</v>
      </c>
      <c r="AL86">
        <v>5100</v>
      </c>
      <c r="AM86">
        <v>600</v>
      </c>
      <c r="AN86" t="s">
        <v>46</v>
      </c>
      <c r="AO86" t="s">
        <v>46</v>
      </c>
      <c r="AS86">
        <v>52</v>
      </c>
      <c r="AT86">
        <v>20</v>
      </c>
      <c r="AV86">
        <v>4</v>
      </c>
      <c r="AW86">
        <v>9</v>
      </c>
      <c r="AX86">
        <v>1000</v>
      </c>
      <c r="AY86">
        <v>2</v>
      </c>
      <c r="AZ86">
        <v>2</v>
      </c>
      <c r="BA86">
        <v>3</v>
      </c>
      <c r="BB86">
        <v>5</v>
      </c>
      <c r="BC86">
        <v>3</v>
      </c>
      <c r="BD86">
        <v>2</v>
      </c>
      <c r="BE86">
        <v>3</v>
      </c>
      <c r="BF86">
        <v>2</v>
      </c>
      <c r="BG86">
        <v>2</v>
      </c>
      <c r="BH86">
        <v>2</v>
      </c>
      <c r="BI86">
        <v>1</v>
      </c>
      <c r="BJ86">
        <v>3</v>
      </c>
      <c r="BK86">
        <v>2</v>
      </c>
      <c r="BL86">
        <v>160</v>
      </c>
      <c r="BM86">
        <v>17</v>
      </c>
      <c r="BN86">
        <v>148</v>
      </c>
      <c r="BO86">
        <v>67</v>
      </c>
      <c r="BP86">
        <v>22</v>
      </c>
      <c r="BQ86">
        <v>21</v>
      </c>
      <c r="BR86">
        <v>0</v>
      </c>
      <c r="BS86">
        <v>67</v>
      </c>
      <c r="BT86">
        <v>2</v>
      </c>
      <c r="BU86">
        <v>2</v>
      </c>
    </row>
    <row r="87" spans="1:73" x14ac:dyDescent="0.25">
      <c r="A87" s="17">
        <v>43140</v>
      </c>
      <c r="B87">
        <v>13</v>
      </c>
      <c r="C87">
        <v>11</v>
      </c>
      <c r="D87">
        <v>10</v>
      </c>
      <c r="E87">
        <v>3</v>
      </c>
      <c r="F87">
        <v>25</v>
      </c>
      <c r="G87">
        <v>6</v>
      </c>
      <c r="H87">
        <v>19</v>
      </c>
      <c r="I87">
        <v>10</v>
      </c>
      <c r="J87">
        <v>5</v>
      </c>
      <c r="K87">
        <v>5</v>
      </c>
      <c r="L87">
        <v>4</v>
      </c>
      <c r="M87">
        <v>7</v>
      </c>
      <c r="N87">
        <v>3</v>
      </c>
      <c r="O87">
        <v>1</v>
      </c>
      <c r="P87">
        <v>2</v>
      </c>
      <c r="Q87">
        <v>10</v>
      </c>
      <c r="R87">
        <v>12</v>
      </c>
      <c r="S87">
        <v>18</v>
      </c>
      <c r="T87">
        <v>8</v>
      </c>
      <c r="U87">
        <v>20</v>
      </c>
      <c r="V87">
        <v>3</v>
      </c>
      <c r="W87">
        <v>10</v>
      </c>
      <c r="X87">
        <v>13</v>
      </c>
      <c r="Y87">
        <v>5</v>
      </c>
      <c r="Z87">
        <v>1</v>
      </c>
      <c r="AA87">
        <v>4</v>
      </c>
      <c r="AB87">
        <v>3</v>
      </c>
      <c r="AC87">
        <v>2</v>
      </c>
      <c r="AD87">
        <v>3</v>
      </c>
      <c r="AE87">
        <v>3</v>
      </c>
      <c r="AF87">
        <v>2</v>
      </c>
      <c r="AG87">
        <v>1</v>
      </c>
      <c r="AH87">
        <v>2</v>
      </c>
      <c r="AI87">
        <v>8</v>
      </c>
      <c r="AJ87">
        <v>6</v>
      </c>
      <c r="AK87">
        <v>200</v>
      </c>
      <c r="AL87">
        <v>5100</v>
      </c>
      <c r="AM87">
        <v>600</v>
      </c>
      <c r="AN87" t="s">
        <v>46</v>
      </c>
      <c r="AO87" t="s">
        <v>46</v>
      </c>
      <c r="AS87">
        <v>52</v>
      </c>
      <c r="AT87">
        <v>20</v>
      </c>
      <c r="AV87">
        <v>4</v>
      </c>
      <c r="AW87">
        <v>9</v>
      </c>
      <c r="AX87">
        <v>4800</v>
      </c>
      <c r="AY87">
        <v>2</v>
      </c>
      <c r="AZ87">
        <v>2</v>
      </c>
      <c r="BA87">
        <v>3</v>
      </c>
      <c r="BB87">
        <v>4</v>
      </c>
      <c r="BC87">
        <v>2</v>
      </c>
      <c r="BD87">
        <v>2</v>
      </c>
      <c r="BE87">
        <v>3</v>
      </c>
      <c r="BF87">
        <v>2</v>
      </c>
      <c r="BG87">
        <v>2</v>
      </c>
      <c r="BH87">
        <v>2</v>
      </c>
      <c r="BI87">
        <v>1</v>
      </c>
      <c r="BJ87">
        <v>3</v>
      </c>
      <c r="BK87">
        <v>2</v>
      </c>
      <c r="BL87">
        <v>160</v>
      </c>
      <c r="BM87">
        <v>17</v>
      </c>
      <c r="BN87">
        <v>148</v>
      </c>
      <c r="BO87">
        <v>67</v>
      </c>
      <c r="BP87">
        <v>22</v>
      </c>
      <c r="BQ87">
        <v>21</v>
      </c>
      <c r="BR87">
        <v>0</v>
      </c>
      <c r="BS87">
        <v>67</v>
      </c>
      <c r="BT87">
        <v>2</v>
      </c>
      <c r="BU87">
        <v>2</v>
      </c>
    </row>
    <row r="88" spans="1:73" x14ac:dyDescent="0.25">
      <c r="A88" s="17">
        <v>43143</v>
      </c>
      <c r="B88">
        <v>13</v>
      </c>
      <c r="C88">
        <v>9</v>
      </c>
      <c r="D88">
        <v>10</v>
      </c>
      <c r="E88">
        <v>3</v>
      </c>
      <c r="F88">
        <v>25</v>
      </c>
      <c r="G88">
        <v>6</v>
      </c>
      <c r="H88">
        <v>19</v>
      </c>
      <c r="I88">
        <v>10</v>
      </c>
      <c r="J88">
        <v>5</v>
      </c>
      <c r="K88">
        <v>5</v>
      </c>
      <c r="L88">
        <v>4</v>
      </c>
      <c r="M88">
        <v>7</v>
      </c>
      <c r="N88">
        <v>3</v>
      </c>
      <c r="O88">
        <v>5</v>
      </c>
      <c r="P88">
        <v>2</v>
      </c>
      <c r="Q88">
        <v>9</v>
      </c>
      <c r="R88">
        <v>11</v>
      </c>
      <c r="S88">
        <v>18</v>
      </c>
      <c r="T88">
        <v>8</v>
      </c>
      <c r="U88">
        <v>19</v>
      </c>
      <c r="V88">
        <v>3</v>
      </c>
      <c r="W88">
        <v>10</v>
      </c>
      <c r="X88">
        <v>13</v>
      </c>
      <c r="Y88">
        <v>5</v>
      </c>
      <c r="Z88">
        <v>1</v>
      </c>
      <c r="AA88">
        <v>4</v>
      </c>
      <c r="AB88">
        <v>3</v>
      </c>
      <c r="AC88">
        <v>2</v>
      </c>
      <c r="AD88">
        <v>3</v>
      </c>
      <c r="AE88">
        <v>3</v>
      </c>
      <c r="AF88">
        <v>2</v>
      </c>
      <c r="AG88">
        <v>1</v>
      </c>
      <c r="AH88">
        <v>2</v>
      </c>
      <c r="AI88">
        <v>8</v>
      </c>
      <c r="AJ88">
        <v>6</v>
      </c>
      <c r="AK88">
        <v>200</v>
      </c>
      <c r="AL88">
        <v>5100</v>
      </c>
      <c r="AM88">
        <v>600</v>
      </c>
      <c r="AN88" t="s">
        <v>46</v>
      </c>
      <c r="AO88" t="s">
        <v>46</v>
      </c>
      <c r="AS88">
        <v>52</v>
      </c>
      <c r="AT88">
        <v>20</v>
      </c>
      <c r="AV88">
        <v>4</v>
      </c>
      <c r="AW88">
        <v>7</v>
      </c>
      <c r="AX88">
        <v>4800</v>
      </c>
      <c r="AY88">
        <v>2</v>
      </c>
      <c r="AZ88">
        <v>2</v>
      </c>
      <c r="BA88">
        <v>3</v>
      </c>
      <c r="BB88">
        <v>14</v>
      </c>
      <c r="BC88">
        <v>12</v>
      </c>
      <c r="BD88">
        <v>2</v>
      </c>
      <c r="BE88">
        <v>3</v>
      </c>
      <c r="BF88">
        <v>2</v>
      </c>
      <c r="BG88">
        <v>2</v>
      </c>
      <c r="BH88">
        <v>2</v>
      </c>
      <c r="BI88">
        <v>1</v>
      </c>
      <c r="BJ88">
        <v>3</v>
      </c>
      <c r="BK88">
        <v>2</v>
      </c>
      <c r="BL88">
        <v>158</v>
      </c>
      <c r="BM88">
        <v>17</v>
      </c>
      <c r="BN88">
        <v>148</v>
      </c>
      <c r="BO88">
        <v>66</v>
      </c>
      <c r="BP88">
        <v>22</v>
      </c>
      <c r="BQ88">
        <v>21</v>
      </c>
      <c r="BR88">
        <v>0</v>
      </c>
      <c r="BS88">
        <v>67</v>
      </c>
      <c r="BT88">
        <v>2</v>
      </c>
      <c r="BU88">
        <v>2</v>
      </c>
    </row>
    <row r="89" spans="1:73" x14ac:dyDescent="0.25">
      <c r="A89" s="17">
        <v>43145</v>
      </c>
      <c r="B89">
        <v>13</v>
      </c>
      <c r="C89">
        <v>9</v>
      </c>
      <c r="D89">
        <v>10</v>
      </c>
      <c r="E89">
        <v>3</v>
      </c>
      <c r="F89">
        <v>25</v>
      </c>
      <c r="G89">
        <v>6</v>
      </c>
      <c r="H89">
        <v>19</v>
      </c>
      <c r="I89">
        <v>8</v>
      </c>
      <c r="J89">
        <v>5</v>
      </c>
      <c r="K89">
        <v>5</v>
      </c>
      <c r="L89">
        <v>4</v>
      </c>
      <c r="M89">
        <v>7</v>
      </c>
      <c r="N89">
        <v>3</v>
      </c>
      <c r="O89">
        <v>5</v>
      </c>
      <c r="P89">
        <v>2</v>
      </c>
      <c r="Q89">
        <v>9</v>
      </c>
      <c r="R89">
        <v>11</v>
      </c>
      <c r="S89">
        <v>18</v>
      </c>
      <c r="T89">
        <v>8</v>
      </c>
      <c r="U89">
        <v>19</v>
      </c>
      <c r="V89">
        <v>3</v>
      </c>
      <c r="W89">
        <v>10</v>
      </c>
      <c r="X89">
        <v>12</v>
      </c>
      <c r="Y89">
        <v>5</v>
      </c>
      <c r="Z89">
        <v>1</v>
      </c>
      <c r="AA89">
        <v>4</v>
      </c>
      <c r="AB89">
        <v>3</v>
      </c>
      <c r="AC89">
        <v>2</v>
      </c>
      <c r="AD89">
        <v>2</v>
      </c>
      <c r="AE89">
        <v>2</v>
      </c>
      <c r="AF89">
        <v>2</v>
      </c>
      <c r="AG89">
        <v>1</v>
      </c>
      <c r="AH89">
        <v>2</v>
      </c>
      <c r="AI89">
        <v>8</v>
      </c>
      <c r="AJ89">
        <v>6</v>
      </c>
      <c r="AK89">
        <v>200</v>
      </c>
      <c r="AL89">
        <v>4700</v>
      </c>
      <c r="AM89">
        <v>600</v>
      </c>
      <c r="AN89" t="s">
        <v>46</v>
      </c>
      <c r="AO89" t="s">
        <v>46</v>
      </c>
      <c r="AS89">
        <v>52</v>
      </c>
      <c r="AT89">
        <v>20</v>
      </c>
      <c r="AV89">
        <v>4</v>
      </c>
      <c r="AW89">
        <v>7</v>
      </c>
      <c r="AX89">
        <v>4800</v>
      </c>
      <c r="AY89">
        <v>2</v>
      </c>
      <c r="AZ89">
        <v>2</v>
      </c>
      <c r="BA89">
        <v>3</v>
      </c>
      <c r="BB89">
        <v>14</v>
      </c>
      <c r="BC89">
        <v>12</v>
      </c>
      <c r="BD89">
        <v>2</v>
      </c>
      <c r="BE89">
        <v>3</v>
      </c>
      <c r="BF89">
        <v>2</v>
      </c>
      <c r="BG89">
        <v>2</v>
      </c>
      <c r="BH89">
        <v>2</v>
      </c>
      <c r="BI89">
        <v>1</v>
      </c>
      <c r="BJ89">
        <v>3</v>
      </c>
      <c r="BK89">
        <v>2</v>
      </c>
      <c r="BL89">
        <v>158</v>
      </c>
      <c r="BM89">
        <v>17</v>
      </c>
      <c r="BN89">
        <v>148</v>
      </c>
      <c r="BO89">
        <v>66</v>
      </c>
      <c r="BP89">
        <v>21</v>
      </c>
      <c r="BQ89">
        <v>21</v>
      </c>
      <c r="BR89">
        <v>0</v>
      </c>
      <c r="BS89">
        <v>67</v>
      </c>
      <c r="BT89">
        <v>1</v>
      </c>
      <c r="BU89">
        <v>2</v>
      </c>
    </row>
    <row r="90" spans="1:73" x14ac:dyDescent="0.25">
      <c r="A90" s="17">
        <v>43146</v>
      </c>
      <c r="B90">
        <v>13</v>
      </c>
      <c r="C90">
        <v>9</v>
      </c>
      <c r="D90">
        <v>10</v>
      </c>
      <c r="E90">
        <v>3</v>
      </c>
      <c r="F90">
        <v>25</v>
      </c>
      <c r="G90">
        <v>6</v>
      </c>
      <c r="H90">
        <v>19</v>
      </c>
      <c r="I90">
        <v>7</v>
      </c>
      <c r="J90">
        <v>4</v>
      </c>
      <c r="K90">
        <v>5</v>
      </c>
      <c r="L90">
        <v>4</v>
      </c>
      <c r="M90">
        <v>7</v>
      </c>
      <c r="N90">
        <v>3</v>
      </c>
      <c r="O90">
        <v>5</v>
      </c>
      <c r="P90">
        <v>2</v>
      </c>
      <c r="Q90">
        <v>9</v>
      </c>
      <c r="R90">
        <v>11</v>
      </c>
      <c r="S90">
        <v>18</v>
      </c>
      <c r="T90">
        <v>8</v>
      </c>
      <c r="U90">
        <v>19</v>
      </c>
      <c r="V90">
        <v>3</v>
      </c>
      <c r="W90">
        <v>10</v>
      </c>
      <c r="X90">
        <v>12</v>
      </c>
      <c r="Y90">
        <v>5</v>
      </c>
      <c r="Z90">
        <v>0</v>
      </c>
      <c r="AA90">
        <v>4</v>
      </c>
      <c r="AB90">
        <v>3</v>
      </c>
      <c r="AC90">
        <v>2</v>
      </c>
      <c r="AD90">
        <v>2</v>
      </c>
      <c r="AE90">
        <v>2</v>
      </c>
      <c r="AF90">
        <v>2</v>
      </c>
      <c r="AG90">
        <v>1</v>
      </c>
      <c r="AH90">
        <v>2</v>
      </c>
      <c r="AI90">
        <v>8</v>
      </c>
      <c r="AJ90">
        <v>6</v>
      </c>
      <c r="AK90">
        <v>200</v>
      </c>
      <c r="AL90">
        <v>4700</v>
      </c>
      <c r="AM90">
        <v>500</v>
      </c>
      <c r="AN90" t="s">
        <v>46</v>
      </c>
      <c r="AO90" t="s">
        <v>46</v>
      </c>
      <c r="AS90">
        <v>52</v>
      </c>
      <c r="AT90">
        <v>20</v>
      </c>
      <c r="AV90">
        <v>4</v>
      </c>
      <c r="AW90">
        <v>7</v>
      </c>
      <c r="AX90">
        <v>4800</v>
      </c>
      <c r="AY90">
        <v>2</v>
      </c>
      <c r="AZ90">
        <v>2</v>
      </c>
      <c r="BA90">
        <v>3</v>
      </c>
      <c r="BB90">
        <v>14</v>
      </c>
      <c r="BC90">
        <v>12</v>
      </c>
      <c r="BD90">
        <v>2</v>
      </c>
      <c r="BE90">
        <v>3</v>
      </c>
      <c r="BF90">
        <v>2</v>
      </c>
      <c r="BG90">
        <v>2</v>
      </c>
      <c r="BH90">
        <v>2</v>
      </c>
      <c r="BI90">
        <v>1</v>
      </c>
      <c r="BJ90">
        <v>3</v>
      </c>
      <c r="BK90">
        <v>2</v>
      </c>
      <c r="BL90">
        <v>158</v>
      </c>
      <c r="BM90">
        <v>17</v>
      </c>
      <c r="BN90">
        <v>148</v>
      </c>
      <c r="BO90">
        <v>66</v>
      </c>
      <c r="BP90">
        <v>21</v>
      </c>
      <c r="BQ90">
        <v>21</v>
      </c>
      <c r="BR90">
        <v>0</v>
      </c>
      <c r="BS90">
        <v>67</v>
      </c>
      <c r="BT90">
        <v>1</v>
      </c>
      <c r="BU90">
        <v>2</v>
      </c>
    </row>
    <row r="91" spans="1:73" x14ac:dyDescent="0.25">
      <c r="A91" s="17">
        <v>43150</v>
      </c>
      <c r="B91">
        <v>13</v>
      </c>
      <c r="C91">
        <v>8</v>
      </c>
      <c r="D91">
        <v>10</v>
      </c>
      <c r="E91">
        <v>2</v>
      </c>
      <c r="F91">
        <v>25</v>
      </c>
      <c r="G91">
        <v>6</v>
      </c>
      <c r="H91">
        <v>18</v>
      </c>
      <c r="I91">
        <v>7</v>
      </c>
      <c r="J91">
        <v>4</v>
      </c>
      <c r="K91">
        <v>5</v>
      </c>
      <c r="L91">
        <v>3</v>
      </c>
      <c r="M91">
        <v>7</v>
      </c>
      <c r="N91">
        <v>3</v>
      </c>
      <c r="O91">
        <v>5</v>
      </c>
      <c r="P91">
        <v>1</v>
      </c>
      <c r="Q91">
        <v>9</v>
      </c>
      <c r="R91">
        <v>10</v>
      </c>
      <c r="S91">
        <v>18</v>
      </c>
      <c r="T91">
        <v>8</v>
      </c>
      <c r="U91">
        <v>19</v>
      </c>
      <c r="V91">
        <v>3</v>
      </c>
      <c r="W91">
        <v>10</v>
      </c>
      <c r="X91">
        <v>12</v>
      </c>
      <c r="Y91">
        <v>5</v>
      </c>
      <c r="Z91">
        <v>0</v>
      </c>
      <c r="AA91">
        <v>4</v>
      </c>
      <c r="AB91">
        <v>3</v>
      </c>
      <c r="AC91">
        <v>2</v>
      </c>
      <c r="AD91">
        <v>2</v>
      </c>
      <c r="AE91">
        <v>2</v>
      </c>
      <c r="AF91">
        <v>2</v>
      </c>
      <c r="AG91">
        <v>1</v>
      </c>
      <c r="AH91">
        <v>1</v>
      </c>
      <c r="AI91">
        <v>8</v>
      </c>
      <c r="AJ91">
        <v>5</v>
      </c>
      <c r="AK91">
        <v>200</v>
      </c>
      <c r="AL91">
        <v>4250</v>
      </c>
      <c r="AM91">
        <v>425</v>
      </c>
      <c r="AN91" t="s">
        <v>46</v>
      </c>
      <c r="AO91" t="s">
        <v>46</v>
      </c>
      <c r="AS91">
        <v>52</v>
      </c>
      <c r="AT91">
        <v>20</v>
      </c>
      <c r="AV91">
        <v>4</v>
      </c>
      <c r="AW91">
        <v>7</v>
      </c>
      <c r="AX91">
        <v>4300</v>
      </c>
      <c r="AY91">
        <v>2</v>
      </c>
      <c r="AZ91">
        <v>2</v>
      </c>
      <c r="BA91">
        <v>3</v>
      </c>
      <c r="BB91">
        <v>13</v>
      </c>
      <c r="BC91">
        <v>11</v>
      </c>
      <c r="BD91">
        <v>2</v>
      </c>
      <c r="BE91">
        <v>3</v>
      </c>
      <c r="BF91">
        <v>2</v>
      </c>
      <c r="BG91">
        <v>2</v>
      </c>
      <c r="BH91">
        <v>2</v>
      </c>
      <c r="BI91">
        <v>1</v>
      </c>
      <c r="BJ91">
        <v>3</v>
      </c>
      <c r="BK91">
        <v>2</v>
      </c>
      <c r="BL91">
        <v>157</v>
      </c>
      <c r="BM91">
        <v>17</v>
      </c>
      <c r="BN91">
        <v>147</v>
      </c>
      <c r="BO91">
        <v>64</v>
      </c>
      <c r="BP91">
        <v>21</v>
      </c>
      <c r="BQ91">
        <v>21</v>
      </c>
      <c r="BR91">
        <v>0</v>
      </c>
      <c r="BS91">
        <v>67</v>
      </c>
      <c r="BT91">
        <v>1</v>
      </c>
      <c r="BU91">
        <v>2</v>
      </c>
    </row>
    <row r="92" spans="1:73" x14ac:dyDescent="0.25">
      <c r="A92" s="17">
        <v>43153</v>
      </c>
      <c r="B92">
        <v>13</v>
      </c>
      <c r="C92">
        <v>7</v>
      </c>
      <c r="D92">
        <v>10</v>
      </c>
      <c r="E92">
        <v>2</v>
      </c>
      <c r="F92">
        <v>25</v>
      </c>
      <c r="G92">
        <v>6</v>
      </c>
      <c r="H92">
        <v>18</v>
      </c>
      <c r="I92">
        <v>7</v>
      </c>
      <c r="J92">
        <v>8</v>
      </c>
      <c r="K92">
        <v>5</v>
      </c>
      <c r="L92">
        <v>3</v>
      </c>
      <c r="M92">
        <v>6</v>
      </c>
      <c r="N92">
        <v>3</v>
      </c>
      <c r="O92">
        <v>4</v>
      </c>
      <c r="P92">
        <v>5</v>
      </c>
      <c r="Q92">
        <v>8</v>
      </c>
      <c r="R92">
        <v>10</v>
      </c>
      <c r="S92">
        <v>18</v>
      </c>
      <c r="T92">
        <v>8</v>
      </c>
      <c r="U92">
        <v>19</v>
      </c>
      <c r="V92">
        <v>3</v>
      </c>
      <c r="W92">
        <v>10</v>
      </c>
      <c r="X92">
        <v>12</v>
      </c>
      <c r="Y92">
        <v>5</v>
      </c>
      <c r="Z92">
        <v>21</v>
      </c>
      <c r="AA92">
        <v>4</v>
      </c>
      <c r="AB92">
        <v>3</v>
      </c>
      <c r="AC92">
        <v>2</v>
      </c>
      <c r="AD92">
        <v>1</v>
      </c>
      <c r="AE92">
        <v>2</v>
      </c>
      <c r="AF92">
        <v>4</v>
      </c>
      <c r="AG92">
        <v>3</v>
      </c>
      <c r="AH92">
        <v>1</v>
      </c>
      <c r="AI92">
        <v>8</v>
      </c>
      <c r="AJ92">
        <v>9</v>
      </c>
      <c r="AK92">
        <v>200</v>
      </c>
      <c r="AL92">
        <v>4100</v>
      </c>
      <c r="AM92">
        <v>600</v>
      </c>
      <c r="AN92" t="s">
        <v>46</v>
      </c>
      <c r="AO92" t="s">
        <v>46</v>
      </c>
      <c r="AQ92">
        <v>1</v>
      </c>
      <c r="AS92">
        <v>52</v>
      </c>
      <c r="AT92">
        <v>20</v>
      </c>
      <c r="AV92">
        <v>4</v>
      </c>
      <c r="AW92">
        <v>15</v>
      </c>
      <c r="AX92">
        <v>4100</v>
      </c>
      <c r="AY92">
        <v>2</v>
      </c>
      <c r="AZ92">
        <v>2</v>
      </c>
      <c r="BA92">
        <v>3</v>
      </c>
      <c r="BB92">
        <v>13</v>
      </c>
      <c r="BC92">
        <v>11</v>
      </c>
      <c r="BD92">
        <v>2</v>
      </c>
      <c r="BE92">
        <v>3</v>
      </c>
      <c r="BF92">
        <v>1</v>
      </c>
      <c r="BG92">
        <v>2</v>
      </c>
      <c r="BH92">
        <v>2</v>
      </c>
      <c r="BI92">
        <v>1</v>
      </c>
      <c r="BJ92">
        <v>3</v>
      </c>
      <c r="BK92">
        <v>2</v>
      </c>
      <c r="BL92">
        <v>157</v>
      </c>
      <c r="BM92">
        <v>17</v>
      </c>
      <c r="BN92">
        <v>147</v>
      </c>
      <c r="BO92">
        <v>64</v>
      </c>
      <c r="BP92">
        <v>21</v>
      </c>
      <c r="BQ92">
        <v>21</v>
      </c>
      <c r="BR92">
        <v>0</v>
      </c>
      <c r="BS92">
        <v>66</v>
      </c>
      <c r="BT92">
        <v>3</v>
      </c>
      <c r="BU92">
        <v>2</v>
      </c>
    </row>
    <row r="93" spans="1:73" x14ac:dyDescent="0.25">
      <c r="A93" s="17">
        <v>43157</v>
      </c>
      <c r="B93">
        <v>13</v>
      </c>
      <c r="C93">
        <v>6</v>
      </c>
      <c r="D93">
        <v>9</v>
      </c>
      <c r="E93">
        <v>2</v>
      </c>
      <c r="F93">
        <v>25</v>
      </c>
      <c r="G93">
        <v>5</v>
      </c>
      <c r="H93">
        <v>18</v>
      </c>
      <c r="I93">
        <v>6</v>
      </c>
      <c r="J93">
        <v>7</v>
      </c>
      <c r="K93">
        <v>4</v>
      </c>
      <c r="L93">
        <v>3</v>
      </c>
      <c r="M93">
        <v>6</v>
      </c>
      <c r="N93">
        <v>3</v>
      </c>
      <c r="O93">
        <v>4</v>
      </c>
      <c r="P93">
        <v>5</v>
      </c>
      <c r="Q93">
        <v>8</v>
      </c>
      <c r="R93">
        <v>9</v>
      </c>
      <c r="S93">
        <v>17</v>
      </c>
      <c r="T93">
        <v>8</v>
      </c>
      <c r="U93">
        <v>19</v>
      </c>
      <c r="V93">
        <v>3</v>
      </c>
      <c r="W93">
        <v>10</v>
      </c>
      <c r="X93">
        <v>12</v>
      </c>
      <c r="Y93">
        <v>5</v>
      </c>
      <c r="Z93">
        <v>21</v>
      </c>
      <c r="AA93">
        <v>4</v>
      </c>
      <c r="AB93">
        <v>2</v>
      </c>
      <c r="AC93">
        <v>2</v>
      </c>
      <c r="AD93">
        <v>1</v>
      </c>
      <c r="AE93">
        <v>2</v>
      </c>
      <c r="AF93">
        <v>3</v>
      </c>
      <c r="AG93">
        <v>2</v>
      </c>
      <c r="AH93">
        <v>1</v>
      </c>
      <c r="AI93">
        <v>7</v>
      </c>
      <c r="AJ93">
        <v>9</v>
      </c>
      <c r="AK93">
        <v>200</v>
      </c>
      <c r="AL93">
        <v>3900</v>
      </c>
      <c r="AM93">
        <v>600</v>
      </c>
      <c r="AN93" t="s">
        <v>46</v>
      </c>
      <c r="AO93" t="s">
        <v>46</v>
      </c>
      <c r="AQ93">
        <v>1</v>
      </c>
      <c r="AS93">
        <v>52</v>
      </c>
      <c r="AT93">
        <v>20</v>
      </c>
      <c r="AV93">
        <v>4</v>
      </c>
      <c r="AW93">
        <v>15</v>
      </c>
      <c r="AX93">
        <v>4100</v>
      </c>
      <c r="AY93">
        <v>2</v>
      </c>
      <c r="AZ93">
        <v>2</v>
      </c>
      <c r="BA93">
        <v>3</v>
      </c>
      <c r="BB93">
        <v>13</v>
      </c>
      <c r="BC93">
        <v>11</v>
      </c>
      <c r="BD93">
        <v>1</v>
      </c>
      <c r="BE93">
        <v>3</v>
      </c>
      <c r="BF93">
        <v>1</v>
      </c>
      <c r="BG93">
        <v>2</v>
      </c>
      <c r="BH93">
        <v>2</v>
      </c>
      <c r="BI93">
        <v>1</v>
      </c>
      <c r="BJ93">
        <v>3</v>
      </c>
      <c r="BK93">
        <v>2</v>
      </c>
      <c r="BL93">
        <v>157</v>
      </c>
      <c r="BM93">
        <v>16</v>
      </c>
      <c r="BN93">
        <v>145</v>
      </c>
      <c r="BO93">
        <v>63</v>
      </c>
      <c r="BP93">
        <v>20</v>
      </c>
      <c r="BQ93">
        <v>20</v>
      </c>
      <c r="BR93">
        <v>0</v>
      </c>
      <c r="BS93">
        <v>66</v>
      </c>
      <c r="BT93">
        <v>3</v>
      </c>
      <c r="BU93">
        <v>2</v>
      </c>
    </row>
    <row r="94" spans="1:73" x14ac:dyDescent="0.25">
      <c r="A94" s="17">
        <v>43159</v>
      </c>
      <c r="B94">
        <v>13</v>
      </c>
      <c r="C94">
        <v>6</v>
      </c>
      <c r="D94">
        <v>9</v>
      </c>
      <c r="E94">
        <v>2</v>
      </c>
      <c r="F94">
        <v>24</v>
      </c>
      <c r="G94">
        <v>5</v>
      </c>
      <c r="H94">
        <v>18</v>
      </c>
      <c r="I94">
        <v>6</v>
      </c>
      <c r="J94">
        <v>7</v>
      </c>
      <c r="K94">
        <v>4</v>
      </c>
      <c r="L94">
        <v>3</v>
      </c>
      <c r="M94">
        <v>6</v>
      </c>
      <c r="N94">
        <v>3</v>
      </c>
      <c r="O94">
        <v>4</v>
      </c>
      <c r="P94">
        <v>5</v>
      </c>
      <c r="Q94">
        <v>8</v>
      </c>
      <c r="R94">
        <v>9</v>
      </c>
      <c r="S94">
        <v>17</v>
      </c>
      <c r="T94">
        <v>8</v>
      </c>
      <c r="U94">
        <v>19</v>
      </c>
      <c r="V94">
        <v>2</v>
      </c>
      <c r="W94">
        <v>10</v>
      </c>
      <c r="X94">
        <v>11</v>
      </c>
      <c r="Y94">
        <v>5</v>
      </c>
      <c r="Z94">
        <v>20</v>
      </c>
      <c r="AA94">
        <v>4</v>
      </c>
      <c r="AB94">
        <v>2</v>
      </c>
      <c r="AC94">
        <v>1</v>
      </c>
      <c r="AD94">
        <v>1</v>
      </c>
      <c r="AE94">
        <v>2</v>
      </c>
      <c r="AF94">
        <v>3</v>
      </c>
      <c r="AG94">
        <v>2</v>
      </c>
      <c r="AH94">
        <v>1</v>
      </c>
      <c r="AI94">
        <v>7</v>
      </c>
      <c r="AJ94">
        <v>9</v>
      </c>
      <c r="AK94">
        <v>200</v>
      </c>
      <c r="AL94">
        <v>3900</v>
      </c>
      <c r="AM94">
        <v>600</v>
      </c>
      <c r="AN94" t="s">
        <v>46</v>
      </c>
      <c r="AO94" t="s">
        <v>46</v>
      </c>
      <c r="AQ94">
        <v>1</v>
      </c>
      <c r="AS94">
        <v>52</v>
      </c>
      <c r="AT94">
        <v>20</v>
      </c>
      <c r="AV94">
        <v>4</v>
      </c>
      <c r="AW94">
        <v>15</v>
      </c>
      <c r="AX94">
        <v>4100</v>
      </c>
      <c r="AY94">
        <v>2</v>
      </c>
      <c r="AZ94">
        <v>2</v>
      </c>
      <c r="BA94">
        <v>3</v>
      </c>
      <c r="BB94">
        <v>13</v>
      </c>
      <c r="BC94">
        <v>11</v>
      </c>
      <c r="BD94">
        <v>1</v>
      </c>
      <c r="BE94">
        <v>3</v>
      </c>
      <c r="BF94">
        <v>1</v>
      </c>
      <c r="BG94">
        <v>2</v>
      </c>
      <c r="BH94">
        <v>2</v>
      </c>
      <c r="BI94">
        <v>1</v>
      </c>
      <c r="BJ94">
        <v>3</v>
      </c>
      <c r="BK94">
        <v>2</v>
      </c>
      <c r="BL94">
        <v>157</v>
      </c>
      <c r="BM94">
        <v>16</v>
      </c>
      <c r="BN94">
        <v>145</v>
      </c>
      <c r="BO94">
        <v>63</v>
      </c>
      <c r="BP94">
        <v>20</v>
      </c>
      <c r="BQ94">
        <v>20</v>
      </c>
      <c r="BR94">
        <v>0</v>
      </c>
      <c r="BS94">
        <v>66</v>
      </c>
      <c r="BT94">
        <v>3</v>
      </c>
      <c r="BU94">
        <v>2</v>
      </c>
    </row>
    <row r="95" spans="1:73" x14ac:dyDescent="0.25">
      <c r="A95" s="17">
        <v>43161</v>
      </c>
      <c r="B95">
        <v>13</v>
      </c>
      <c r="C95">
        <v>5</v>
      </c>
      <c r="D95">
        <v>9</v>
      </c>
      <c r="E95">
        <v>2</v>
      </c>
      <c r="F95">
        <v>24</v>
      </c>
      <c r="G95">
        <v>5</v>
      </c>
      <c r="H95">
        <v>18</v>
      </c>
      <c r="I95">
        <v>6</v>
      </c>
      <c r="J95">
        <v>7</v>
      </c>
      <c r="K95">
        <v>4</v>
      </c>
      <c r="L95">
        <v>3</v>
      </c>
      <c r="M95">
        <v>6</v>
      </c>
      <c r="N95">
        <v>3</v>
      </c>
      <c r="O95">
        <v>4</v>
      </c>
      <c r="P95">
        <v>5</v>
      </c>
      <c r="Q95">
        <v>7</v>
      </c>
      <c r="R95">
        <v>9</v>
      </c>
      <c r="S95">
        <v>17</v>
      </c>
      <c r="T95">
        <v>8</v>
      </c>
      <c r="U95">
        <v>19</v>
      </c>
      <c r="V95">
        <v>2</v>
      </c>
      <c r="W95">
        <v>10</v>
      </c>
      <c r="X95">
        <v>11</v>
      </c>
      <c r="Y95">
        <v>5</v>
      </c>
      <c r="Z95">
        <v>20</v>
      </c>
      <c r="AA95">
        <v>4</v>
      </c>
      <c r="AB95">
        <v>2</v>
      </c>
      <c r="AC95">
        <v>1</v>
      </c>
      <c r="AD95">
        <v>1</v>
      </c>
      <c r="AE95">
        <v>2</v>
      </c>
      <c r="AF95">
        <v>3</v>
      </c>
      <c r="AG95">
        <v>2</v>
      </c>
      <c r="AH95">
        <v>1</v>
      </c>
      <c r="AI95">
        <v>7</v>
      </c>
      <c r="AJ95">
        <v>9</v>
      </c>
      <c r="AK95">
        <v>200</v>
      </c>
      <c r="AL95">
        <v>3700</v>
      </c>
      <c r="AM95">
        <v>600</v>
      </c>
      <c r="AN95" t="s">
        <v>46</v>
      </c>
      <c r="AO95" t="s">
        <v>46</v>
      </c>
      <c r="AQ95">
        <v>1</v>
      </c>
      <c r="AS95">
        <v>52</v>
      </c>
      <c r="AT95">
        <v>20</v>
      </c>
      <c r="AV95">
        <v>4</v>
      </c>
      <c r="AW95">
        <v>15</v>
      </c>
      <c r="AX95">
        <v>3850</v>
      </c>
      <c r="AY95">
        <v>2</v>
      </c>
      <c r="AZ95">
        <v>2</v>
      </c>
      <c r="BA95">
        <v>2</v>
      </c>
      <c r="BB95">
        <v>12</v>
      </c>
      <c r="BC95">
        <v>10</v>
      </c>
      <c r="BD95">
        <v>1</v>
      </c>
      <c r="BE95">
        <v>3</v>
      </c>
      <c r="BF95">
        <v>1</v>
      </c>
      <c r="BG95">
        <v>2</v>
      </c>
      <c r="BH95">
        <v>2</v>
      </c>
      <c r="BI95">
        <v>1</v>
      </c>
      <c r="BJ95">
        <v>3</v>
      </c>
      <c r="BK95">
        <v>2</v>
      </c>
      <c r="BL95">
        <v>157</v>
      </c>
      <c r="BM95">
        <v>15</v>
      </c>
      <c r="BN95">
        <v>144</v>
      </c>
      <c r="BO95">
        <v>62</v>
      </c>
      <c r="BP95">
        <v>20</v>
      </c>
      <c r="BQ95">
        <v>20</v>
      </c>
      <c r="BR95">
        <v>0</v>
      </c>
      <c r="BS95">
        <v>65</v>
      </c>
      <c r="BT95">
        <v>3</v>
      </c>
      <c r="BU95">
        <v>2</v>
      </c>
    </row>
    <row r="96" spans="1:73" x14ac:dyDescent="0.25">
      <c r="A96" s="17">
        <v>43164</v>
      </c>
      <c r="B96">
        <v>13</v>
      </c>
      <c r="C96">
        <v>5</v>
      </c>
      <c r="D96">
        <v>9</v>
      </c>
      <c r="E96">
        <v>1</v>
      </c>
      <c r="F96">
        <v>24</v>
      </c>
      <c r="G96">
        <v>5</v>
      </c>
      <c r="H96">
        <v>18</v>
      </c>
      <c r="I96">
        <v>5</v>
      </c>
      <c r="J96">
        <v>7</v>
      </c>
      <c r="K96">
        <v>4</v>
      </c>
      <c r="L96">
        <v>3</v>
      </c>
      <c r="M96">
        <v>6</v>
      </c>
      <c r="N96">
        <v>3</v>
      </c>
      <c r="O96">
        <v>4</v>
      </c>
      <c r="P96">
        <v>5</v>
      </c>
      <c r="Q96">
        <v>7</v>
      </c>
      <c r="R96">
        <v>9</v>
      </c>
      <c r="S96">
        <v>17</v>
      </c>
      <c r="T96">
        <v>7</v>
      </c>
      <c r="U96">
        <v>19</v>
      </c>
      <c r="V96">
        <v>2</v>
      </c>
      <c r="W96">
        <v>10</v>
      </c>
      <c r="X96">
        <v>11</v>
      </c>
      <c r="Y96">
        <v>5</v>
      </c>
      <c r="Z96">
        <v>20</v>
      </c>
      <c r="AA96">
        <v>3</v>
      </c>
      <c r="AB96">
        <v>2</v>
      </c>
      <c r="AC96">
        <v>1</v>
      </c>
      <c r="AD96">
        <v>1</v>
      </c>
      <c r="AE96">
        <v>2</v>
      </c>
      <c r="AF96">
        <v>3</v>
      </c>
      <c r="AG96">
        <v>2</v>
      </c>
      <c r="AH96">
        <v>1</v>
      </c>
      <c r="AI96">
        <v>7</v>
      </c>
      <c r="AJ96">
        <v>9</v>
      </c>
      <c r="AK96">
        <v>200</v>
      </c>
      <c r="AL96">
        <v>3650</v>
      </c>
      <c r="AM96">
        <v>600</v>
      </c>
      <c r="AN96" t="s">
        <v>46</v>
      </c>
      <c r="AO96" t="s">
        <v>46</v>
      </c>
      <c r="AQ96">
        <v>1</v>
      </c>
      <c r="AS96">
        <v>52</v>
      </c>
      <c r="AT96">
        <v>20</v>
      </c>
      <c r="AV96">
        <v>4</v>
      </c>
      <c r="AW96">
        <v>15</v>
      </c>
      <c r="AX96">
        <v>3580</v>
      </c>
      <c r="AY96">
        <v>2</v>
      </c>
      <c r="AZ96">
        <v>2</v>
      </c>
      <c r="BA96">
        <v>2</v>
      </c>
      <c r="BB96">
        <v>12</v>
      </c>
      <c r="BC96">
        <v>10</v>
      </c>
      <c r="BD96">
        <v>1</v>
      </c>
      <c r="BE96">
        <v>3</v>
      </c>
      <c r="BF96">
        <v>1</v>
      </c>
      <c r="BG96">
        <v>2</v>
      </c>
      <c r="BH96">
        <v>2</v>
      </c>
      <c r="BI96">
        <v>1</v>
      </c>
      <c r="BJ96">
        <v>3</v>
      </c>
      <c r="BK96">
        <v>2</v>
      </c>
      <c r="BL96">
        <v>157</v>
      </c>
      <c r="BM96">
        <v>15</v>
      </c>
      <c r="BN96">
        <v>144</v>
      </c>
      <c r="BO96">
        <v>62</v>
      </c>
      <c r="BP96">
        <v>20</v>
      </c>
      <c r="BQ96">
        <v>20</v>
      </c>
      <c r="BR96">
        <v>0</v>
      </c>
      <c r="BS96">
        <v>65</v>
      </c>
      <c r="BT96">
        <v>3</v>
      </c>
      <c r="BU96">
        <v>2</v>
      </c>
    </row>
    <row r="97" spans="1:73" x14ac:dyDescent="0.25">
      <c r="A97" s="17">
        <v>43166</v>
      </c>
      <c r="B97">
        <v>33</v>
      </c>
      <c r="C97">
        <v>4</v>
      </c>
      <c r="D97">
        <v>9</v>
      </c>
      <c r="E97">
        <v>11</v>
      </c>
      <c r="F97">
        <v>24</v>
      </c>
      <c r="G97">
        <v>25</v>
      </c>
      <c r="H97">
        <v>17</v>
      </c>
      <c r="I97">
        <v>5</v>
      </c>
      <c r="J97">
        <v>7</v>
      </c>
      <c r="K97">
        <v>4</v>
      </c>
      <c r="L97">
        <v>3</v>
      </c>
      <c r="M97">
        <v>6</v>
      </c>
      <c r="N97">
        <v>3</v>
      </c>
      <c r="O97">
        <v>4</v>
      </c>
      <c r="P97">
        <v>4</v>
      </c>
      <c r="Q97">
        <v>7</v>
      </c>
      <c r="R97">
        <v>9</v>
      </c>
      <c r="S97">
        <v>17</v>
      </c>
      <c r="T97">
        <v>7</v>
      </c>
      <c r="U97">
        <v>19</v>
      </c>
      <c r="V97">
        <v>2</v>
      </c>
      <c r="W97">
        <v>10</v>
      </c>
      <c r="X97">
        <v>11</v>
      </c>
      <c r="Y97">
        <v>5</v>
      </c>
      <c r="Z97">
        <v>20</v>
      </c>
      <c r="AA97">
        <v>3</v>
      </c>
      <c r="AB97">
        <v>2</v>
      </c>
      <c r="AC97">
        <v>1</v>
      </c>
      <c r="AD97">
        <v>1</v>
      </c>
      <c r="AE97">
        <v>2</v>
      </c>
      <c r="AF97">
        <v>3</v>
      </c>
      <c r="AG97">
        <v>2</v>
      </c>
      <c r="AH97">
        <v>1</v>
      </c>
      <c r="AI97">
        <v>7</v>
      </c>
      <c r="AJ97">
        <v>9</v>
      </c>
      <c r="AK97">
        <v>200</v>
      </c>
      <c r="AL97">
        <v>3450</v>
      </c>
      <c r="AM97">
        <v>600</v>
      </c>
      <c r="AN97" t="s">
        <v>46</v>
      </c>
      <c r="AO97" t="s">
        <v>46</v>
      </c>
      <c r="AQ97">
        <v>1</v>
      </c>
      <c r="AS97">
        <v>52</v>
      </c>
      <c r="AT97">
        <v>20</v>
      </c>
      <c r="AV97">
        <v>4</v>
      </c>
      <c r="AW97">
        <v>15</v>
      </c>
      <c r="AX97">
        <v>3580</v>
      </c>
      <c r="AY97">
        <v>2</v>
      </c>
      <c r="AZ97">
        <v>2</v>
      </c>
      <c r="BA97">
        <v>2</v>
      </c>
      <c r="BB97">
        <v>11</v>
      </c>
      <c r="BC97">
        <v>9</v>
      </c>
      <c r="BD97">
        <v>1</v>
      </c>
      <c r="BE97">
        <v>3</v>
      </c>
      <c r="BF97">
        <v>1</v>
      </c>
      <c r="BG97">
        <v>2</v>
      </c>
      <c r="BH97">
        <v>2</v>
      </c>
      <c r="BI97">
        <v>1</v>
      </c>
      <c r="BJ97">
        <v>3</v>
      </c>
      <c r="BK97">
        <v>2</v>
      </c>
      <c r="BL97">
        <v>157</v>
      </c>
      <c r="BM97">
        <v>15</v>
      </c>
      <c r="BN97">
        <v>144</v>
      </c>
      <c r="BO97">
        <v>62</v>
      </c>
      <c r="BP97">
        <v>20</v>
      </c>
      <c r="BQ97">
        <v>20</v>
      </c>
      <c r="BR97">
        <v>0</v>
      </c>
      <c r="BS97">
        <v>65</v>
      </c>
      <c r="BT97">
        <v>3</v>
      </c>
      <c r="BU97">
        <v>2</v>
      </c>
    </row>
    <row r="98" spans="1:73" x14ac:dyDescent="0.25">
      <c r="A98" s="17">
        <v>43168</v>
      </c>
      <c r="B98">
        <v>33</v>
      </c>
      <c r="C98">
        <v>14</v>
      </c>
      <c r="D98">
        <v>9</v>
      </c>
      <c r="E98">
        <v>11</v>
      </c>
      <c r="F98">
        <v>24</v>
      </c>
      <c r="G98">
        <v>25</v>
      </c>
      <c r="H98">
        <v>17</v>
      </c>
      <c r="I98">
        <v>5</v>
      </c>
      <c r="J98">
        <v>7</v>
      </c>
      <c r="K98">
        <v>4</v>
      </c>
      <c r="L98">
        <v>3</v>
      </c>
      <c r="M98">
        <v>6</v>
      </c>
      <c r="N98">
        <v>3</v>
      </c>
      <c r="O98">
        <v>4</v>
      </c>
      <c r="P98">
        <v>4</v>
      </c>
      <c r="Q98">
        <v>7</v>
      </c>
      <c r="R98">
        <v>9</v>
      </c>
      <c r="S98">
        <v>17</v>
      </c>
      <c r="T98">
        <v>19</v>
      </c>
      <c r="U98">
        <v>19</v>
      </c>
      <c r="V98">
        <v>2</v>
      </c>
      <c r="W98">
        <v>10</v>
      </c>
      <c r="X98">
        <v>11</v>
      </c>
      <c r="Y98">
        <v>5</v>
      </c>
      <c r="Z98">
        <v>20</v>
      </c>
      <c r="AA98">
        <v>3</v>
      </c>
      <c r="AB98">
        <v>2</v>
      </c>
      <c r="AC98">
        <v>3</v>
      </c>
      <c r="AD98">
        <v>1</v>
      </c>
      <c r="AE98">
        <v>1</v>
      </c>
      <c r="AF98">
        <v>3</v>
      </c>
      <c r="AG98">
        <v>2</v>
      </c>
      <c r="AH98">
        <v>2</v>
      </c>
      <c r="AI98">
        <v>7</v>
      </c>
      <c r="AJ98">
        <v>9</v>
      </c>
      <c r="AK98">
        <v>200</v>
      </c>
      <c r="AL98">
        <v>3450</v>
      </c>
      <c r="AM98">
        <v>600</v>
      </c>
      <c r="AN98" t="s">
        <v>46</v>
      </c>
      <c r="AO98" t="s">
        <v>46</v>
      </c>
      <c r="AQ98">
        <v>1</v>
      </c>
      <c r="AS98">
        <v>52</v>
      </c>
      <c r="AT98">
        <v>20</v>
      </c>
      <c r="AV98">
        <v>3</v>
      </c>
      <c r="AW98">
        <v>15</v>
      </c>
      <c r="AX98">
        <v>3480</v>
      </c>
      <c r="AY98">
        <v>2</v>
      </c>
      <c r="AZ98">
        <v>2</v>
      </c>
      <c r="BA98">
        <v>2</v>
      </c>
      <c r="BB98">
        <v>11</v>
      </c>
      <c r="BC98">
        <v>9</v>
      </c>
      <c r="BD98">
        <v>1</v>
      </c>
      <c r="BE98">
        <v>3</v>
      </c>
      <c r="BF98">
        <v>1</v>
      </c>
      <c r="BG98">
        <v>2</v>
      </c>
      <c r="BH98">
        <v>2</v>
      </c>
      <c r="BI98">
        <v>1</v>
      </c>
      <c r="BJ98">
        <v>3</v>
      </c>
      <c r="BK98">
        <v>2</v>
      </c>
      <c r="BL98">
        <v>157</v>
      </c>
      <c r="BM98">
        <v>15</v>
      </c>
      <c r="BN98">
        <v>144</v>
      </c>
      <c r="BO98">
        <v>62</v>
      </c>
      <c r="BP98">
        <v>20</v>
      </c>
      <c r="BQ98">
        <v>20</v>
      </c>
      <c r="BR98">
        <v>0</v>
      </c>
      <c r="BS98">
        <v>65</v>
      </c>
      <c r="BT98">
        <v>3</v>
      </c>
      <c r="BU98">
        <v>2</v>
      </c>
    </row>
    <row r="99" spans="1:73" x14ac:dyDescent="0.25">
      <c r="A99" s="17">
        <v>43171</v>
      </c>
      <c r="B99">
        <v>33</v>
      </c>
      <c r="C99">
        <v>13</v>
      </c>
      <c r="D99">
        <v>8</v>
      </c>
      <c r="E99">
        <v>11</v>
      </c>
      <c r="F99">
        <v>24</v>
      </c>
      <c r="G99">
        <v>25</v>
      </c>
      <c r="H99">
        <v>17</v>
      </c>
      <c r="I99">
        <v>5</v>
      </c>
      <c r="J99">
        <v>6</v>
      </c>
      <c r="K99">
        <v>4</v>
      </c>
      <c r="L99">
        <v>3</v>
      </c>
      <c r="M99">
        <v>6</v>
      </c>
      <c r="N99">
        <v>3</v>
      </c>
      <c r="O99">
        <v>4</v>
      </c>
      <c r="P99">
        <v>4</v>
      </c>
      <c r="Q99">
        <v>6</v>
      </c>
      <c r="R99">
        <v>7</v>
      </c>
      <c r="S99">
        <v>17</v>
      </c>
      <c r="T99">
        <v>19</v>
      </c>
      <c r="U99">
        <v>18</v>
      </c>
      <c r="V99">
        <v>2</v>
      </c>
      <c r="W99">
        <v>10</v>
      </c>
      <c r="X99">
        <v>10</v>
      </c>
      <c r="Y99">
        <v>5</v>
      </c>
      <c r="Z99">
        <v>20</v>
      </c>
      <c r="AA99">
        <v>3</v>
      </c>
      <c r="AB99">
        <v>2</v>
      </c>
      <c r="AC99">
        <v>3</v>
      </c>
      <c r="AD99">
        <v>1</v>
      </c>
      <c r="AE99">
        <v>1</v>
      </c>
      <c r="AF99">
        <v>2</v>
      </c>
      <c r="AG99">
        <v>2</v>
      </c>
      <c r="AH99">
        <v>2</v>
      </c>
      <c r="AI99">
        <v>7</v>
      </c>
      <c r="AJ99">
        <v>7</v>
      </c>
      <c r="AK99">
        <v>200</v>
      </c>
      <c r="AL99">
        <v>3270</v>
      </c>
      <c r="AM99">
        <v>600</v>
      </c>
      <c r="AN99" t="s">
        <v>46</v>
      </c>
      <c r="AO99" t="s">
        <v>46</v>
      </c>
      <c r="AQ99">
        <v>1</v>
      </c>
      <c r="AS99">
        <v>52</v>
      </c>
      <c r="AT99">
        <v>20</v>
      </c>
      <c r="AV99">
        <v>3</v>
      </c>
      <c r="AW99">
        <v>15</v>
      </c>
      <c r="AX99">
        <v>3430</v>
      </c>
      <c r="AY99">
        <v>2</v>
      </c>
      <c r="AZ99">
        <v>2</v>
      </c>
      <c r="BA99">
        <v>2</v>
      </c>
      <c r="BB99">
        <v>11</v>
      </c>
      <c r="BC99">
        <v>9</v>
      </c>
      <c r="BD99">
        <v>1</v>
      </c>
      <c r="BE99">
        <v>3</v>
      </c>
      <c r="BF99">
        <v>1</v>
      </c>
      <c r="BG99">
        <v>2</v>
      </c>
      <c r="BH99">
        <v>2</v>
      </c>
      <c r="BI99">
        <v>1</v>
      </c>
      <c r="BJ99">
        <v>3</v>
      </c>
      <c r="BK99">
        <v>1</v>
      </c>
      <c r="BL99">
        <v>156</v>
      </c>
      <c r="BM99">
        <v>15</v>
      </c>
      <c r="BN99">
        <v>143</v>
      </c>
      <c r="BO99">
        <v>62</v>
      </c>
      <c r="BP99">
        <v>19</v>
      </c>
      <c r="BQ99">
        <v>20</v>
      </c>
      <c r="BR99">
        <v>0</v>
      </c>
      <c r="BS99">
        <v>65</v>
      </c>
      <c r="BT99">
        <v>2</v>
      </c>
      <c r="BU99">
        <v>2</v>
      </c>
    </row>
    <row r="100" spans="1:73" x14ac:dyDescent="0.25">
      <c r="A100" s="17">
        <v>43173</v>
      </c>
      <c r="B100">
        <v>33</v>
      </c>
      <c r="C100">
        <v>13</v>
      </c>
      <c r="D100">
        <v>8</v>
      </c>
      <c r="E100">
        <v>11</v>
      </c>
      <c r="F100">
        <v>24</v>
      </c>
      <c r="G100">
        <v>25</v>
      </c>
      <c r="H100">
        <v>17</v>
      </c>
      <c r="I100">
        <v>4</v>
      </c>
      <c r="J100">
        <v>6</v>
      </c>
      <c r="K100">
        <v>4</v>
      </c>
      <c r="L100">
        <v>3</v>
      </c>
      <c r="M100">
        <v>6</v>
      </c>
      <c r="N100">
        <v>3</v>
      </c>
      <c r="O100">
        <v>4</v>
      </c>
      <c r="P100">
        <v>4</v>
      </c>
      <c r="Q100">
        <v>6</v>
      </c>
      <c r="R100">
        <v>7</v>
      </c>
      <c r="S100">
        <v>17</v>
      </c>
      <c r="T100">
        <v>19</v>
      </c>
      <c r="U100">
        <v>18</v>
      </c>
      <c r="V100">
        <v>2</v>
      </c>
      <c r="W100">
        <v>10</v>
      </c>
      <c r="X100">
        <v>10</v>
      </c>
      <c r="Y100">
        <v>5</v>
      </c>
      <c r="Z100">
        <v>20</v>
      </c>
      <c r="AA100">
        <v>3</v>
      </c>
      <c r="AB100">
        <v>2</v>
      </c>
      <c r="AC100">
        <v>3</v>
      </c>
      <c r="AD100">
        <v>1</v>
      </c>
      <c r="AE100">
        <v>1</v>
      </c>
      <c r="AF100">
        <v>2</v>
      </c>
      <c r="AG100">
        <v>2</v>
      </c>
      <c r="AH100">
        <v>2</v>
      </c>
      <c r="AI100">
        <v>7</v>
      </c>
      <c r="AJ100">
        <v>7</v>
      </c>
      <c r="AK100">
        <v>200</v>
      </c>
      <c r="AL100">
        <v>3270</v>
      </c>
      <c r="AM100">
        <v>600</v>
      </c>
      <c r="AN100" t="s">
        <v>46</v>
      </c>
      <c r="AO100" t="s">
        <v>46</v>
      </c>
      <c r="AQ100">
        <v>1</v>
      </c>
      <c r="AS100">
        <v>52</v>
      </c>
      <c r="AT100">
        <v>20</v>
      </c>
      <c r="AV100">
        <v>3</v>
      </c>
      <c r="AW100">
        <v>15</v>
      </c>
      <c r="AX100">
        <v>3180</v>
      </c>
      <c r="AY100">
        <v>2</v>
      </c>
      <c r="AZ100">
        <v>2</v>
      </c>
      <c r="BA100">
        <v>2</v>
      </c>
      <c r="BB100">
        <v>11</v>
      </c>
      <c r="BC100">
        <v>9</v>
      </c>
      <c r="BD100">
        <v>1</v>
      </c>
      <c r="BE100">
        <v>3</v>
      </c>
      <c r="BF100">
        <v>1</v>
      </c>
      <c r="BG100">
        <v>2</v>
      </c>
      <c r="BH100">
        <v>2</v>
      </c>
      <c r="BI100">
        <v>1</v>
      </c>
      <c r="BJ100">
        <v>3</v>
      </c>
      <c r="BK100">
        <v>1</v>
      </c>
      <c r="BL100">
        <v>156</v>
      </c>
      <c r="BM100">
        <v>15</v>
      </c>
      <c r="BN100">
        <v>143</v>
      </c>
      <c r="BO100">
        <v>60</v>
      </c>
      <c r="BP100">
        <v>19</v>
      </c>
      <c r="BQ100">
        <v>20</v>
      </c>
      <c r="BR100">
        <v>0</v>
      </c>
      <c r="BS100">
        <v>65</v>
      </c>
      <c r="BT100">
        <v>2</v>
      </c>
      <c r="BU100">
        <v>2</v>
      </c>
    </row>
    <row r="101" spans="1:73" x14ac:dyDescent="0.25">
      <c r="A101" s="17">
        <v>43175</v>
      </c>
      <c r="B101">
        <v>33</v>
      </c>
      <c r="C101">
        <v>12</v>
      </c>
      <c r="D101">
        <v>8</v>
      </c>
      <c r="E101">
        <v>11</v>
      </c>
      <c r="F101">
        <v>24</v>
      </c>
      <c r="G101">
        <v>25</v>
      </c>
      <c r="H101">
        <v>17</v>
      </c>
      <c r="I101">
        <v>4</v>
      </c>
      <c r="J101">
        <v>6</v>
      </c>
      <c r="K101">
        <v>3</v>
      </c>
      <c r="L101">
        <v>3</v>
      </c>
      <c r="M101">
        <v>6</v>
      </c>
      <c r="N101">
        <v>2</v>
      </c>
      <c r="O101">
        <v>4</v>
      </c>
      <c r="P101">
        <v>4</v>
      </c>
      <c r="Q101">
        <v>6</v>
      </c>
      <c r="R101">
        <v>7</v>
      </c>
      <c r="S101">
        <v>17</v>
      </c>
      <c r="T101">
        <v>19</v>
      </c>
      <c r="U101">
        <v>18</v>
      </c>
      <c r="V101">
        <v>2</v>
      </c>
      <c r="W101">
        <v>10</v>
      </c>
      <c r="X101">
        <v>10</v>
      </c>
      <c r="Y101">
        <v>4</v>
      </c>
      <c r="Z101">
        <v>20</v>
      </c>
      <c r="AA101">
        <v>3</v>
      </c>
      <c r="AB101">
        <v>2</v>
      </c>
      <c r="AC101">
        <v>3</v>
      </c>
      <c r="AD101">
        <v>1</v>
      </c>
      <c r="AE101">
        <v>1</v>
      </c>
      <c r="AF101">
        <v>2</v>
      </c>
      <c r="AG101">
        <v>2</v>
      </c>
      <c r="AH101">
        <v>2</v>
      </c>
      <c r="AI101">
        <v>7</v>
      </c>
      <c r="AJ101">
        <v>7</v>
      </c>
      <c r="AK101">
        <v>200</v>
      </c>
      <c r="AL101">
        <v>3100</v>
      </c>
      <c r="AM101">
        <v>600</v>
      </c>
      <c r="AN101" t="s">
        <v>46</v>
      </c>
      <c r="AO101" t="s">
        <v>46</v>
      </c>
      <c r="AQ101">
        <v>1</v>
      </c>
      <c r="AS101">
        <v>52</v>
      </c>
      <c r="AT101">
        <v>20</v>
      </c>
      <c r="AV101">
        <v>3</v>
      </c>
      <c r="AW101">
        <v>15</v>
      </c>
      <c r="AX101">
        <v>3080</v>
      </c>
      <c r="AY101">
        <v>2</v>
      </c>
      <c r="AZ101">
        <v>2</v>
      </c>
      <c r="BA101">
        <v>2</v>
      </c>
      <c r="BB101">
        <v>10</v>
      </c>
      <c r="BC101">
        <v>8</v>
      </c>
      <c r="BD101">
        <v>1</v>
      </c>
      <c r="BE101">
        <v>3</v>
      </c>
      <c r="BF101">
        <v>1</v>
      </c>
      <c r="BG101">
        <v>2</v>
      </c>
      <c r="BH101">
        <v>2</v>
      </c>
      <c r="BI101">
        <v>1</v>
      </c>
      <c r="BJ101">
        <v>3</v>
      </c>
      <c r="BK101">
        <v>1</v>
      </c>
      <c r="BL101">
        <v>156</v>
      </c>
      <c r="BM101">
        <v>14</v>
      </c>
      <c r="BN101">
        <v>142</v>
      </c>
      <c r="BO101">
        <v>60</v>
      </c>
      <c r="BP101">
        <v>19</v>
      </c>
      <c r="BQ101">
        <v>20</v>
      </c>
      <c r="BR101">
        <v>0</v>
      </c>
      <c r="BS101">
        <v>65</v>
      </c>
      <c r="BT101">
        <v>2</v>
      </c>
      <c r="BU101">
        <v>2</v>
      </c>
    </row>
    <row r="102" spans="1:73" x14ac:dyDescent="0.25">
      <c r="A102" s="17">
        <v>43178</v>
      </c>
      <c r="B102">
        <v>33</v>
      </c>
      <c r="C102">
        <v>11</v>
      </c>
      <c r="D102">
        <v>8</v>
      </c>
      <c r="E102">
        <v>11</v>
      </c>
      <c r="F102">
        <v>24</v>
      </c>
      <c r="G102">
        <v>24</v>
      </c>
      <c r="H102">
        <v>17</v>
      </c>
      <c r="I102">
        <v>4</v>
      </c>
      <c r="J102">
        <v>6</v>
      </c>
      <c r="K102">
        <v>3</v>
      </c>
      <c r="L102">
        <v>3</v>
      </c>
      <c r="M102">
        <v>6</v>
      </c>
      <c r="N102">
        <v>2</v>
      </c>
      <c r="O102">
        <v>4</v>
      </c>
      <c r="P102">
        <v>4</v>
      </c>
      <c r="Q102">
        <v>6</v>
      </c>
      <c r="R102">
        <v>6</v>
      </c>
      <c r="S102">
        <v>17</v>
      </c>
      <c r="T102">
        <v>19</v>
      </c>
      <c r="U102">
        <v>18</v>
      </c>
      <c r="V102">
        <v>2</v>
      </c>
      <c r="W102">
        <v>10</v>
      </c>
      <c r="X102">
        <v>10</v>
      </c>
      <c r="Y102">
        <v>4</v>
      </c>
      <c r="Z102">
        <v>20</v>
      </c>
      <c r="AA102">
        <v>3</v>
      </c>
      <c r="AB102">
        <v>1</v>
      </c>
      <c r="AC102">
        <v>3</v>
      </c>
      <c r="AD102">
        <v>1</v>
      </c>
      <c r="AE102">
        <v>1</v>
      </c>
      <c r="AF102">
        <v>2</v>
      </c>
      <c r="AG102">
        <v>2</v>
      </c>
      <c r="AH102">
        <v>2</v>
      </c>
      <c r="AI102">
        <v>7</v>
      </c>
      <c r="AJ102">
        <v>7</v>
      </c>
      <c r="AK102">
        <v>200</v>
      </c>
      <c r="AL102">
        <v>3000</v>
      </c>
      <c r="AM102">
        <v>600</v>
      </c>
      <c r="AN102" t="s">
        <v>46</v>
      </c>
      <c r="AO102" t="s">
        <v>46</v>
      </c>
      <c r="AQ102">
        <v>1</v>
      </c>
      <c r="AS102">
        <v>52</v>
      </c>
      <c r="AT102">
        <v>20</v>
      </c>
      <c r="AV102">
        <v>3</v>
      </c>
      <c r="AW102">
        <v>15</v>
      </c>
      <c r="AX102">
        <v>2980</v>
      </c>
      <c r="AY102">
        <v>2</v>
      </c>
      <c r="AZ102">
        <v>2</v>
      </c>
      <c r="BA102">
        <v>2</v>
      </c>
      <c r="BB102">
        <v>10</v>
      </c>
      <c r="BC102">
        <v>8</v>
      </c>
      <c r="BD102">
        <v>1</v>
      </c>
      <c r="BE102">
        <v>3</v>
      </c>
      <c r="BF102">
        <v>1</v>
      </c>
      <c r="BG102">
        <v>2</v>
      </c>
      <c r="BH102">
        <v>2</v>
      </c>
      <c r="BI102">
        <v>1</v>
      </c>
      <c r="BJ102">
        <v>3</v>
      </c>
      <c r="BK102">
        <v>1</v>
      </c>
      <c r="BL102">
        <v>155</v>
      </c>
      <c r="BM102">
        <v>14</v>
      </c>
      <c r="BN102">
        <v>141</v>
      </c>
      <c r="BO102">
        <v>59</v>
      </c>
      <c r="BP102">
        <v>19</v>
      </c>
      <c r="BQ102">
        <v>19</v>
      </c>
      <c r="BR102">
        <v>0</v>
      </c>
      <c r="BS102">
        <v>64</v>
      </c>
      <c r="BT102">
        <v>2</v>
      </c>
      <c r="BU102">
        <v>2</v>
      </c>
    </row>
    <row r="103" spans="1:73" x14ac:dyDescent="0.25">
      <c r="A103" s="17">
        <v>43180</v>
      </c>
      <c r="B103">
        <v>32</v>
      </c>
      <c r="C103">
        <v>11</v>
      </c>
      <c r="D103">
        <v>8</v>
      </c>
      <c r="E103">
        <v>11</v>
      </c>
      <c r="F103">
        <v>24</v>
      </c>
      <c r="G103">
        <v>24</v>
      </c>
      <c r="H103">
        <v>16</v>
      </c>
      <c r="I103">
        <v>4</v>
      </c>
      <c r="J103">
        <v>6</v>
      </c>
      <c r="K103">
        <v>3</v>
      </c>
      <c r="L103">
        <v>3</v>
      </c>
      <c r="M103">
        <v>6</v>
      </c>
      <c r="N103">
        <v>2</v>
      </c>
      <c r="O103">
        <v>3</v>
      </c>
      <c r="P103">
        <v>4</v>
      </c>
      <c r="Q103">
        <v>5</v>
      </c>
      <c r="R103">
        <v>6</v>
      </c>
      <c r="S103">
        <v>17</v>
      </c>
      <c r="T103">
        <v>19</v>
      </c>
      <c r="U103">
        <v>18</v>
      </c>
      <c r="V103">
        <v>1</v>
      </c>
      <c r="W103">
        <v>10</v>
      </c>
      <c r="X103">
        <v>10</v>
      </c>
      <c r="Y103">
        <v>4</v>
      </c>
      <c r="Z103">
        <v>20</v>
      </c>
      <c r="AA103">
        <v>3</v>
      </c>
      <c r="AB103">
        <v>1</v>
      </c>
      <c r="AC103">
        <v>2</v>
      </c>
      <c r="AD103">
        <v>0</v>
      </c>
      <c r="AE103">
        <v>1</v>
      </c>
      <c r="AF103">
        <v>2</v>
      </c>
      <c r="AG103">
        <v>1</v>
      </c>
      <c r="AH103">
        <v>2</v>
      </c>
      <c r="AI103">
        <v>7</v>
      </c>
      <c r="AJ103">
        <v>7</v>
      </c>
      <c r="AK103">
        <v>200</v>
      </c>
      <c r="AL103">
        <v>2900</v>
      </c>
      <c r="AM103">
        <v>600</v>
      </c>
      <c r="AN103" t="s">
        <v>46</v>
      </c>
      <c r="AO103" t="s">
        <v>46</v>
      </c>
      <c r="AQ103">
        <v>1</v>
      </c>
      <c r="AS103">
        <v>52</v>
      </c>
      <c r="AT103">
        <v>20</v>
      </c>
      <c r="AV103">
        <v>3</v>
      </c>
      <c r="AW103">
        <v>15</v>
      </c>
      <c r="AX103">
        <v>2830</v>
      </c>
      <c r="AY103">
        <v>2</v>
      </c>
      <c r="AZ103">
        <v>2</v>
      </c>
      <c r="BA103">
        <v>2</v>
      </c>
      <c r="BB103">
        <v>9</v>
      </c>
      <c r="BC103">
        <v>7</v>
      </c>
      <c r="BD103">
        <v>1</v>
      </c>
      <c r="BE103">
        <v>3</v>
      </c>
      <c r="BF103">
        <v>1</v>
      </c>
      <c r="BG103">
        <v>2</v>
      </c>
      <c r="BH103">
        <v>2</v>
      </c>
      <c r="BI103">
        <v>1</v>
      </c>
      <c r="BJ103">
        <v>2</v>
      </c>
      <c r="BK103">
        <v>1</v>
      </c>
      <c r="BL103">
        <v>155</v>
      </c>
      <c r="BM103">
        <v>14</v>
      </c>
      <c r="BN103">
        <v>141</v>
      </c>
      <c r="BO103">
        <v>59</v>
      </c>
      <c r="BP103">
        <v>18</v>
      </c>
      <c r="BQ103">
        <v>19</v>
      </c>
      <c r="BR103">
        <v>0</v>
      </c>
      <c r="BS103">
        <v>64</v>
      </c>
      <c r="BT103">
        <v>2</v>
      </c>
      <c r="BU103">
        <v>2</v>
      </c>
    </row>
    <row r="104" spans="1:73" x14ac:dyDescent="0.25">
      <c r="A104" s="17">
        <v>43182</v>
      </c>
      <c r="B104">
        <v>32</v>
      </c>
      <c r="C104">
        <v>10</v>
      </c>
      <c r="D104">
        <v>8</v>
      </c>
      <c r="E104">
        <v>10</v>
      </c>
      <c r="F104">
        <v>23</v>
      </c>
      <c r="G104">
        <v>24</v>
      </c>
      <c r="H104">
        <v>16</v>
      </c>
      <c r="I104">
        <v>4</v>
      </c>
      <c r="J104">
        <v>5</v>
      </c>
      <c r="K104">
        <v>3</v>
      </c>
      <c r="L104">
        <v>3</v>
      </c>
      <c r="M104">
        <v>6</v>
      </c>
      <c r="N104">
        <v>2</v>
      </c>
      <c r="O104">
        <v>3</v>
      </c>
      <c r="P104">
        <v>4</v>
      </c>
      <c r="Q104">
        <v>5</v>
      </c>
      <c r="R104">
        <v>6</v>
      </c>
      <c r="S104">
        <v>16</v>
      </c>
      <c r="T104">
        <v>19</v>
      </c>
      <c r="U104">
        <v>18</v>
      </c>
      <c r="V104">
        <v>1</v>
      </c>
      <c r="W104">
        <v>9</v>
      </c>
      <c r="X104">
        <v>10</v>
      </c>
      <c r="Y104">
        <v>4</v>
      </c>
      <c r="Z104">
        <v>20</v>
      </c>
      <c r="AA104">
        <v>3</v>
      </c>
      <c r="AB104">
        <v>1</v>
      </c>
      <c r="AC104">
        <v>2</v>
      </c>
      <c r="AD104">
        <v>1</v>
      </c>
      <c r="AE104">
        <v>1</v>
      </c>
      <c r="AF104">
        <v>2</v>
      </c>
      <c r="AG104">
        <v>1</v>
      </c>
      <c r="AH104">
        <v>2</v>
      </c>
      <c r="AI104">
        <v>7</v>
      </c>
      <c r="AJ104">
        <v>6</v>
      </c>
      <c r="AK104">
        <v>200</v>
      </c>
      <c r="AL104">
        <v>2750</v>
      </c>
      <c r="AM104">
        <v>600</v>
      </c>
      <c r="AN104" t="s">
        <v>46</v>
      </c>
      <c r="AO104" t="s">
        <v>46</v>
      </c>
      <c r="AQ104">
        <v>1</v>
      </c>
      <c r="AS104">
        <v>52</v>
      </c>
      <c r="AT104">
        <v>20</v>
      </c>
      <c r="AV104">
        <v>3</v>
      </c>
      <c r="AW104">
        <v>15</v>
      </c>
      <c r="AX104">
        <v>2730</v>
      </c>
      <c r="AY104">
        <v>2</v>
      </c>
      <c r="AZ104">
        <v>2</v>
      </c>
      <c r="BA104">
        <v>2</v>
      </c>
      <c r="BB104">
        <v>9</v>
      </c>
      <c r="BC104">
        <v>7</v>
      </c>
      <c r="BD104">
        <v>1</v>
      </c>
      <c r="BE104">
        <v>3</v>
      </c>
      <c r="BF104">
        <v>1</v>
      </c>
      <c r="BG104">
        <v>2</v>
      </c>
      <c r="BH104">
        <v>2</v>
      </c>
      <c r="BI104">
        <v>1</v>
      </c>
      <c r="BJ104">
        <v>2</v>
      </c>
      <c r="BK104">
        <v>1</v>
      </c>
      <c r="BL104">
        <v>155</v>
      </c>
      <c r="BM104">
        <v>14</v>
      </c>
      <c r="BN104">
        <v>141</v>
      </c>
      <c r="BO104">
        <v>58</v>
      </c>
      <c r="BP104">
        <v>18</v>
      </c>
      <c r="BQ104">
        <v>19</v>
      </c>
      <c r="BR104">
        <v>0</v>
      </c>
      <c r="BS104">
        <v>64</v>
      </c>
      <c r="BT104">
        <v>2</v>
      </c>
      <c r="BU104">
        <v>2</v>
      </c>
    </row>
    <row r="105" spans="1:73" x14ac:dyDescent="0.25">
      <c r="A105" s="17">
        <v>43185</v>
      </c>
      <c r="B105">
        <v>32</v>
      </c>
      <c r="C105">
        <v>10</v>
      </c>
      <c r="D105">
        <v>7</v>
      </c>
      <c r="E105">
        <v>10</v>
      </c>
      <c r="F105">
        <v>23</v>
      </c>
      <c r="G105">
        <v>24</v>
      </c>
      <c r="H105">
        <v>16</v>
      </c>
      <c r="I105">
        <v>3</v>
      </c>
      <c r="J105">
        <v>5</v>
      </c>
      <c r="K105">
        <v>3</v>
      </c>
      <c r="L105">
        <v>3</v>
      </c>
      <c r="M105">
        <v>6</v>
      </c>
      <c r="N105">
        <v>2</v>
      </c>
      <c r="O105">
        <v>3</v>
      </c>
      <c r="P105">
        <v>3</v>
      </c>
      <c r="Q105">
        <v>5</v>
      </c>
      <c r="R105">
        <v>5</v>
      </c>
      <c r="S105">
        <v>16</v>
      </c>
      <c r="T105">
        <v>19</v>
      </c>
      <c r="U105">
        <v>18</v>
      </c>
      <c r="V105">
        <v>1</v>
      </c>
      <c r="W105">
        <v>9</v>
      </c>
      <c r="X105">
        <v>9</v>
      </c>
      <c r="Y105">
        <v>4</v>
      </c>
      <c r="Z105">
        <v>20</v>
      </c>
      <c r="AA105">
        <v>3</v>
      </c>
      <c r="AB105">
        <v>1</v>
      </c>
      <c r="AC105">
        <v>2</v>
      </c>
      <c r="AD105">
        <v>1</v>
      </c>
      <c r="AE105">
        <v>0</v>
      </c>
      <c r="AF105">
        <v>2</v>
      </c>
      <c r="AG105">
        <v>1</v>
      </c>
      <c r="AH105">
        <v>1</v>
      </c>
      <c r="AI105">
        <v>7</v>
      </c>
      <c r="AJ105">
        <v>6</v>
      </c>
      <c r="AK105">
        <v>200</v>
      </c>
      <c r="AL105">
        <v>2400</v>
      </c>
      <c r="AM105">
        <v>600</v>
      </c>
      <c r="AN105" t="s">
        <v>46</v>
      </c>
      <c r="AO105" t="s">
        <v>46</v>
      </c>
      <c r="AQ105">
        <v>1</v>
      </c>
      <c r="AS105">
        <v>52</v>
      </c>
      <c r="AT105">
        <v>20</v>
      </c>
      <c r="AV105">
        <v>3</v>
      </c>
      <c r="AW105">
        <v>15</v>
      </c>
      <c r="AX105">
        <v>2600</v>
      </c>
      <c r="AY105">
        <v>2</v>
      </c>
      <c r="AZ105">
        <v>2</v>
      </c>
      <c r="BA105">
        <v>2</v>
      </c>
      <c r="BB105">
        <v>9</v>
      </c>
      <c r="BC105">
        <v>7</v>
      </c>
      <c r="BD105">
        <v>1</v>
      </c>
      <c r="BE105">
        <v>2</v>
      </c>
      <c r="BF105">
        <v>1</v>
      </c>
      <c r="BG105">
        <v>2</v>
      </c>
      <c r="BH105">
        <v>2</v>
      </c>
      <c r="BI105">
        <v>1</v>
      </c>
      <c r="BJ105">
        <v>2</v>
      </c>
      <c r="BK105">
        <v>1</v>
      </c>
      <c r="BL105">
        <v>154</v>
      </c>
      <c r="BM105">
        <v>14</v>
      </c>
      <c r="BN105">
        <v>141</v>
      </c>
      <c r="BO105">
        <v>57</v>
      </c>
      <c r="BP105">
        <v>18</v>
      </c>
      <c r="BQ105">
        <v>19</v>
      </c>
      <c r="BR105">
        <v>0</v>
      </c>
      <c r="BS105">
        <v>64</v>
      </c>
      <c r="BT105">
        <v>2</v>
      </c>
      <c r="BU105">
        <v>2</v>
      </c>
    </row>
    <row r="106" spans="1:73" x14ac:dyDescent="0.25">
      <c r="A106" s="17">
        <v>43187</v>
      </c>
      <c r="B106">
        <v>32</v>
      </c>
      <c r="C106">
        <v>9</v>
      </c>
      <c r="D106">
        <v>7</v>
      </c>
      <c r="E106">
        <v>10</v>
      </c>
      <c r="F106">
        <v>23</v>
      </c>
      <c r="G106">
        <v>24</v>
      </c>
      <c r="H106">
        <v>16</v>
      </c>
      <c r="I106">
        <v>3</v>
      </c>
      <c r="J106">
        <v>5</v>
      </c>
      <c r="K106">
        <v>3</v>
      </c>
      <c r="L106">
        <v>3</v>
      </c>
      <c r="M106">
        <v>6</v>
      </c>
      <c r="N106">
        <v>2</v>
      </c>
      <c r="O106">
        <v>3</v>
      </c>
      <c r="P106">
        <v>3</v>
      </c>
      <c r="Q106">
        <v>5</v>
      </c>
      <c r="R106">
        <v>5</v>
      </c>
      <c r="S106">
        <v>16</v>
      </c>
      <c r="T106">
        <v>19</v>
      </c>
      <c r="U106">
        <v>18</v>
      </c>
      <c r="V106">
        <v>1</v>
      </c>
      <c r="W106">
        <v>9</v>
      </c>
      <c r="X106">
        <v>9</v>
      </c>
      <c r="Y106">
        <v>4</v>
      </c>
      <c r="Z106">
        <v>20</v>
      </c>
      <c r="AA106">
        <v>3</v>
      </c>
      <c r="AB106">
        <v>1</v>
      </c>
      <c r="AC106">
        <v>2</v>
      </c>
      <c r="AD106">
        <v>1</v>
      </c>
      <c r="AE106">
        <v>0</v>
      </c>
      <c r="AF106">
        <v>2</v>
      </c>
      <c r="AG106">
        <v>1</v>
      </c>
      <c r="AH106">
        <v>1</v>
      </c>
      <c r="AI106">
        <v>7</v>
      </c>
      <c r="AJ106">
        <v>6</v>
      </c>
      <c r="AK106">
        <v>200</v>
      </c>
      <c r="AL106">
        <v>2350</v>
      </c>
      <c r="AM106">
        <v>600</v>
      </c>
      <c r="AN106" t="s">
        <v>46</v>
      </c>
      <c r="AO106" t="s">
        <v>46</v>
      </c>
      <c r="AQ106">
        <v>1</v>
      </c>
      <c r="AS106">
        <v>52</v>
      </c>
      <c r="AT106">
        <v>20</v>
      </c>
      <c r="AV106">
        <v>3</v>
      </c>
      <c r="AW106">
        <v>15</v>
      </c>
      <c r="AX106">
        <v>2450</v>
      </c>
      <c r="AY106">
        <v>2</v>
      </c>
      <c r="AZ106">
        <v>2</v>
      </c>
      <c r="BA106">
        <v>2</v>
      </c>
      <c r="BB106">
        <v>9</v>
      </c>
      <c r="BC106">
        <v>7</v>
      </c>
      <c r="BD106">
        <v>1</v>
      </c>
      <c r="BE106">
        <v>2</v>
      </c>
      <c r="BF106">
        <v>1</v>
      </c>
      <c r="BG106">
        <v>2</v>
      </c>
      <c r="BH106">
        <v>2</v>
      </c>
      <c r="BI106">
        <v>1</v>
      </c>
      <c r="BJ106">
        <v>2</v>
      </c>
      <c r="BK106">
        <v>1</v>
      </c>
      <c r="BL106">
        <v>154</v>
      </c>
      <c r="BM106">
        <v>13</v>
      </c>
      <c r="BN106">
        <v>140</v>
      </c>
      <c r="BO106">
        <v>57</v>
      </c>
      <c r="BP106">
        <v>18</v>
      </c>
      <c r="BQ106">
        <v>19</v>
      </c>
      <c r="BR106">
        <v>0</v>
      </c>
      <c r="BS106">
        <v>64</v>
      </c>
      <c r="BT106">
        <v>2</v>
      </c>
      <c r="BU106">
        <v>2</v>
      </c>
    </row>
    <row r="107" spans="1:73" x14ac:dyDescent="0.25">
      <c r="A107" s="17">
        <v>43192</v>
      </c>
      <c r="B107">
        <v>32</v>
      </c>
      <c r="C107">
        <v>9</v>
      </c>
      <c r="D107">
        <v>7</v>
      </c>
      <c r="E107">
        <v>10</v>
      </c>
      <c r="F107">
        <v>23</v>
      </c>
      <c r="G107">
        <v>24</v>
      </c>
      <c r="H107">
        <v>16</v>
      </c>
      <c r="I107">
        <v>3</v>
      </c>
      <c r="J107">
        <v>5</v>
      </c>
      <c r="K107">
        <v>3</v>
      </c>
      <c r="L107">
        <v>3</v>
      </c>
      <c r="M107">
        <v>6</v>
      </c>
      <c r="N107">
        <v>2</v>
      </c>
      <c r="O107">
        <v>3</v>
      </c>
      <c r="P107">
        <v>3</v>
      </c>
      <c r="Q107">
        <v>4</v>
      </c>
      <c r="R107">
        <v>4</v>
      </c>
      <c r="S107">
        <v>16</v>
      </c>
      <c r="T107">
        <v>19</v>
      </c>
      <c r="U107">
        <v>18</v>
      </c>
      <c r="V107">
        <v>1</v>
      </c>
      <c r="W107">
        <v>9</v>
      </c>
      <c r="X107">
        <v>9</v>
      </c>
      <c r="Y107">
        <v>4</v>
      </c>
      <c r="Z107">
        <v>19</v>
      </c>
      <c r="AA107">
        <v>3</v>
      </c>
      <c r="AB107">
        <v>1</v>
      </c>
      <c r="AC107">
        <v>2</v>
      </c>
      <c r="AD107">
        <v>1</v>
      </c>
      <c r="AE107">
        <v>0</v>
      </c>
      <c r="AF107">
        <v>1</v>
      </c>
      <c r="AG107">
        <v>1</v>
      </c>
      <c r="AH107">
        <v>1</v>
      </c>
      <c r="AI107">
        <v>7</v>
      </c>
      <c r="AJ107">
        <v>6</v>
      </c>
      <c r="AK107">
        <v>200</v>
      </c>
      <c r="AL107">
        <v>2000</v>
      </c>
      <c r="AM107">
        <v>600</v>
      </c>
      <c r="AN107" t="s">
        <v>46</v>
      </c>
      <c r="AO107" t="s">
        <v>46</v>
      </c>
      <c r="AQ107">
        <v>1</v>
      </c>
      <c r="AS107">
        <v>52</v>
      </c>
      <c r="AT107">
        <v>20</v>
      </c>
      <c r="AV107">
        <v>2</v>
      </c>
      <c r="AW107">
        <v>15</v>
      </c>
      <c r="AX107">
        <v>2230</v>
      </c>
      <c r="AY107">
        <v>1</v>
      </c>
      <c r="AZ107">
        <v>2</v>
      </c>
      <c r="BA107">
        <v>2</v>
      </c>
      <c r="BB107">
        <v>8</v>
      </c>
      <c r="BC107">
        <v>6</v>
      </c>
      <c r="BD107">
        <v>0</v>
      </c>
      <c r="BE107">
        <v>2</v>
      </c>
      <c r="BF107">
        <v>1</v>
      </c>
      <c r="BG107">
        <v>2</v>
      </c>
      <c r="BH107">
        <v>2</v>
      </c>
      <c r="BI107">
        <v>1</v>
      </c>
      <c r="BJ107">
        <v>2</v>
      </c>
      <c r="BK107">
        <v>1</v>
      </c>
      <c r="BL107">
        <v>153</v>
      </c>
      <c r="BM107">
        <v>13</v>
      </c>
      <c r="BN107">
        <v>140</v>
      </c>
      <c r="BO107">
        <v>56</v>
      </c>
      <c r="BP107">
        <v>17</v>
      </c>
      <c r="BQ107">
        <v>19</v>
      </c>
      <c r="BR107">
        <v>0</v>
      </c>
      <c r="BS107">
        <v>63</v>
      </c>
      <c r="BT107">
        <v>2</v>
      </c>
      <c r="BU107">
        <v>2</v>
      </c>
    </row>
    <row r="108" spans="1:73" x14ac:dyDescent="0.25">
      <c r="A108" s="17">
        <v>43194</v>
      </c>
      <c r="B108">
        <v>32</v>
      </c>
      <c r="C108">
        <v>9</v>
      </c>
      <c r="D108">
        <v>7</v>
      </c>
      <c r="E108">
        <v>10</v>
      </c>
      <c r="F108">
        <v>23</v>
      </c>
      <c r="G108">
        <v>24</v>
      </c>
      <c r="H108">
        <v>15</v>
      </c>
      <c r="I108">
        <v>2</v>
      </c>
      <c r="J108">
        <v>4</v>
      </c>
      <c r="K108">
        <v>3</v>
      </c>
      <c r="L108">
        <v>3</v>
      </c>
      <c r="M108">
        <v>6</v>
      </c>
      <c r="N108">
        <v>1</v>
      </c>
      <c r="O108">
        <v>3</v>
      </c>
      <c r="P108">
        <v>3</v>
      </c>
      <c r="Q108">
        <v>4</v>
      </c>
      <c r="R108">
        <v>4</v>
      </c>
      <c r="S108">
        <v>16</v>
      </c>
      <c r="T108">
        <v>19</v>
      </c>
      <c r="U108">
        <v>18</v>
      </c>
      <c r="V108">
        <v>21</v>
      </c>
      <c r="W108">
        <v>9</v>
      </c>
      <c r="X108">
        <v>9</v>
      </c>
      <c r="Y108">
        <v>4</v>
      </c>
      <c r="Z108">
        <v>19</v>
      </c>
      <c r="AA108">
        <v>3</v>
      </c>
      <c r="AB108">
        <v>11</v>
      </c>
      <c r="AC108">
        <v>2</v>
      </c>
      <c r="AD108">
        <v>0</v>
      </c>
      <c r="AE108">
        <v>2</v>
      </c>
      <c r="AF108">
        <v>1</v>
      </c>
      <c r="AG108">
        <v>3</v>
      </c>
      <c r="AH108">
        <v>0</v>
      </c>
      <c r="AI108">
        <v>7</v>
      </c>
      <c r="AJ108">
        <v>5</v>
      </c>
      <c r="AK108">
        <v>200</v>
      </c>
      <c r="AL108">
        <v>2000</v>
      </c>
      <c r="AM108">
        <v>600</v>
      </c>
      <c r="AN108" t="s">
        <v>46</v>
      </c>
      <c r="AO108" t="s">
        <v>46</v>
      </c>
      <c r="AQ108">
        <v>1</v>
      </c>
      <c r="AS108">
        <v>52</v>
      </c>
      <c r="AT108">
        <v>20</v>
      </c>
      <c r="AV108">
        <v>2</v>
      </c>
      <c r="AW108">
        <v>15</v>
      </c>
      <c r="AX108">
        <v>2130</v>
      </c>
      <c r="AY108">
        <v>3</v>
      </c>
      <c r="AZ108">
        <v>2</v>
      </c>
      <c r="BA108">
        <v>2</v>
      </c>
      <c r="BB108">
        <v>8</v>
      </c>
      <c r="BC108">
        <v>6</v>
      </c>
      <c r="BD108">
        <v>2</v>
      </c>
      <c r="BE108">
        <v>2</v>
      </c>
      <c r="BF108">
        <v>1</v>
      </c>
      <c r="BG108">
        <v>2</v>
      </c>
      <c r="BH108">
        <v>1</v>
      </c>
      <c r="BI108">
        <v>1</v>
      </c>
      <c r="BJ108">
        <v>2</v>
      </c>
      <c r="BK108">
        <v>3</v>
      </c>
      <c r="BL108">
        <v>153</v>
      </c>
      <c r="BM108">
        <v>13</v>
      </c>
      <c r="BN108">
        <v>140</v>
      </c>
      <c r="BO108">
        <v>56</v>
      </c>
      <c r="BP108">
        <v>17</v>
      </c>
      <c r="BQ108">
        <v>18</v>
      </c>
      <c r="BR108">
        <v>0</v>
      </c>
      <c r="BS108">
        <v>63</v>
      </c>
      <c r="BT108">
        <v>2</v>
      </c>
      <c r="BU108">
        <v>2</v>
      </c>
    </row>
    <row r="109" spans="1:73" x14ac:dyDescent="0.25">
      <c r="A109" s="17">
        <v>43196</v>
      </c>
      <c r="B109">
        <v>32</v>
      </c>
      <c r="C109">
        <v>7</v>
      </c>
      <c r="D109">
        <v>7</v>
      </c>
      <c r="E109">
        <v>10</v>
      </c>
      <c r="F109">
        <v>23</v>
      </c>
      <c r="G109">
        <v>24</v>
      </c>
      <c r="H109">
        <v>14</v>
      </c>
      <c r="I109">
        <v>2</v>
      </c>
      <c r="J109">
        <v>4</v>
      </c>
      <c r="K109">
        <v>2</v>
      </c>
      <c r="L109">
        <v>3</v>
      </c>
      <c r="M109">
        <v>6</v>
      </c>
      <c r="N109">
        <v>5</v>
      </c>
      <c r="O109">
        <v>3</v>
      </c>
      <c r="P109">
        <v>3</v>
      </c>
      <c r="Q109">
        <v>4</v>
      </c>
      <c r="R109">
        <v>4</v>
      </c>
      <c r="S109">
        <v>16</v>
      </c>
      <c r="T109">
        <v>19</v>
      </c>
      <c r="U109">
        <v>17</v>
      </c>
      <c r="V109">
        <v>21</v>
      </c>
      <c r="W109">
        <v>9</v>
      </c>
      <c r="X109">
        <v>9</v>
      </c>
      <c r="Y109">
        <v>4</v>
      </c>
      <c r="Z109">
        <v>19</v>
      </c>
      <c r="AA109">
        <v>3</v>
      </c>
      <c r="AB109">
        <v>11</v>
      </c>
      <c r="AC109">
        <v>2</v>
      </c>
      <c r="AD109">
        <v>0</v>
      </c>
      <c r="AE109">
        <v>2</v>
      </c>
      <c r="AF109">
        <v>1</v>
      </c>
      <c r="AG109">
        <v>3</v>
      </c>
      <c r="AH109">
        <v>0</v>
      </c>
      <c r="AI109">
        <v>7</v>
      </c>
      <c r="AJ109">
        <v>5</v>
      </c>
      <c r="AK109">
        <v>200</v>
      </c>
      <c r="AL109">
        <v>5900</v>
      </c>
      <c r="AM109">
        <v>600</v>
      </c>
      <c r="AN109" t="s">
        <v>46</v>
      </c>
      <c r="AO109" t="s">
        <v>46</v>
      </c>
      <c r="AQ109">
        <v>1</v>
      </c>
      <c r="AS109">
        <v>52</v>
      </c>
      <c r="AT109">
        <v>20</v>
      </c>
      <c r="AV109">
        <v>2</v>
      </c>
      <c r="AW109">
        <v>14</v>
      </c>
      <c r="AX109">
        <v>3080</v>
      </c>
      <c r="AY109">
        <v>3</v>
      </c>
      <c r="AZ109">
        <v>2</v>
      </c>
      <c r="BA109">
        <v>2</v>
      </c>
      <c r="BB109">
        <v>8</v>
      </c>
      <c r="BC109">
        <v>6</v>
      </c>
      <c r="BD109">
        <v>2</v>
      </c>
      <c r="BE109">
        <v>2</v>
      </c>
      <c r="BF109">
        <v>1</v>
      </c>
      <c r="BG109">
        <v>2</v>
      </c>
      <c r="BH109">
        <v>1</v>
      </c>
      <c r="BI109">
        <v>1</v>
      </c>
      <c r="BJ109">
        <v>2</v>
      </c>
      <c r="BK109">
        <v>3</v>
      </c>
      <c r="BL109">
        <v>153</v>
      </c>
      <c r="BM109">
        <v>13</v>
      </c>
      <c r="BN109">
        <v>140</v>
      </c>
      <c r="BO109">
        <v>56</v>
      </c>
      <c r="BP109">
        <v>17</v>
      </c>
      <c r="BQ109">
        <v>18</v>
      </c>
      <c r="BR109">
        <v>0</v>
      </c>
      <c r="BS109">
        <v>63</v>
      </c>
      <c r="BT109">
        <v>2</v>
      </c>
      <c r="BU109">
        <v>2</v>
      </c>
    </row>
    <row r="110" spans="1:73" x14ac:dyDescent="0.25">
      <c r="A110" s="17">
        <v>43199</v>
      </c>
      <c r="B110">
        <v>32</v>
      </c>
      <c r="C110">
        <v>7</v>
      </c>
      <c r="D110">
        <v>6</v>
      </c>
      <c r="E110">
        <v>9</v>
      </c>
      <c r="F110">
        <v>23</v>
      </c>
      <c r="G110">
        <v>23</v>
      </c>
      <c r="H110">
        <v>14</v>
      </c>
      <c r="I110">
        <v>4</v>
      </c>
      <c r="J110">
        <v>4</v>
      </c>
      <c r="K110">
        <v>2</v>
      </c>
      <c r="L110">
        <v>3</v>
      </c>
      <c r="M110">
        <v>6</v>
      </c>
      <c r="N110">
        <v>5</v>
      </c>
      <c r="O110">
        <v>3</v>
      </c>
      <c r="P110">
        <v>3</v>
      </c>
      <c r="Q110">
        <v>3</v>
      </c>
      <c r="R110">
        <v>3</v>
      </c>
      <c r="S110">
        <v>16</v>
      </c>
      <c r="T110">
        <v>19</v>
      </c>
      <c r="U110">
        <v>17</v>
      </c>
      <c r="V110">
        <v>21</v>
      </c>
      <c r="W110">
        <v>9</v>
      </c>
      <c r="X110">
        <v>8</v>
      </c>
      <c r="Y110">
        <v>4</v>
      </c>
      <c r="Z110">
        <v>19</v>
      </c>
      <c r="AA110">
        <v>3</v>
      </c>
      <c r="AB110">
        <v>11</v>
      </c>
      <c r="AC110">
        <v>2</v>
      </c>
      <c r="AD110">
        <v>2</v>
      </c>
      <c r="AE110">
        <v>2</v>
      </c>
      <c r="AF110">
        <v>1</v>
      </c>
      <c r="AG110">
        <v>3</v>
      </c>
      <c r="AH110">
        <v>2</v>
      </c>
      <c r="AI110">
        <v>7</v>
      </c>
      <c r="AJ110">
        <v>5</v>
      </c>
      <c r="AK110">
        <v>200</v>
      </c>
      <c r="AL110">
        <v>5800</v>
      </c>
      <c r="AM110">
        <v>600</v>
      </c>
      <c r="AN110" t="s">
        <v>46</v>
      </c>
      <c r="AO110" t="s">
        <v>46</v>
      </c>
      <c r="AQ110">
        <v>1</v>
      </c>
      <c r="AS110">
        <v>52</v>
      </c>
      <c r="AT110">
        <v>20</v>
      </c>
      <c r="AV110">
        <v>2</v>
      </c>
      <c r="AW110">
        <v>14</v>
      </c>
      <c r="AX110">
        <v>3030</v>
      </c>
      <c r="AY110">
        <v>3</v>
      </c>
      <c r="AZ110">
        <v>2</v>
      </c>
      <c r="BA110">
        <v>2</v>
      </c>
      <c r="BB110">
        <v>7</v>
      </c>
      <c r="BC110">
        <v>5</v>
      </c>
      <c r="BD110">
        <v>2</v>
      </c>
      <c r="BE110">
        <v>2</v>
      </c>
      <c r="BF110">
        <v>1</v>
      </c>
      <c r="BG110">
        <v>2</v>
      </c>
      <c r="BH110">
        <v>1</v>
      </c>
      <c r="BI110">
        <v>2</v>
      </c>
      <c r="BJ110">
        <v>2</v>
      </c>
      <c r="BK110">
        <v>2</v>
      </c>
      <c r="BL110">
        <v>153</v>
      </c>
      <c r="BM110">
        <v>13</v>
      </c>
      <c r="BN110">
        <v>138</v>
      </c>
      <c r="BO110">
        <v>54</v>
      </c>
      <c r="BP110">
        <v>17</v>
      </c>
      <c r="BQ110">
        <v>18</v>
      </c>
      <c r="BR110">
        <v>0</v>
      </c>
      <c r="BS110">
        <v>63</v>
      </c>
      <c r="BT110">
        <v>2</v>
      </c>
      <c r="BU110">
        <v>2</v>
      </c>
    </row>
    <row r="111" spans="1:73" x14ac:dyDescent="0.25">
      <c r="A111" s="17">
        <v>43201</v>
      </c>
      <c r="B111">
        <v>32</v>
      </c>
      <c r="C111">
        <v>3</v>
      </c>
      <c r="D111">
        <v>6</v>
      </c>
      <c r="E111">
        <v>9</v>
      </c>
      <c r="F111">
        <v>23</v>
      </c>
      <c r="G111">
        <v>23</v>
      </c>
      <c r="H111">
        <v>14</v>
      </c>
      <c r="I111">
        <v>4</v>
      </c>
      <c r="J111">
        <v>4</v>
      </c>
      <c r="K111">
        <v>2</v>
      </c>
      <c r="L111">
        <v>3</v>
      </c>
      <c r="M111">
        <v>6</v>
      </c>
      <c r="N111">
        <v>5</v>
      </c>
      <c r="O111">
        <v>3</v>
      </c>
      <c r="P111">
        <v>3</v>
      </c>
      <c r="Q111">
        <v>3</v>
      </c>
      <c r="R111">
        <v>3</v>
      </c>
      <c r="S111">
        <v>16</v>
      </c>
      <c r="T111">
        <v>18</v>
      </c>
      <c r="U111">
        <v>17</v>
      </c>
      <c r="V111">
        <v>20</v>
      </c>
      <c r="W111">
        <v>9</v>
      </c>
      <c r="X111">
        <v>8</v>
      </c>
      <c r="Y111">
        <v>4</v>
      </c>
      <c r="Z111">
        <v>19</v>
      </c>
      <c r="AA111">
        <v>3</v>
      </c>
      <c r="AB111">
        <v>11</v>
      </c>
      <c r="AC111">
        <v>2</v>
      </c>
      <c r="AD111">
        <v>2</v>
      </c>
      <c r="AE111">
        <v>2</v>
      </c>
      <c r="AF111">
        <v>1</v>
      </c>
      <c r="AG111">
        <v>2</v>
      </c>
      <c r="AH111">
        <v>2</v>
      </c>
      <c r="AI111">
        <v>7</v>
      </c>
      <c r="AJ111">
        <v>5</v>
      </c>
      <c r="AK111">
        <v>200</v>
      </c>
      <c r="AL111">
        <v>5600</v>
      </c>
      <c r="AM111">
        <v>600</v>
      </c>
      <c r="AN111" t="s">
        <v>46</v>
      </c>
      <c r="AO111" t="s">
        <v>46</v>
      </c>
      <c r="AQ111">
        <v>1</v>
      </c>
      <c r="AS111">
        <v>52</v>
      </c>
      <c r="AT111">
        <v>20</v>
      </c>
      <c r="AV111">
        <v>2</v>
      </c>
      <c r="AW111">
        <v>14</v>
      </c>
      <c r="AX111">
        <v>2780</v>
      </c>
      <c r="AY111">
        <v>3</v>
      </c>
      <c r="AZ111">
        <v>2</v>
      </c>
      <c r="BA111">
        <v>2</v>
      </c>
      <c r="BB111">
        <v>7</v>
      </c>
      <c r="BC111">
        <v>5</v>
      </c>
      <c r="BD111">
        <v>2</v>
      </c>
      <c r="BE111">
        <v>2</v>
      </c>
      <c r="BF111">
        <v>1</v>
      </c>
      <c r="BG111">
        <v>2</v>
      </c>
      <c r="BH111">
        <v>1</v>
      </c>
      <c r="BI111">
        <v>2</v>
      </c>
      <c r="BJ111">
        <v>2</v>
      </c>
      <c r="BK111">
        <v>2</v>
      </c>
      <c r="BL111">
        <v>153</v>
      </c>
      <c r="BM111">
        <v>11</v>
      </c>
      <c r="BN111">
        <v>138</v>
      </c>
      <c r="BO111">
        <v>54</v>
      </c>
      <c r="BP111">
        <v>17</v>
      </c>
      <c r="BQ111">
        <v>18</v>
      </c>
      <c r="BR111">
        <v>0</v>
      </c>
      <c r="BS111">
        <v>63</v>
      </c>
      <c r="BT111">
        <v>1</v>
      </c>
      <c r="BU111">
        <v>2</v>
      </c>
    </row>
    <row r="112" spans="1:73" x14ac:dyDescent="0.25">
      <c r="A112" s="17">
        <v>43202</v>
      </c>
      <c r="B112">
        <v>32</v>
      </c>
      <c r="C112">
        <v>3</v>
      </c>
      <c r="D112">
        <v>6</v>
      </c>
      <c r="E112">
        <v>9</v>
      </c>
      <c r="F112">
        <v>23</v>
      </c>
      <c r="G112">
        <v>23</v>
      </c>
      <c r="H112">
        <v>14</v>
      </c>
      <c r="I112">
        <v>4</v>
      </c>
      <c r="J112">
        <v>4</v>
      </c>
      <c r="K112">
        <v>2</v>
      </c>
      <c r="L112">
        <v>3</v>
      </c>
      <c r="M112">
        <v>6</v>
      </c>
      <c r="N112">
        <v>5</v>
      </c>
      <c r="O112">
        <v>3</v>
      </c>
      <c r="P112">
        <v>3</v>
      </c>
      <c r="Q112">
        <v>3</v>
      </c>
      <c r="R112">
        <v>3</v>
      </c>
      <c r="S112">
        <v>16</v>
      </c>
      <c r="T112">
        <v>18</v>
      </c>
      <c r="U112">
        <v>17</v>
      </c>
      <c r="V112">
        <v>20</v>
      </c>
      <c r="W112">
        <v>9</v>
      </c>
      <c r="X112">
        <v>8</v>
      </c>
      <c r="Y112">
        <v>4</v>
      </c>
      <c r="Z112">
        <v>19</v>
      </c>
      <c r="AA112">
        <v>3</v>
      </c>
      <c r="AB112">
        <v>10</v>
      </c>
      <c r="AC112">
        <v>2</v>
      </c>
      <c r="AD112">
        <v>2</v>
      </c>
      <c r="AE112">
        <v>2</v>
      </c>
      <c r="AF112">
        <v>1</v>
      </c>
      <c r="AG112">
        <v>2</v>
      </c>
      <c r="AH112">
        <v>2</v>
      </c>
      <c r="AI112">
        <v>7</v>
      </c>
      <c r="AJ112">
        <v>5</v>
      </c>
      <c r="AK112">
        <v>200</v>
      </c>
      <c r="AL112">
        <v>5600</v>
      </c>
      <c r="AM112">
        <v>600</v>
      </c>
      <c r="AN112" t="s">
        <v>46</v>
      </c>
      <c r="AO112" t="s">
        <v>46</v>
      </c>
      <c r="AQ112">
        <v>1</v>
      </c>
      <c r="AS112">
        <v>52</v>
      </c>
      <c r="AT112">
        <v>20</v>
      </c>
      <c r="AV112">
        <v>2</v>
      </c>
      <c r="AW112">
        <v>14</v>
      </c>
      <c r="AX112">
        <v>2780</v>
      </c>
      <c r="AY112">
        <v>3</v>
      </c>
      <c r="AZ112">
        <v>2</v>
      </c>
      <c r="BA112">
        <v>2</v>
      </c>
      <c r="BB112">
        <v>7</v>
      </c>
      <c r="BC112">
        <v>5</v>
      </c>
      <c r="BD112">
        <v>2</v>
      </c>
      <c r="BE112">
        <v>2</v>
      </c>
      <c r="BF112">
        <v>1</v>
      </c>
      <c r="BG112">
        <v>2</v>
      </c>
      <c r="BH112">
        <v>1</v>
      </c>
      <c r="BI112">
        <v>2</v>
      </c>
      <c r="BJ112">
        <v>2</v>
      </c>
      <c r="BK112">
        <v>2</v>
      </c>
      <c r="BL112">
        <v>152</v>
      </c>
      <c r="BM112">
        <v>11</v>
      </c>
      <c r="BN112">
        <v>138</v>
      </c>
      <c r="BO112">
        <v>54</v>
      </c>
      <c r="BP112">
        <v>16</v>
      </c>
      <c r="BQ112">
        <v>18</v>
      </c>
      <c r="BR112">
        <v>0</v>
      </c>
      <c r="BS112">
        <v>62</v>
      </c>
      <c r="BT112">
        <v>1</v>
      </c>
      <c r="BU112">
        <v>2</v>
      </c>
    </row>
    <row r="113" spans="1:73" x14ac:dyDescent="0.25">
      <c r="A113" s="17">
        <v>43206</v>
      </c>
      <c r="B113">
        <v>32</v>
      </c>
      <c r="C113">
        <v>2</v>
      </c>
      <c r="D113">
        <v>6</v>
      </c>
      <c r="E113">
        <v>9</v>
      </c>
      <c r="F113">
        <v>23</v>
      </c>
      <c r="G113">
        <v>23</v>
      </c>
      <c r="H113">
        <v>14</v>
      </c>
      <c r="I113">
        <v>3</v>
      </c>
      <c r="J113">
        <v>3</v>
      </c>
      <c r="K113">
        <v>2</v>
      </c>
      <c r="L113">
        <v>3</v>
      </c>
      <c r="M113">
        <v>6</v>
      </c>
      <c r="N113">
        <v>5</v>
      </c>
      <c r="O113">
        <v>3</v>
      </c>
      <c r="P113">
        <v>2</v>
      </c>
      <c r="Q113">
        <v>3</v>
      </c>
      <c r="R113">
        <v>2</v>
      </c>
      <c r="S113">
        <v>16</v>
      </c>
      <c r="T113">
        <v>18</v>
      </c>
      <c r="U113">
        <v>17</v>
      </c>
      <c r="V113">
        <v>20</v>
      </c>
      <c r="W113">
        <v>9</v>
      </c>
      <c r="X113">
        <v>8</v>
      </c>
      <c r="Y113">
        <v>4</v>
      </c>
      <c r="Z113">
        <v>18</v>
      </c>
      <c r="AA113">
        <v>3</v>
      </c>
      <c r="AB113">
        <v>10</v>
      </c>
      <c r="AC113">
        <v>2</v>
      </c>
      <c r="AD113">
        <v>2</v>
      </c>
      <c r="AE113">
        <v>2</v>
      </c>
      <c r="AF113">
        <v>1</v>
      </c>
      <c r="AG113">
        <v>2</v>
      </c>
      <c r="AH113">
        <v>2</v>
      </c>
      <c r="AI113">
        <v>7</v>
      </c>
      <c r="AJ113">
        <v>5</v>
      </c>
      <c r="AK113">
        <v>200</v>
      </c>
      <c r="AL113">
        <v>5500</v>
      </c>
      <c r="AM113">
        <v>600</v>
      </c>
      <c r="AN113" t="s">
        <v>46</v>
      </c>
      <c r="AO113" t="s">
        <v>46</v>
      </c>
      <c r="AQ113">
        <v>1</v>
      </c>
      <c r="AS113">
        <v>52</v>
      </c>
      <c r="AT113">
        <v>20</v>
      </c>
      <c r="AV113">
        <v>2</v>
      </c>
      <c r="AW113">
        <v>14</v>
      </c>
      <c r="AX113">
        <v>2630</v>
      </c>
      <c r="AY113">
        <v>3</v>
      </c>
      <c r="AZ113">
        <v>2</v>
      </c>
      <c r="BA113">
        <v>2</v>
      </c>
      <c r="BB113">
        <v>6</v>
      </c>
      <c r="BC113">
        <v>4</v>
      </c>
      <c r="BD113">
        <v>2</v>
      </c>
      <c r="BE113">
        <v>2</v>
      </c>
      <c r="BF113">
        <v>4</v>
      </c>
      <c r="BG113">
        <v>2</v>
      </c>
      <c r="BH113">
        <v>1</v>
      </c>
      <c r="BI113">
        <v>2</v>
      </c>
      <c r="BJ113">
        <v>2</v>
      </c>
      <c r="BK113">
        <v>2</v>
      </c>
      <c r="BL113">
        <v>152</v>
      </c>
      <c r="BM113">
        <v>11</v>
      </c>
      <c r="BN113">
        <v>138</v>
      </c>
      <c r="BO113">
        <v>53</v>
      </c>
      <c r="BP113">
        <v>16</v>
      </c>
      <c r="BQ113">
        <v>18</v>
      </c>
      <c r="BR113">
        <v>0</v>
      </c>
      <c r="BS113">
        <v>62</v>
      </c>
      <c r="BT113">
        <v>1</v>
      </c>
      <c r="BU113">
        <v>2</v>
      </c>
    </row>
    <row r="114" spans="1:73" x14ac:dyDescent="0.25">
      <c r="A114" s="17">
        <v>43208</v>
      </c>
      <c r="B114">
        <v>32</v>
      </c>
      <c r="C114">
        <v>1</v>
      </c>
      <c r="D114">
        <v>6</v>
      </c>
      <c r="E114">
        <v>9</v>
      </c>
      <c r="F114">
        <v>22</v>
      </c>
      <c r="G114">
        <v>23</v>
      </c>
      <c r="H114">
        <v>13</v>
      </c>
      <c r="I114">
        <v>3</v>
      </c>
      <c r="J114">
        <v>3</v>
      </c>
      <c r="K114">
        <v>2</v>
      </c>
      <c r="L114">
        <v>3</v>
      </c>
      <c r="M114">
        <v>6</v>
      </c>
      <c r="N114">
        <v>5</v>
      </c>
      <c r="O114">
        <v>2</v>
      </c>
      <c r="P114">
        <v>2</v>
      </c>
      <c r="Q114">
        <v>2</v>
      </c>
      <c r="R114">
        <v>12</v>
      </c>
      <c r="S114">
        <v>15</v>
      </c>
      <c r="T114">
        <v>18</v>
      </c>
      <c r="U114">
        <v>17</v>
      </c>
      <c r="V114">
        <v>20</v>
      </c>
      <c r="W114">
        <v>9</v>
      </c>
      <c r="X114">
        <v>8</v>
      </c>
      <c r="Y114">
        <v>4</v>
      </c>
      <c r="Z114">
        <v>18</v>
      </c>
      <c r="AA114">
        <v>3</v>
      </c>
      <c r="AB114">
        <v>10</v>
      </c>
      <c r="AC114">
        <v>4</v>
      </c>
      <c r="AD114">
        <v>2</v>
      </c>
      <c r="AE114">
        <v>2</v>
      </c>
      <c r="AF114">
        <v>0</v>
      </c>
      <c r="AG114">
        <v>2</v>
      </c>
      <c r="AH114">
        <v>2</v>
      </c>
      <c r="AI114">
        <v>7</v>
      </c>
      <c r="AJ114">
        <v>4</v>
      </c>
      <c r="AK114">
        <v>200</v>
      </c>
      <c r="AL114">
        <v>5500</v>
      </c>
      <c r="AM114">
        <v>600</v>
      </c>
      <c r="AN114" t="s">
        <v>46</v>
      </c>
      <c r="AO114" t="s">
        <v>46</v>
      </c>
      <c r="AQ114">
        <v>1</v>
      </c>
      <c r="AS114">
        <v>52</v>
      </c>
      <c r="AT114">
        <v>20</v>
      </c>
      <c r="AV114">
        <v>2</v>
      </c>
      <c r="AW114">
        <v>14</v>
      </c>
      <c r="AX114">
        <v>2480</v>
      </c>
      <c r="AY114">
        <v>3</v>
      </c>
      <c r="AZ114">
        <v>2</v>
      </c>
      <c r="BA114">
        <v>2</v>
      </c>
      <c r="BB114">
        <v>6</v>
      </c>
      <c r="BC114">
        <v>4</v>
      </c>
      <c r="BD114">
        <v>2</v>
      </c>
      <c r="BE114">
        <v>2</v>
      </c>
      <c r="BF114">
        <v>4</v>
      </c>
      <c r="BG114">
        <v>2</v>
      </c>
      <c r="BH114">
        <v>1</v>
      </c>
      <c r="BI114">
        <v>2</v>
      </c>
      <c r="BJ114">
        <v>2</v>
      </c>
      <c r="BK114">
        <v>2</v>
      </c>
      <c r="BL114">
        <v>151</v>
      </c>
      <c r="BM114">
        <v>11</v>
      </c>
      <c r="BN114">
        <v>138</v>
      </c>
      <c r="BO114">
        <v>53</v>
      </c>
      <c r="BP114">
        <v>16</v>
      </c>
      <c r="BQ114">
        <v>18</v>
      </c>
      <c r="BR114">
        <v>0</v>
      </c>
      <c r="BS114">
        <v>62</v>
      </c>
      <c r="BT114">
        <v>1</v>
      </c>
      <c r="BU114">
        <v>2</v>
      </c>
    </row>
    <row r="115" spans="1:73" x14ac:dyDescent="0.25">
      <c r="A115" s="17">
        <v>43209</v>
      </c>
      <c r="B115">
        <v>32</v>
      </c>
      <c r="C115">
        <v>11</v>
      </c>
      <c r="D115">
        <v>6</v>
      </c>
      <c r="E115">
        <v>9</v>
      </c>
      <c r="F115">
        <v>22</v>
      </c>
      <c r="G115">
        <v>23</v>
      </c>
      <c r="H115">
        <v>13</v>
      </c>
      <c r="I115">
        <v>3</v>
      </c>
      <c r="J115">
        <v>7</v>
      </c>
      <c r="K115">
        <v>2</v>
      </c>
      <c r="L115">
        <v>3</v>
      </c>
      <c r="M115">
        <v>6</v>
      </c>
      <c r="N115">
        <v>5</v>
      </c>
      <c r="O115">
        <v>2</v>
      </c>
      <c r="P115">
        <v>2</v>
      </c>
      <c r="Q115">
        <v>8</v>
      </c>
      <c r="R115">
        <v>12</v>
      </c>
      <c r="S115">
        <v>15</v>
      </c>
      <c r="T115">
        <v>18</v>
      </c>
      <c r="U115">
        <v>17</v>
      </c>
      <c r="V115">
        <v>20</v>
      </c>
      <c r="W115">
        <v>9</v>
      </c>
      <c r="X115">
        <v>8</v>
      </c>
      <c r="Y115">
        <v>4</v>
      </c>
      <c r="Z115">
        <v>18</v>
      </c>
      <c r="AA115">
        <v>3</v>
      </c>
      <c r="AB115">
        <v>10</v>
      </c>
      <c r="AC115">
        <v>4</v>
      </c>
      <c r="AD115">
        <v>2</v>
      </c>
      <c r="AE115">
        <v>2</v>
      </c>
      <c r="AF115">
        <v>2</v>
      </c>
      <c r="AG115">
        <v>2</v>
      </c>
      <c r="AH115">
        <v>2</v>
      </c>
      <c r="AI115">
        <v>7</v>
      </c>
      <c r="AJ115">
        <v>8</v>
      </c>
      <c r="AK115">
        <v>200</v>
      </c>
      <c r="AL115">
        <v>5500</v>
      </c>
      <c r="AM115">
        <v>600</v>
      </c>
      <c r="AN115" t="s">
        <v>46</v>
      </c>
      <c r="AO115" t="s">
        <v>46</v>
      </c>
      <c r="AQ115">
        <v>1</v>
      </c>
      <c r="AS115">
        <v>52</v>
      </c>
      <c r="AT115">
        <v>20</v>
      </c>
      <c r="AV115">
        <v>2</v>
      </c>
      <c r="AW115">
        <v>14</v>
      </c>
      <c r="AX115">
        <v>2480</v>
      </c>
      <c r="AY115">
        <v>3</v>
      </c>
      <c r="AZ115">
        <v>3</v>
      </c>
      <c r="BA115">
        <v>2</v>
      </c>
      <c r="BB115">
        <v>6</v>
      </c>
      <c r="BC115">
        <v>4</v>
      </c>
      <c r="BD115">
        <v>2</v>
      </c>
      <c r="BE115">
        <v>2</v>
      </c>
      <c r="BF115">
        <v>4</v>
      </c>
      <c r="BG115">
        <v>2</v>
      </c>
      <c r="BH115">
        <v>1</v>
      </c>
      <c r="BI115">
        <v>2</v>
      </c>
      <c r="BJ115">
        <v>2</v>
      </c>
      <c r="BK115">
        <v>2</v>
      </c>
      <c r="BL115">
        <v>151</v>
      </c>
      <c r="BM115">
        <v>11</v>
      </c>
      <c r="BN115">
        <v>138</v>
      </c>
      <c r="BO115">
        <v>53</v>
      </c>
      <c r="BP115">
        <v>16</v>
      </c>
      <c r="BQ115">
        <v>18</v>
      </c>
      <c r="BR115">
        <v>1</v>
      </c>
      <c r="BS115">
        <v>62</v>
      </c>
      <c r="BT115">
        <v>1</v>
      </c>
      <c r="BU115">
        <v>2</v>
      </c>
    </row>
    <row r="116" spans="1:73" x14ac:dyDescent="0.25">
      <c r="A116" s="17">
        <v>43213</v>
      </c>
      <c r="B116">
        <v>32</v>
      </c>
      <c r="C116">
        <v>10</v>
      </c>
      <c r="D116">
        <v>5</v>
      </c>
      <c r="E116">
        <v>9</v>
      </c>
      <c r="F116">
        <v>22</v>
      </c>
      <c r="G116">
        <v>23</v>
      </c>
      <c r="H116">
        <v>13</v>
      </c>
      <c r="I116">
        <v>3</v>
      </c>
      <c r="J116">
        <v>7</v>
      </c>
      <c r="K116">
        <v>2</v>
      </c>
      <c r="L116">
        <v>3</v>
      </c>
      <c r="M116">
        <v>6</v>
      </c>
      <c r="N116">
        <v>5</v>
      </c>
      <c r="O116">
        <v>2</v>
      </c>
      <c r="P116">
        <v>2</v>
      </c>
      <c r="Q116">
        <v>8</v>
      </c>
      <c r="R116">
        <v>12</v>
      </c>
      <c r="S116">
        <v>15</v>
      </c>
      <c r="T116">
        <v>18</v>
      </c>
      <c r="U116">
        <v>17</v>
      </c>
      <c r="V116">
        <v>20</v>
      </c>
      <c r="W116">
        <v>8</v>
      </c>
      <c r="X116">
        <v>7</v>
      </c>
      <c r="Y116">
        <v>4</v>
      </c>
      <c r="Z116">
        <v>18</v>
      </c>
      <c r="AA116">
        <v>3</v>
      </c>
      <c r="AB116">
        <v>9</v>
      </c>
      <c r="AC116">
        <v>3</v>
      </c>
      <c r="AD116">
        <v>2</v>
      </c>
      <c r="AE116">
        <v>1</v>
      </c>
      <c r="AF116">
        <v>2</v>
      </c>
      <c r="AG116">
        <v>2</v>
      </c>
      <c r="AH116">
        <v>1</v>
      </c>
      <c r="AI116">
        <v>7</v>
      </c>
      <c r="AJ116">
        <v>8</v>
      </c>
      <c r="AK116">
        <v>200</v>
      </c>
      <c r="AL116">
        <v>5050</v>
      </c>
      <c r="AM116">
        <v>600</v>
      </c>
      <c r="AN116" t="s">
        <v>46</v>
      </c>
      <c r="AO116" t="s">
        <v>46</v>
      </c>
      <c r="AQ116">
        <v>1</v>
      </c>
      <c r="AS116">
        <v>52</v>
      </c>
      <c r="AT116">
        <v>20</v>
      </c>
      <c r="AV116">
        <v>2</v>
      </c>
      <c r="AW116">
        <v>14</v>
      </c>
      <c r="AX116">
        <v>2230</v>
      </c>
      <c r="AY116">
        <v>3</v>
      </c>
      <c r="AZ116">
        <v>3</v>
      </c>
      <c r="BA116">
        <v>2</v>
      </c>
      <c r="BB116">
        <v>5</v>
      </c>
      <c r="BC116">
        <v>3</v>
      </c>
      <c r="BD116">
        <v>2</v>
      </c>
      <c r="BE116">
        <v>2</v>
      </c>
      <c r="BF116">
        <v>4</v>
      </c>
      <c r="BG116">
        <v>2</v>
      </c>
      <c r="BH116">
        <v>1</v>
      </c>
      <c r="BI116">
        <v>2</v>
      </c>
      <c r="BJ116">
        <v>2</v>
      </c>
      <c r="BK116">
        <v>2</v>
      </c>
      <c r="BL116">
        <v>151</v>
      </c>
      <c r="BM116">
        <v>11</v>
      </c>
      <c r="BN116">
        <v>138</v>
      </c>
      <c r="BO116">
        <v>53</v>
      </c>
      <c r="BP116">
        <v>16</v>
      </c>
      <c r="BQ116">
        <v>18</v>
      </c>
      <c r="BR116">
        <v>1</v>
      </c>
      <c r="BS116">
        <v>62</v>
      </c>
      <c r="BT116">
        <v>1</v>
      </c>
      <c r="BU116">
        <v>2</v>
      </c>
    </row>
    <row r="117" spans="1:73" x14ac:dyDescent="0.25">
      <c r="A117" s="17">
        <v>43215</v>
      </c>
      <c r="B117">
        <v>32</v>
      </c>
      <c r="C117">
        <v>10</v>
      </c>
      <c r="D117">
        <v>5</v>
      </c>
      <c r="E117">
        <v>8</v>
      </c>
      <c r="F117">
        <v>22</v>
      </c>
      <c r="G117">
        <v>23</v>
      </c>
      <c r="H117">
        <v>13</v>
      </c>
      <c r="I117">
        <v>3</v>
      </c>
      <c r="J117">
        <v>6</v>
      </c>
      <c r="K117">
        <v>2</v>
      </c>
      <c r="L117">
        <v>3</v>
      </c>
      <c r="M117">
        <v>6</v>
      </c>
      <c r="N117">
        <v>5</v>
      </c>
      <c r="O117">
        <v>2</v>
      </c>
      <c r="P117">
        <v>2</v>
      </c>
      <c r="Q117">
        <v>8</v>
      </c>
      <c r="R117">
        <v>11</v>
      </c>
      <c r="S117">
        <v>15</v>
      </c>
      <c r="T117">
        <v>18</v>
      </c>
      <c r="U117">
        <v>17</v>
      </c>
      <c r="V117">
        <v>20</v>
      </c>
      <c r="W117">
        <v>8</v>
      </c>
      <c r="X117">
        <v>7</v>
      </c>
      <c r="Y117">
        <v>4</v>
      </c>
      <c r="Z117">
        <v>18</v>
      </c>
      <c r="AA117">
        <v>3</v>
      </c>
      <c r="AB117">
        <v>9</v>
      </c>
      <c r="AC117">
        <v>3</v>
      </c>
      <c r="AD117">
        <v>2</v>
      </c>
      <c r="AE117">
        <v>1</v>
      </c>
      <c r="AF117">
        <v>2</v>
      </c>
      <c r="AG117">
        <v>2</v>
      </c>
      <c r="AH117">
        <v>1</v>
      </c>
      <c r="AI117">
        <v>7</v>
      </c>
      <c r="AJ117">
        <v>8</v>
      </c>
      <c r="AK117">
        <v>200</v>
      </c>
      <c r="AL117">
        <v>5000</v>
      </c>
      <c r="AM117">
        <v>600</v>
      </c>
      <c r="AN117" t="s">
        <v>46</v>
      </c>
      <c r="AO117" t="s">
        <v>46</v>
      </c>
      <c r="AQ117">
        <v>1</v>
      </c>
      <c r="AS117">
        <v>52</v>
      </c>
      <c r="AT117">
        <v>20</v>
      </c>
      <c r="AV117">
        <v>2</v>
      </c>
      <c r="AW117">
        <v>9</v>
      </c>
      <c r="AX117">
        <v>2220</v>
      </c>
      <c r="AY117">
        <v>3</v>
      </c>
      <c r="AZ117">
        <v>3</v>
      </c>
      <c r="BA117">
        <v>2</v>
      </c>
      <c r="BB117">
        <v>5</v>
      </c>
      <c r="BC117">
        <v>3</v>
      </c>
      <c r="BD117">
        <v>1</v>
      </c>
      <c r="BE117">
        <v>2</v>
      </c>
      <c r="BF117">
        <v>4</v>
      </c>
      <c r="BG117">
        <v>2</v>
      </c>
      <c r="BH117">
        <v>1</v>
      </c>
      <c r="BI117">
        <v>2</v>
      </c>
      <c r="BJ117">
        <v>2</v>
      </c>
      <c r="BK117">
        <v>2</v>
      </c>
      <c r="BL117">
        <v>150</v>
      </c>
      <c r="BM117">
        <v>11</v>
      </c>
      <c r="BN117">
        <v>137</v>
      </c>
      <c r="BO117">
        <v>52</v>
      </c>
      <c r="BP117">
        <v>15</v>
      </c>
      <c r="BQ117">
        <v>17</v>
      </c>
      <c r="BR117">
        <v>1</v>
      </c>
      <c r="BS117">
        <v>62</v>
      </c>
      <c r="BT117">
        <v>1</v>
      </c>
      <c r="BU117">
        <v>2</v>
      </c>
    </row>
    <row r="118" spans="1:73" x14ac:dyDescent="0.25">
      <c r="A118" s="17">
        <v>43217</v>
      </c>
      <c r="B118">
        <v>32</v>
      </c>
      <c r="C118">
        <v>10</v>
      </c>
      <c r="D118">
        <v>5</v>
      </c>
      <c r="E118">
        <v>8</v>
      </c>
      <c r="F118">
        <v>22</v>
      </c>
      <c r="G118">
        <v>23</v>
      </c>
      <c r="H118">
        <v>13</v>
      </c>
      <c r="I118">
        <v>2</v>
      </c>
      <c r="J118">
        <v>6</v>
      </c>
      <c r="K118">
        <v>1</v>
      </c>
      <c r="L118">
        <v>2</v>
      </c>
      <c r="M118">
        <v>6</v>
      </c>
      <c r="N118">
        <v>5</v>
      </c>
      <c r="O118">
        <v>2</v>
      </c>
      <c r="P118">
        <v>2</v>
      </c>
      <c r="Q118">
        <v>7</v>
      </c>
      <c r="R118">
        <v>11</v>
      </c>
      <c r="S118">
        <v>15</v>
      </c>
      <c r="T118">
        <v>18</v>
      </c>
      <c r="U118">
        <v>17</v>
      </c>
      <c r="V118">
        <v>20</v>
      </c>
      <c r="W118">
        <v>8</v>
      </c>
      <c r="X118">
        <v>7</v>
      </c>
      <c r="Y118">
        <v>4</v>
      </c>
      <c r="Z118">
        <v>17</v>
      </c>
      <c r="AA118">
        <v>3</v>
      </c>
      <c r="AB118">
        <v>9</v>
      </c>
      <c r="AC118">
        <v>3</v>
      </c>
      <c r="AD118">
        <v>2</v>
      </c>
      <c r="AE118">
        <v>1</v>
      </c>
      <c r="AF118">
        <v>2</v>
      </c>
      <c r="AG118">
        <v>2</v>
      </c>
      <c r="AH118">
        <v>1</v>
      </c>
      <c r="AI118">
        <v>7</v>
      </c>
      <c r="AJ118">
        <v>8</v>
      </c>
      <c r="AK118">
        <v>200</v>
      </c>
      <c r="AL118">
        <v>4800</v>
      </c>
      <c r="AM118">
        <v>600</v>
      </c>
      <c r="AN118" t="s">
        <v>46</v>
      </c>
      <c r="AO118" t="s">
        <v>46</v>
      </c>
      <c r="AQ118">
        <v>1</v>
      </c>
      <c r="AS118">
        <v>52</v>
      </c>
      <c r="AT118">
        <v>20</v>
      </c>
      <c r="AV118">
        <v>2</v>
      </c>
      <c r="AW118">
        <v>6</v>
      </c>
      <c r="AX118">
        <v>2075</v>
      </c>
      <c r="AY118">
        <v>3</v>
      </c>
      <c r="AZ118">
        <v>3</v>
      </c>
      <c r="BA118">
        <v>2</v>
      </c>
      <c r="BB118">
        <v>5</v>
      </c>
      <c r="BC118">
        <v>3</v>
      </c>
      <c r="BD118">
        <v>1</v>
      </c>
      <c r="BE118">
        <v>2</v>
      </c>
      <c r="BF118">
        <v>4</v>
      </c>
      <c r="BG118">
        <v>2</v>
      </c>
      <c r="BH118">
        <v>1</v>
      </c>
      <c r="BI118">
        <v>2</v>
      </c>
      <c r="BJ118">
        <v>2</v>
      </c>
      <c r="BK118">
        <v>2</v>
      </c>
      <c r="BL118">
        <v>149</v>
      </c>
      <c r="BM118">
        <v>11</v>
      </c>
      <c r="BN118">
        <v>137</v>
      </c>
      <c r="BO118">
        <v>52</v>
      </c>
      <c r="BP118">
        <v>15</v>
      </c>
      <c r="BQ118">
        <v>17</v>
      </c>
      <c r="BR118">
        <v>1</v>
      </c>
      <c r="BS118">
        <v>61</v>
      </c>
      <c r="BT118">
        <v>2</v>
      </c>
      <c r="BU118">
        <v>2</v>
      </c>
    </row>
    <row r="119" spans="1:73" x14ac:dyDescent="0.25">
      <c r="A119" s="17">
        <v>43220</v>
      </c>
      <c r="B119">
        <v>32</v>
      </c>
      <c r="C119">
        <v>8</v>
      </c>
      <c r="D119">
        <v>5</v>
      </c>
      <c r="E119">
        <v>8</v>
      </c>
      <c r="F119">
        <v>22</v>
      </c>
      <c r="G119">
        <v>23</v>
      </c>
      <c r="H119">
        <v>13</v>
      </c>
      <c r="I119">
        <v>2</v>
      </c>
      <c r="J119">
        <v>6</v>
      </c>
      <c r="K119">
        <v>1</v>
      </c>
      <c r="L119">
        <v>2</v>
      </c>
      <c r="M119">
        <v>6</v>
      </c>
      <c r="N119">
        <v>5</v>
      </c>
      <c r="O119">
        <v>2</v>
      </c>
      <c r="P119">
        <v>1</v>
      </c>
      <c r="Q119">
        <v>7</v>
      </c>
      <c r="R119">
        <v>11</v>
      </c>
      <c r="S119">
        <v>15</v>
      </c>
      <c r="T119">
        <v>18</v>
      </c>
      <c r="U119">
        <v>17</v>
      </c>
      <c r="V119">
        <v>20</v>
      </c>
      <c r="W119">
        <v>8</v>
      </c>
      <c r="X119">
        <v>7</v>
      </c>
      <c r="Y119">
        <v>4</v>
      </c>
      <c r="Z119">
        <v>17</v>
      </c>
      <c r="AA119">
        <v>3</v>
      </c>
      <c r="AB119">
        <v>9</v>
      </c>
      <c r="AC119">
        <v>3</v>
      </c>
      <c r="AD119">
        <v>2</v>
      </c>
      <c r="AE119">
        <v>1</v>
      </c>
      <c r="AF119">
        <v>2</v>
      </c>
      <c r="AG119">
        <v>1</v>
      </c>
      <c r="AH119">
        <v>1</v>
      </c>
      <c r="AI119">
        <v>7</v>
      </c>
      <c r="AJ119">
        <v>7</v>
      </c>
      <c r="AK119">
        <v>200</v>
      </c>
      <c r="AL119">
        <v>4650</v>
      </c>
      <c r="AM119">
        <v>600</v>
      </c>
      <c r="AN119" t="s">
        <v>46</v>
      </c>
      <c r="AO119" t="s">
        <v>46</v>
      </c>
      <c r="AQ119">
        <v>1</v>
      </c>
      <c r="AS119">
        <v>52</v>
      </c>
      <c r="AT119">
        <v>20</v>
      </c>
      <c r="AV119">
        <v>2</v>
      </c>
      <c r="AW119">
        <v>6</v>
      </c>
      <c r="AX119">
        <v>1920</v>
      </c>
      <c r="AY119">
        <v>3</v>
      </c>
      <c r="AZ119">
        <v>3</v>
      </c>
      <c r="BA119">
        <v>2</v>
      </c>
      <c r="BB119">
        <v>4</v>
      </c>
      <c r="BC119">
        <v>2</v>
      </c>
      <c r="BD119">
        <v>1</v>
      </c>
      <c r="BE119">
        <v>2</v>
      </c>
      <c r="BF119">
        <v>4</v>
      </c>
      <c r="BG119">
        <v>2</v>
      </c>
      <c r="BH119">
        <v>1</v>
      </c>
      <c r="BI119">
        <v>2</v>
      </c>
      <c r="BJ119">
        <v>2</v>
      </c>
      <c r="BK119">
        <v>2</v>
      </c>
      <c r="BL119">
        <v>149</v>
      </c>
      <c r="BM119">
        <v>11</v>
      </c>
      <c r="BN119">
        <v>137</v>
      </c>
      <c r="BO119">
        <v>52</v>
      </c>
      <c r="BP119">
        <v>15</v>
      </c>
      <c r="BQ119">
        <v>17</v>
      </c>
      <c r="BR119">
        <v>1</v>
      </c>
      <c r="BS119">
        <v>61</v>
      </c>
      <c r="BT119">
        <v>2</v>
      </c>
      <c r="BU119">
        <v>2</v>
      </c>
    </row>
    <row r="120" spans="1:73" x14ac:dyDescent="0.25">
      <c r="A120" s="17">
        <v>43222</v>
      </c>
      <c r="B120">
        <v>31</v>
      </c>
      <c r="C120">
        <v>8</v>
      </c>
      <c r="D120">
        <v>5</v>
      </c>
      <c r="E120">
        <v>8</v>
      </c>
      <c r="F120">
        <v>22</v>
      </c>
      <c r="G120">
        <v>22</v>
      </c>
      <c r="H120">
        <v>13</v>
      </c>
      <c r="I120">
        <v>2</v>
      </c>
      <c r="J120">
        <v>6</v>
      </c>
      <c r="K120">
        <v>1</v>
      </c>
      <c r="L120">
        <v>2</v>
      </c>
      <c r="M120">
        <v>6</v>
      </c>
      <c r="N120">
        <v>4</v>
      </c>
      <c r="O120">
        <v>2</v>
      </c>
      <c r="P120">
        <v>1</v>
      </c>
      <c r="Q120">
        <v>7</v>
      </c>
      <c r="R120">
        <v>10</v>
      </c>
      <c r="S120">
        <v>15</v>
      </c>
      <c r="T120">
        <v>18</v>
      </c>
      <c r="U120">
        <v>16</v>
      </c>
      <c r="V120">
        <v>19</v>
      </c>
      <c r="W120">
        <v>8</v>
      </c>
      <c r="X120">
        <v>7</v>
      </c>
      <c r="Y120">
        <v>3</v>
      </c>
      <c r="Z120">
        <v>17</v>
      </c>
      <c r="AA120">
        <v>3</v>
      </c>
      <c r="AB120">
        <v>9</v>
      </c>
      <c r="AC120">
        <v>3</v>
      </c>
      <c r="AD120">
        <v>2</v>
      </c>
      <c r="AE120">
        <v>1</v>
      </c>
      <c r="AF120">
        <v>2</v>
      </c>
      <c r="AG120">
        <v>1</v>
      </c>
      <c r="AH120">
        <v>1</v>
      </c>
      <c r="AI120">
        <v>7</v>
      </c>
      <c r="AJ120">
        <v>7</v>
      </c>
      <c r="AK120">
        <v>200</v>
      </c>
      <c r="AL120">
        <v>4650</v>
      </c>
      <c r="AM120">
        <v>600</v>
      </c>
      <c r="AN120" t="s">
        <v>46</v>
      </c>
      <c r="AO120" t="s">
        <v>46</v>
      </c>
      <c r="AQ120">
        <v>1</v>
      </c>
      <c r="AS120">
        <v>52</v>
      </c>
      <c r="AT120">
        <v>20</v>
      </c>
      <c r="AV120">
        <v>1</v>
      </c>
      <c r="AW120">
        <v>6</v>
      </c>
      <c r="AX120">
        <v>1825</v>
      </c>
      <c r="AY120">
        <v>3</v>
      </c>
      <c r="AZ120">
        <v>2</v>
      </c>
      <c r="BA120">
        <v>2</v>
      </c>
      <c r="BB120">
        <v>4</v>
      </c>
      <c r="BC120">
        <v>2</v>
      </c>
      <c r="BD120">
        <v>1</v>
      </c>
      <c r="BE120">
        <v>2</v>
      </c>
      <c r="BF120">
        <v>4</v>
      </c>
      <c r="BG120">
        <v>2</v>
      </c>
      <c r="BH120">
        <v>1</v>
      </c>
      <c r="BI120">
        <v>2</v>
      </c>
      <c r="BJ120">
        <v>2</v>
      </c>
      <c r="BK120">
        <v>2</v>
      </c>
      <c r="BL120">
        <v>148</v>
      </c>
      <c r="BM120">
        <v>11</v>
      </c>
      <c r="BN120">
        <v>136</v>
      </c>
      <c r="BO120">
        <v>51</v>
      </c>
      <c r="BP120">
        <v>15</v>
      </c>
      <c r="BQ120">
        <v>17</v>
      </c>
      <c r="BR120">
        <v>1</v>
      </c>
      <c r="BS120">
        <v>60</v>
      </c>
      <c r="BT120">
        <v>2</v>
      </c>
      <c r="BU120">
        <v>2</v>
      </c>
    </row>
    <row r="121" spans="1:73" x14ac:dyDescent="0.25">
      <c r="A121" s="17">
        <v>43223</v>
      </c>
      <c r="B121">
        <v>31</v>
      </c>
      <c r="C121">
        <v>8</v>
      </c>
      <c r="D121">
        <v>5</v>
      </c>
      <c r="E121">
        <v>8</v>
      </c>
      <c r="F121">
        <v>22</v>
      </c>
      <c r="G121">
        <v>22</v>
      </c>
      <c r="H121">
        <v>13</v>
      </c>
      <c r="I121">
        <v>2</v>
      </c>
      <c r="J121">
        <v>6</v>
      </c>
      <c r="K121">
        <v>1</v>
      </c>
      <c r="L121">
        <v>2</v>
      </c>
      <c r="M121">
        <v>6</v>
      </c>
      <c r="N121">
        <v>4</v>
      </c>
      <c r="O121">
        <v>2</v>
      </c>
      <c r="P121">
        <v>1</v>
      </c>
      <c r="Q121">
        <v>7</v>
      </c>
      <c r="R121">
        <v>10</v>
      </c>
      <c r="S121">
        <v>15</v>
      </c>
      <c r="T121">
        <v>18</v>
      </c>
      <c r="U121">
        <v>16</v>
      </c>
      <c r="V121">
        <v>19</v>
      </c>
      <c r="W121">
        <v>8</v>
      </c>
      <c r="X121">
        <v>7</v>
      </c>
      <c r="Y121">
        <v>3</v>
      </c>
      <c r="Z121">
        <v>17</v>
      </c>
      <c r="AA121">
        <v>3</v>
      </c>
      <c r="AB121">
        <v>9</v>
      </c>
      <c r="AC121">
        <v>3</v>
      </c>
      <c r="AD121">
        <v>1</v>
      </c>
      <c r="AE121">
        <v>1</v>
      </c>
      <c r="AF121">
        <v>2</v>
      </c>
      <c r="AG121">
        <v>1</v>
      </c>
      <c r="AH121">
        <v>1</v>
      </c>
      <c r="AI121">
        <v>7</v>
      </c>
      <c r="AJ121">
        <v>7</v>
      </c>
      <c r="AK121">
        <v>200</v>
      </c>
      <c r="AL121">
        <v>4650</v>
      </c>
      <c r="AM121">
        <v>600</v>
      </c>
      <c r="AN121" t="s">
        <v>46</v>
      </c>
      <c r="AO121" t="s">
        <v>46</v>
      </c>
      <c r="AQ121">
        <v>1</v>
      </c>
      <c r="AS121">
        <v>52</v>
      </c>
      <c r="AT121">
        <v>20</v>
      </c>
      <c r="AV121">
        <v>1</v>
      </c>
      <c r="AW121">
        <v>6</v>
      </c>
      <c r="AX121">
        <v>1825</v>
      </c>
      <c r="AY121">
        <v>3</v>
      </c>
      <c r="AZ121">
        <v>2</v>
      </c>
      <c r="BA121">
        <v>2</v>
      </c>
      <c r="BB121">
        <v>4</v>
      </c>
      <c r="BC121">
        <v>2</v>
      </c>
      <c r="BD121">
        <v>1</v>
      </c>
      <c r="BE121">
        <v>2</v>
      </c>
      <c r="BF121">
        <v>4</v>
      </c>
      <c r="BG121">
        <v>2</v>
      </c>
      <c r="BH121">
        <v>1</v>
      </c>
      <c r="BI121">
        <v>2</v>
      </c>
      <c r="BJ121">
        <v>2</v>
      </c>
      <c r="BK121">
        <v>2</v>
      </c>
      <c r="BL121">
        <v>148</v>
      </c>
      <c r="BM121">
        <v>11</v>
      </c>
      <c r="BN121">
        <v>136</v>
      </c>
      <c r="BO121">
        <v>51</v>
      </c>
      <c r="BP121">
        <v>15</v>
      </c>
      <c r="BQ121">
        <v>17</v>
      </c>
      <c r="BR121">
        <v>1</v>
      </c>
      <c r="BS121">
        <v>60</v>
      </c>
      <c r="BT121">
        <v>2</v>
      </c>
      <c r="BU121">
        <v>2</v>
      </c>
    </row>
    <row r="122" spans="1:73" x14ac:dyDescent="0.25">
      <c r="A122" s="17">
        <v>43227</v>
      </c>
      <c r="B122">
        <v>31</v>
      </c>
      <c r="C122">
        <v>7</v>
      </c>
      <c r="D122">
        <v>5</v>
      </c>
      <c r="E122">
        <v>7</v>
      </c>
      <c r="F122">
        <v>22</v>
      </c>
      <c r="G122">
        <v>22</v>
      </c>
      <c r="H122">
        <v>13</v>
      </c>
      <c r="I122">
        <v>1</v>
      </c>
      <c r="J122">
        <v>5</v>
      </c>
      <c r="K122">
        <v>1</v>
      </c>
      <c r="L122">
        <v>2</v>
      </c>
      <c r="M122">
        <v>6</v>
      </c>
      <c r="N122">
        <v>4</v>
      </c>
      <c r="O122">
        <v>2</v>
      </c>
      <c r="P122">
        <v>1</v>
      </c>
      <c r="Q122">
        <v>6</v>
      </c>
      <c r="R122">
        <v>10</v>
      </c>
      <c r="S122">
        <v>15</v>
      </c>
      <c r="T122">
        <v>18</v>
      </c>
      <c r="U122">
        <v>16</v>
      </c>
      <c r="V122">
        <v>19</v>
      </c>
      <c r="W122">
        <v>8</v>
      </c>
      <c r="X122">
        <v>6</v>
      </c>
      <c r="Y122">
        <v>3</v>
      </c>
      <c r="Z122">
        <v>17</v>
      </c>
      <c r="AA122">
        <v>2</v>
      </c>
      <c r="AB122">
        <v>9</v>
      </c>
      <c r="AC122">
        <v>3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7</v>
      </c>
      <c r="AJ122">
        <v>7</v>
      </c>
      <c r="AK122">
        <v>200</v>
      </c>
      <c r="AL122">
        <v>4250</v>
      </c>
      <c r="AM122">
        <v>600</v>
      </c>
      <c r="AN122" t="s">
        <v>46</v>
      </c>
      <c r="AO122" t="s">
        <v>46</v>
      </c>
      <c r="AQ122">
        <v>1</v>
      </c>
      <c r="AS122">
        <v>52</v>
      </c>
      <c r="AT122">
        <v>20</v>
      </c>
      <c r="AV122">
        <v>1</v>
      </c>
      <c r="AW122">
        <v>6</v>
      </c>
      <c r="AX122">
        <v>1670</v>
      </c>
      <c r="AY122">
        <v>3</v>
      </c>
      <c r="AZ122">
        <v>2</v>
      </c>
      <c r="BA122">
        <v>2</v>
      </c>
      <c r="BB122">
        <v>4</v>
      </c>
      <c r="BC122">
        <v>2</v>
      </c>
      <c r="BD122">
        <v>1</v>
      </c>
      <c r="BE122">
        <v>2</v>
      </c>
      <c r="BF122">
        <v>4</v>
      </c>
      <c r="BG122">
        <v>2</v>
      </c>
      <c r="BH122">
        <v>1</v>
      </c>
      <c r="BI122">
        <v>2</v>
      </c>
      <c r="BJ122">
        <v>2</v>
      </c>
      <c r="BK122">
        <v>2</v>
      </c>
      <c r="BL122">
        <v>147</v>
      </c>
      <c r="BM122">
        <v>11</v>
      </c>
      <c r="BN122">
        <v>135</v>
      </c>
      <c r="BO122">
        <v>51</v>
      </c>
      <c r="BP122">
        <v>14</v>
      </c>
      <c r="BQ122">
        <v>17</v>
      </c>
      <c r="BR122">
        <v>1</v>
      </c>
      <c r="BS122">
        <v>59</v>
      </c>
      <c r="BT122">
        <v>2</v>
      </c>
      <c r="BU122">
        <v>2</v>
      </c>
    </row>
    <row r="123" spans="1:73" x14ac:dyDescent="0.25">
      <c r="A123" s="17">
        <v>43229</v>
      </c>
      <c r="B123">
        <v>31</v>
      </c>
      <c r="C123">
        <v>6</v>
      </c>
      <c r="D123">
        <v>4</v>
      </c>
      <c r="E123">
        <v>7</v>
      </c>
      <c r="F123">
        <v>22</v>
      </c>
      <c r="G123">
        <v>22</v>
      </c>
      <c r="H123">
        <v>12</v>
      </c>
      <c r="I123">
        <v>1</v>
      </c>
      <c r="J123">
        <v>5</v>
      </c>
      <c r="K123">
        <v>1</v>
      </c>
      <c r="L123">
        <v>2</v>
      </c>
      <c r="M123">
        <v>6</v>
      </c>
      <c r="N123">
        <v>4</v>
      </c>
      <c r="O123">
        <v>1</v>
      </c>
      <c r="P123">
        <v>1</v>
      </c>
      <c r="Q123">
        <v>6</v>
      </c>
      <c r="R123">
        <v>10</v>
      </c>
      <c r="S123">
        <v>15</v>
      </c>
      <c r="T123">
        <v>18</v>
      </c>
      <c r="U123">
        <v>16</v>
      </c>
      <c r="V123">
        <v>19</v>
      </c>
      <c r="W123">
        <v>8</v>
      </c>
      <c r="X123">
        <v>6</v>
      </c>
      <c r="Y123">
        <v>3</v>
      </c>
      <c r="Z123">
        <v>17</v>
      </c>
      <c r="AA123">
        <v>2</v>
      </c>
      <c r="AB123">
        <v>9</v>
      </c>
      <c r="AC123">
        <v>3</v>
      </c>
      <c r="AD123">
        <v>3</v>
      </c>
      <c r="AE123">
        <v>3</v>
      </c>
      <c r="AF123">
        <v>3</v>
      </c>
      <c r="AG123">
        <v>3</v>
      </c>
      <c r="AH123">
        <v>1</v>
      </c>
      <c r="AI123">
        <v>7</v>
      </c>
      <c r="AJ123">
        <v>6</v>
      </c>
      <c r="AK123">
        <v>200</v>
      </c>
      <c r="AL123">
        <v>4200</v>
      </c>
      <c r="AM123">
        <v>500</v>
      </c>
      <c r="AN123" t="s">
        <v>46</v>
      </c>
      <c r="AO123" t="s">
        <v>46</v>
      </c>
      <c r="AQ123">
        <v>1</v>
      </c>
      <c r="AS123">
        <v>52</v>
      </c>
      <c r="AT123">
        <v>20</v>
      </c>
      <c r="AV123">
        <v>1</v>
      </c>
      <c r="AW123">
        <v>6</v>
      </c>
      <c r="AX123">
        <v>1520</v>
      </c>
      <c r="AY123">
        <v>3</v>
      </c>
      <c r="AZ123">
        <v>2</v>
      </c>
      <c r="BA123">
        <v>2</v>
      </c>
      <c r="BB123">
        <v>3</v>
      </c>
      <c r="BC123">
        <v>1</v>
      </c>
      <c r="BD123">
        <v>3</v>
      </c>
      <c r="BE123">
        <v>2</v>
      </c>
      <c r="BF123">
        <v>4</v>
      </c>
      <c r="BG123">
        <v>2</v>
      </c>
      <c r="BH123">
        <v>1</v>
      </c>
      <c r="BI123">
        <v>3</v>
      </c>
      <c r="BJ123">
        <v>2</v>
      </c>
      <c r="BK123">
        <v>2</v>
      </c>
      <c r="BL123">
        <v>147</v>
      </c>
      <c r="BM123">
        <v>10</v>
      </c>
      <c r="BN123">
        <v>135</v>
      </c>
      <c r="BO123">
        <v>49</v>
      </c>
      <c r="BP123">
        <v>14</v>
      </c>
      <c r="BQ123">
        <v>17</v>
      </c>
      <c r="BR123">
        <v>1</v>
      </c>
      <c r="BS123">
        <v>59</v>
      </c>
      <c r="BT123">
        <v>1</v>
      </c>
      <c r="BU123">
        <v>2</v>
      </c>
    </row>
    <row r="124" spans="1:73" x14ac:dyDescent="0.25">
      <c r="A124" s="17">
        <v>43231</v>
      </c>
      <c r="B124">
        <v>31</v>
      </c>
      <c r="C124">
        <v>6</v>
      </c>
      <c r="D124">
        <v>4</v>
      </c>
      <c r="E124">
        <v>7</v>
      </c>
      <c r="F124">
        <v>22</v>
      </c>
      <c r="G124">
        <v>22</v>
      </c>
      <c r="H124">
        <v>12</v>
      </c>
      <c r="I124">
        <v>5</v>
      </c>
      <c r="J124">
        <v>5</v>
      </c>
      <c r="K124">
        <v>9</v>
      </c>
      <c r="L124">
        <v>2</v>
      </c>
      <c r="M124">
        <v>6</v>
      </c>
      <c r="N124">
        <v>4</v>
      </c>
      <c r="O124">
        <v>1</v>
      </c>
      <c r="P124">
        <v>5</v>
      </c>
      <c r="Q124">
        <v>6</v>
      </c>
      <c r="R124">
        <v>10</v>
      </c>
      <c r="S124">
        <v>15</v>
      </c>
      <c r="T124">
        <v>17</v>
      </c>
      <c r="U124">
        <v>16</v>
      </c>
      <c r="V124">
        <v>19</v>
      </c>
      <c r="W124">
        <v>8</v>
      </c>
      <c r="X124">
        <v>6</v>
      </c>
      <c r="Y124">
        <v>3</v>
      </c>
      <c r="Z124">
        <v>15</v>
      </c>
      <c r="AA124">
        <v>2</v>
      </c>
      <c r="AB124">
        <v>9</v>
      </c>
      <c r="AC124">
        <v>3</v>
      </c>
      <c r="AD124">
        <v>3</v>
      </c>
      <c r="AE124">
        <v>2</v>
      </c>
      <c r="AF124">
        <v>3</v>
      </c>
      <c r="AG124">
        <v>3</v>
      </c>
      <c r="AH124">
        <v>3</v>
      </c>
      <c r="AI124">
        <v>7</v>
      </c>
      <c r="AJ124">
        <v>6</v>
      </c>
      <c r="AK124">
        <v>200</v>
      </c>
      <c r="AL124">
        <v>4200</v>
      </c>
      <c r="AM124">
        <v>500</v>
      </c>
      <c r="AN124" t="s">
        <v>46</v>
      </c>
      <c r="AO124" t="s">
        <v>46</v>
      </c>
      <c r="AQ124">
        <v>1</v>
      </c>
      <c r="AS124">
        <v>52</v>
      </c>
      <c r="AT124">
        <v>20</v>
      </c>
      <c r="AV124">
        <v>1</v>
      </c>
      <c r="AW124">
        <v>6</v>
      </c>
      <c r="AX124">
        <v>2380</v>
      </c>
      <c r="AY124">
        <v>3</v>
      </c>
      <c r="AZ124">
        <v>2</v>
      </c>
      <c r="BA124">
        <v>2</v>
      </c>
      <c r="BB124">
        <v>3</v>
      </c>
      <c r="BC124">
        <v>11</v>
      </c>
      <c r="BD124">
        <v>3</v>
      </c>
      <c r="BE124">
        <v>2</v>
      </c>
      <c r="BF124">
        <v>4</v>
      </c>
      <c r="BG124">
        <v>2</v>
      </c>
      <c r="BH124">
        <v>2</v>
      </c>
      <c r="BI124">
        <v>3</v>
      </c>
      <c r="BJ124">
        <v>2</v>
      </c>
      <c r="BK124">
        <v>1</v>
      </c>
      <c r="BL124">
        <v>147</v>
      </c>
      <c r="BM124">
        <v>10</v>
      </c>
      <c r="BN124">
        <v>135</v>
      </c>
      <c r="BO124">
        <v>49</v>
      </c>
      <c r="BP124">
        <v>14</v>
      </c>
      <c r="BQ124">
        <v>17</v>
      </c>
      <c r="BR124">
        <v>1</v>
      </c>
      <c r="BS124">
        <v>59</v>
      </c>
      <c r="BT124">
        <v>1</v>
      </c>
      <c r="BU124">
        <v>2</v>
      </c>
    </row>
    <row r="125" spans="1:73" x14ac:dyDescent="0.25">
      <c r="A125" s="17">
        <v>43234</v>
      </c>
      <c r="B125">
        <v>31</v>
      </c>
      <c r="C125">
        <v>5</v>
      </c>
      <c r="D125">
        <v>4</v>
      </c>
      <c r="E125">
        <v>7</v>
      </c>
      <c r="F125">
        <v>21</v>
      </c>
      <c r="G125">
        <v>22</v>
      </c>
      <c r="H125">
        <v>12</v>
      </c>
      <c r="I125">
        <v>5</v>
      </c>
      <c r="J125">
        <v>5</v>
      </c>
      <c r="K125">
        <v>9</v>
      </c>
      <c r="L125">
        <v>2</v>
      </c>
      <c r="M125">
        <v>6</v>
      </c>
      <c r="N125">
        <v>4</v>
      </c>
      <c r="O125">
        <v>1</v>
      </c>
      <c r="P125">
        <v>4</v>
      </c>
      <c r="Q125">
        <v>6</v>
      </c>
      <c r="R125">
        <v>10</v>
      </c>
      <c r="S125">
        <v>15</v>
      </c>
      <c r="T125">
        <v>17</v>
      </c>
      <c r="U125">
        <v>16</v>
      </c>
      <c r="V125">
        <v>19</v>
      </c>
      <c r="W125">
        <v>8</v>
      </c>
      <c r="X125">
        <v>6</v>
      </c>
      <c r="Y125">
        <v>3</v>
      </c>
      <c r="Z125">
        <v>15</v>
      </c>
      <c r="AA125">
        <v>2</v>
      </c>
      <c r="AB125">
        <v>9</v>
      </c>
      <c r="AC125">
        <v>3</v>
      </c>
      <c r="AD125">
        <v>3</v>
      </c>
      <c r="AE125">
        <v>2</v>
      </c>
      <c r="AF125">
        <v>3</v>
      </c>
      <c r="AG125">
        <v>3</v>
      </c>
      <c r="AH125">
        <v>2</v>
      </c>
      <c r="AI125">
        <v>7</v>
      </c>
      <c r="AJ125">
        <v>6</v>
      </c>
      <c r="AK125">
        <v>200</v>
      </c>
      <c r="AL125">
        <v>4200</v>
      </c>
      <c r="AM125">
        <v>500</v>
      </c>
      <c r="AN125" t="s">
        <v>46</v>
      </c>
      <c r="AO125" t="s">
        <v>46</v>
      </c>
      <c r="AQ125">
        <v>1</v>
      </c>
      <c r="AS125">
        <v>52</v>
      </c>
      <c r="AT125">
        <v>20</v>
      </c>
      <c r="AV125">
        <v>1</v>
      </c>
      <c r="AW125">
        <v>22</v>
      </c>
      <c r="AX125">
        <v>2275</v>
      </c>
      <c r="AY125">
        <v>3</v>
      </c>
      <c r="AZ125">
        <v>2</v>
      </c>
      <c r="BA125">
        <v>2</v>
      </c>
      <c r="BB125">
        <v>3</v>
      </c>
      <c r="BC125">
        <v>11</v>
      </c>
      <c r="BD125">
        <v>3</v>
      </c>
      <c r="BE125">
        <v>2</v>
      </c>
      <c r="BF125">
        <v>4</v>
      </c>
      <c r="BG125">
        <v>2</v>
      </c>
      <c r="BH125">
        <v>2</v>
      </c>
      <c r="BI125">
        <v>3</v>
      </c>
      <c r="BJ125">
        <v>2</v>
      </c>
      <c r="BK125">
        <v>1</v>
      </c>
      <c r="BL125">
        <v>147</v>
      </c>
      <c r="BM125">
        <v>10</v>
      </c>
      <c r="BN125">
        <v>135</v>
      </c>
      <c r="BO125">
        <v>49</v>
      </c>
      <c r="BP125">
        <v>14</v>
      </c>
      <c r="BQ125">
        <v>17</v>
      </c>
      <c r="BR125">
        <v>1</v>
      </c>
      <c r="BS125">
        <v>59</v>
      </c>
      <c r="BT125">
        <v>1</v>
      </c>
      <c r="BU125">
        <v>2</v>
      </c>
    </row>
    <row r="126" spans="1:73" x14ac:dyDescent="0.25">
      <c r="A126" s="17">
        <v>43236</v>
      </c>
      <c r="B126">
        <v>31</v>
      </c>
      <c r="C126">
        <v>5</v>
      </c>
      <c r="D126">
        <v>4</v>
      </c>
      <c r="E126">
        <v>7</v>
      </c>
      <c r="F126">
        <v>21</v>
      </c>
      <c r="G126">
        <v>22</v>
      </c>
      <c r="H126">
        <v>12</v>
      </c>
      <c r="I126">
        <v>5</v>
      </c>
      <c r="J126">
        <v>5</v>
      </c>
      <c r="K126">
        <v>9</v>
      </c>
      <c r="L126">
        <v>2</v>
      </c>
      <c r="M126">
        <v>5</v>
      </c>
      <c r="N126">
        <v>4</v>
      </c>
      <c r="O126">
        <v>1</v>
      </c>
      <c r="P126">
        <v>4</v>
      </c>
      <c r="Q126">
        <v>5</v>
      </c>
      <c r="R126">
        <v>8</v>
      </c>
      <c r="S126">
        <v>14</v>
      </c>
      <c r="T126">
        <v>17</v>
      </c>
      <c r="U126">
        <v>16</v>
      </c>
      <c r="V126">
        <v>18</v>
      </c>
      <c r="W126">
        <v>8</v>
      </c>
      <c r="X126">
        <v>6</v>
      </c>
      <c r="Y126">
        <v>3</v>
      </c>
      <c r="Z126">
        <v>15</v>
      </c>
      <c r="AA126">
        <v>2</v>
      </c>
      <c r="AB126">
        <v>8</v>
      </c>
      <c r="AC126">
        <v>3</v>
      </c>
      <c r="AD126">
        <v>3</v>
      </c>
      <c r="AE126">
        <v>2</v>
      </c>
      <c r="AF126">
        <v>3</v>
      </c>
      <c r="AG126">
        <v>3</v>
      </c>
      <c r="AH126">
        <v>2</v>
      </c>
      <c r="AI126">
        <v>7</v>
      </c>
      <c r="AJ126">
        <v>6</v>
      </c>
      <c r="AK126">
        <v>200</v>
      </c>
      <c r="AL126">
        <v>4000</v>
      </c>
      <c r="AM126">
        <v>500</v>
      </c>
      <c r="AN126" t="s">
        <v>46</v>
      </c>
      <c r="AO126" t="s">
        <v>46</v>
      </c>
      <c r="AQ126">
        <v>1</v>
      </c>
      <c r="AS126">
        <v>52</v>
      </c>
      <c r="AT126">
        <v>20</v>
      </c>
      <c r="AV126">
        <v>1</v>
      </c>
      <c r="AW126">
        <v>22</v>
      </c>
      <c r="AX126">
        <v>2225</v>
      </c>
      <c r="AY126">
        <v>3</v>
      </c>
      <c r="AZ126">
        <v>2</v>
      </c>
      <c r="BA126">
        <v>2</v>
      </c>
      <c r="BB126">
        <v>2</v>
      </c>
      <c r="BC126">
        <v>10</v>
      </c>
      <c r="BD126">
        <v>3</v>
      </c>
      <c r="BE126">
        <v>2</v>
      </c>
      <c r="BF126">
        <v>4</v>
      </c>
      <c r="BG126">
        <v>2</v>
      </c>
      <c r="BH126">
        <v>2</v>
      </c>
      <c r="BI126">
        <v>3</v>
      </c>
      <c r="BJ126">
        <v>2</v>
      </c>
      <c r="BK126">
        <v>1</v>
      </c>
      <c r="BL126">
        <v>146</v>
      </c>
      <c r="BM126">
        <v>10</v>
      </c>
      <c r="BN126">
        <v>135</v>
      </c>
      <c r="BO126">
        <v>48</v>
      </c>
      <c r="BP126">
        <v>14</v>
      </c>
      <c r="BQ126">
        <v>16</v>
      </c>
      <c r="BR126">
        <v>1</v>
      </c>
      <c r="BS126">
        <v>58</v>
      </c>
      <c r="BT126">
        <v>1</v>
      </c>
      <c r="BU126">
        <v>2</v>
      </c>
    </row>
    <row r="127" spans="1:73" x14ac:dyDescent="0.25">
      <c r="A127" s="17">
        <v>43237</v>
      </c>
      <c r="B127">
        <v>31</v>
      </c>
      <c r="C127">
        <v>4</v>
      </c>
      <c r="D127">
        <v>4</v>
      </c>
      <c r="E127">
        <v>7</v>
      </c>
      <c r="F127">
        <v>21</v>
      </c>
      <c r="G127">
        <v>22</v>
      </c>
      <c r="H127">
        <v>12</v>
      </c>
      <c r="I127">
        <v>4</v>
      </c>
      <c r="J127">
        <v>5</v>
      </c>
      <c r="K127">
        <v>9</v>
      </c>
      <c r="L127">
        <v>2</v>
      </c>
      <c r="M127">
        <v>5</v>
      </c>
      <c r="N127">
        <v>4</v>
      </c>
      <c r="O127">
        <v>1</v>
      </c>
      <c r="P127">
        <v>4</v>
      </c>
      <c r="Q127">
        <v>5</v>
      </c>
      <c r="R127">
        <v>8</v>
      </c>
      <c r="S127">
        <v>14</v>
      </c>
      <c r="T127">
        <v>17</v>
      </c>
      <c r="U127">
        <v>16</v>
      </c>
      <c r="V127">
        <v>18</v>
      </c>
      <c r="W127">
        <v>8</v>
      </c>
      <c r="X127">
        <v>5</v>
      </c>
      <c r="Y127">
        <v>3</v>
      </c>
      <c r="Z127">
        <v>15</v>
      </c>
      <c r="AA127">
        <v>2</v>
      </c>
      <c r="AB127">
        <v>8</v>
      </c>
      <c r="AC127">
        <v>3</v>
      </c>
      <c r="AD127">
        <v>3</v>
      </c>
      <c r="AE127">
        <v>2</v>
      </c>
      <c r="AF127">
        <v>3</v>
      </c>
      <c r="AG127">
        <v>3</v>
      </c>
      <c r="AH127">
        <v>2</v>
      </c>
      <c r="AI127">
        <v>7</v>
      </c>
      <c r="AJ127">
        <v>6</v>
      </c>
      <c r="AK127">
        <v>200</v>
      </c>
      <c r="AL127">
        <v>4000</v>
      </c>
      <c r="AM127">
        <v>500</v>
      </c>
      <c r="AN127" t="s">
        <v>46</v>
      </c>
      <c r="AO127" t="s">
        <v>46</v>
      </c>
      <c r="AQ127">
        <v>1</v>
      </c>
      <c r="AS127">
        <v>52</v>
      </c>
      <c r="AT127">
        <v>20</v>
      </c>
      <c r="AV127">
        <v>1</v>
      </c>
      <c r="AW127">
        <v>22</v>
      </c>
      <c r="AX127">
        <v>2225</v>
      </c>
      <c r="AY127">
        <v>2</v>
      </c>
      <c r="AZ127">
        <v>2</v>
      </c>
      <c r="BA127">
        <v>2</v>
      </c>
      <c r="BB127">
        <v>2</v>
      </c>
      <c r="BC127">
        <v>10</v>
      </c>
      <c r="BD127">
        <v>3</v>
      </c>
      <c r="BE127">
        <v>2</v>
      </c>
      <c r="BF127">
        <v>4</v>
      </c>
      <c r="BG127">
        <v>2</v>
      </c>
      <c r="BH127">
        <v>2</v>
      </c>
      <c r="BI127">
        <v>3</v>
      </c>
      <c r="BJ127">
        <v>2</v>
      </c>
      <c r="BK127">
        <v>1</v>
      </c>
      <c r="BL127">
        <v>146</v>
      </c>
      <c r="BM127">
        <v>10</v>
      </c>
      <c r="BN127">
        <v>135</v>
      </c>
      <c r="BO127">
        <v>48</v>
      </c>
      <c r="BP127">
        <v>14</v>
      </c>
      <c r="BQ127">
        <v>16</v>
      </c>
      <c r="BR127">
        <v>1</v>
      </c>
      <c r="BS127">
        <v>58</v>
      </c>
      <c r="BT127">
        <v>1</v>
      </c>
      <c r="BU127">
        <v>2</v>
      </c>
    </row>
    <row r="128" spans="1:73" x14ac:dyDescent="0.25">
      <c r="A128" s="17">
        <v>43241</v>
      </c>
      <c r="B128">
        <v>31</v>
      </c>
      <c r="C128">
        <v>4</v>
      </c>
      <c r="D128">
        <v>4</v>
      </c>
      <c r="E128">
        <v>7</v>
      </c>
      <c r="F128">
        <v>21</v>
      </c>
      <c r="G128">
        <v>22</v>
      </c>
      <c r="H128">
        <v>12</v>
      </c>
      <c r="I128">
        <v>4</v>
      </c>
      <c r="J128">
        <v>4</v>
      </c>
      <c r="K128">
        <v>8</v>
      </c>
      <c r="L128">
        <v>2</v>
      </c>
      <c r="M128">
        <v>5</v>
      </c>
      <c r="N128">
        <v>4</v>
      </c>
      <c r="O128">
        <v>1</v>
      </c>
      <c r="P128">
        <v>4</v>
      </c>
      <c r="Q128">
        <v>5</v>
      </c>
      <c r="R128">
        <v>8</v>
      </c>
      <c r="S128">
        <v>14</v>
      </c>
      <c r="T128">
        <v>17</v>
      </c>
      <c r="U128">
        <v>16</v>
      </c>
      <c r="V128">
        <v>18</v>
      </c>
      <c r="W128">
        <v>8</v>
      </c>
      <c r="X128">
        <v>5</v>
      </c>
      <c r="Y128">
        <v>3</v>
      </c>
      <c r="Z128">
        <v>15</v>
      </c>
      <c r="AA128">
        <v>2</v>
      </c>
      <c r="AB128">
        <v>8</v>
      </c>
      <c r="AC128">
        <v>2</v>
      </c>
      <c r="AD128">
        <v>3</v>
      </c>
      <c r="AE128">
        <v>2</v>
      </c>
      <c r="AF128">
        <v>3</v>
      </c>
      <c r="AG128">
        <v>3</v>
      </c>
      <c r="AH128">
        <v>2</v>
      </c>
      <c r="AI128">
        <v>7</v>
      </c>
      <c r="AJ128">
        <v>6</v>
      </c>
      <c r="AK128">
        <v>200</v>
      </c>
      <c r="AL128">
        <v>3900</v>
      </c>
      <c r="AM128">
        <v>500</v>
      </c>
      <c r="AN128" t="s">
        <v>46</v>
      </c>
      <c r="AO128" t="s">
        <v>46</v>
      </c>
      <c r="AQ128">
        <v>1</v>
      </c>
      <c r="AS128">
        <v>52</v>
      </c>
      <c r="AT128">
        <v>20</v>
      </c>
      <c r="AV128">
        <v>1</v>
      </c>
      <c r="AW128">
        <v>22</v>
      </c>
      <c r="AX128">
        <v>2025</v>
      </c>
      <c r="AY128">
        <v>2</v>
      </c>
      <c r="AZ128">
        <v>2</v>
      </c>
      <c r="BA128">
        <v>2</v>
      </c>
      <c r="BB128">
        <v>2</v>
      </c>
      <c r="BC128">
        <v>10</v>
      </c>
      <c r="BD128">
        <v>3</v>
      </c>
      <c r="BE128">
        <v>2</v>
      </c>
      <c r="BF128">
        <v>4</v>
      </c>
      <c r="BG128">
        <v>2</v>
      </c>
      <c r="BH128">
        <v>2</v>
      </c>
      <c r="BI128">
        <v>3</v>
      </c>
      <c r="BJ128">
        <v>2</v>
      </c>
      <c r="BK128">
        <v>1</v>
      </c>
      <c r="BL128">
        <v>146</v>
      </c>
      <c r="BM128">
        <v>10</v>
      </c>
      <c r="BN128">
        <v>135</v>
      </c>
      <c r="BO128">
        <v>48</v>
      </c>
      <c r="BP128">
        <v>14</v>
      </c>
      <c r="BQ128">
        <v>16</v>
      </c>
      <c r="BR128">
        <v>1</v>
      </c>
      <c r="BS128">
        <v>58</v>
      </c>
      <c r="BT128">
        <v>1</v>
      </c>
      <c r="BU128">
        <v>2</v>
      </c>
    </row>
    <row r="129" spans="1:73" x14ac:dyDescent="0.25">
      <c r="A129" s="17">
        <v>43243</v>
      </c>
      <c r="B129">
        <v>31</v>
      </c>
      <c r="C129">
        <v>3</v>
      </c>
      <c r="D129">
        <v>3</v>
      </c>
      <c r="E129">
        <v>6</v>
      </c>
      <c r="F129">
        <v>21</v>
      </c>
      <c r="G129">
        <v>22</v>
      </c>
      <c r="H129">
        <v>12</v>
      </c>
      <c r="I129">
        <v>4</v>
      </c>
      <c r="J129">
        <v>4</v>
      </c>
      <c r="K129">
        <v>8</v>
      </c>
      <c r="L129">
        <v>6</v>
      </c>
      <c r="M129">
        <v>5</v>
      </c>
      <c r="N129">
        <v>4</v>
      </c>
      <c r="O129">
        <v>1</v>
      </c>
      <c r="P129">
        <v>4</v>
      </c>
      <c r="Q129">
        <v>4</v>
      </c>
      <c r="R129">
        <v>8</v>
      </c>
      <c r="S129">
        <v>14</v>
      </c>
      <c r="T129">
        <v>17</v>
      </c>
      <c r="U129">
        <v>16</v>
      </c>
      <c r="V129">
        <v>18</v>
      </c>
      <c r="W129">
        <v>8</v>
      </c>
      <c r="X129">
        <v>5</v>
      </c>
      <c r="Y129">
        <v>3</v>
      </c>
      <c r="Z129">
        <v>15</v>
      </c>
      <c r="AA129">
        <v>2</v>
      </c>
      <c r="AB129">
        <v>8</v>
      </c>
      <c r="AC129">
        <v>2</v>
      </c>
      <c r="AD129">
        <v>3</v>
      </c>
      <c r="AE129">
        <v>2</v>
      </c>
      <c r="AF129">
        <v>2</v>
      </c>
      <c r="AG129">
        <v>2</v>
      </c>
      <c r="AH129">
        <v>2</v>
      </c>
      <c r="AI129">
        <v>7</v>
      </c>
      <c r="AJ129">
        <v>6</v>
      </c>
      <c r="AK129">
        <v>200</v>
      </c>
      <c r="AL129">
        <v>3550</v>
      </c>
      <c r="AM129">
        <v>500</v>
      </c>
      <c r="AN129" t="s">
        <v>46</v>
      </c>
      <c r="AO129" t="s">
        <v>46</v>
      </c>
      <c r="AQ129">
        <v>1</v>
      </c>
      <c r="AS129">
        <v>52</v>
      </c>
      <c r="AT129">
        <v>20</v>
      </c>
      <c r="AV129">
        <v>1</v>
      </c>
      <c r="AW129">
        <v>22</v>
      </c>
      <c r="AX129">
        <v>1825</v>
      </c>
      <c r="AY129">
        <v>2</v>
      </c>
      <c r="AZ129">
        <v>2</v>
      </c>
      <c r="BA129">
        <v>2</v>
      </c>
      <c r="BB129">
        <v>12</v>
      </c>
      <c r="BC129">
        <v>10</v>
      </c>
      <c r="BD129">
        <v>2</v>
      </c>
      <c r="BE129">
        <v>2</v>
      </c>
      <c r="BF129">
        <v>4</v>
      </c>
      <c r="BG129">
        <v>2</v>
      </c>
      <c r="BH129">
        <v>2</v>
      </c>
      <c r="BI129">
        <v>3</v>
      </c>
      <c r="BJ129">
        <v>2</v>
      </c>
      <c r="BK129">
        <v>3</v>
      </c>
      <c r="BL129">
        <v>145</v>
      </c>
      <c r="BM129">
        <v>9</v>
      </c>
      <c r="BN129">
        <v>135</v>
      </c>
      <c r="BO129">
        <v>47</v>
      </c>
      <c r="BP129">
        <v>13</v>
      </c>
      <c r="BQ129">
        <v>16</v>
      </c>
      <c r="BR129">
        <v>1</v>
      </c>
      <c r="BS129">
        <v>58</v>
      </c>
      <c r="BT129">
        <v>1</v>
      </c>
      <c r="BU129">
        <v>2</v>
      </c>
    </row>
    <row r="130" spans="1:73" x14ac:dyDescent="0.25">
      <c r="A130" s="17">
        <v>43245</v>
      </c>
      <c r="B130">
        <v>31</v>
      </c>
      <c r="C130">
        <v>10</v>
      </c>
      <c r="D130">
        <v>3</v>
      </c>
      <c r="E130">
        <v>6</v>
      </c>
      <c r="F130">
        <v>21</v>
      </c>
      <c r="G130">
        <v>21</v>
      </c>
      <c r="H130">
        <v>11</v>
      </c>
      <c r="I130">
        <v>3</v>
      </c>
      <c r="J130">
        <v>4</v>
      </c>
      <c r="K130">
        <v>8</v>
      </c>
      <c r="L130">
        <v>6</v>
      </c>
      <c r="M130">
        <v>5</v>
      </c>
      <c r="N130">
        <v>3</v>
      </c>
      <c r="O130">
        <v>5</v>
      </c>
      <c r="P130">
        <v>4</v>
      </c>
      <c r="Q130">
        <v>4</v>
      </c>
      <c r="R130">
        <v>7</v>
      </c>
      <c r="S130">
        <v>14</v>
      </c>
      <c r="T130">
        <v>17</v>
      </c>
      <c r="U130">
        <v>16</v>
      </c>
      <c r="V130">
        <v>18</v>
      </c>
      <c r="W130">
        <v>8</v>
      </c>
      <c r="X130">
        <v>5</v>
      </c>
      <c r="Y130">
        <v>3</v>
      </c>
      <c r="Z130">
        <v>14</v>
      </c>
      <c r="AA130">
        <v>2</v>
      </c>
      <c r="AB130">
        <v>8</v>
      </c>
      <c r="AC130">
        <v>2</v>
      </c>
      <c r="AD130">
        <v>3</v>
      </c>
      <c r="AE130">
        <v>2</v>
      </c>
      <c r="AF130">
        <v>2</v>
      </c>
      <c r="AG130">
        <v>2</v>
      </c>
      <c r="AH130">
        <v>2</v>
      </c>
      <c r="AI130">
        <v>7</v>
      </c>
      <c r="AJ130">
        <v>6</v>
      </c>
      <c r="AK130">
        <v>200</v>
      </c>
      <c r="AL130">
        <v>3550</v>
      </c>
      <c r="AM130">
        <v>500</v>
      </c>
      <c r="AN130" t="s">
        <v>46</v>
      </c>
      <c r="AO130" t="s">
        <v>46</v>
      </c>
      <c r="AQ130">
        <v>1</v>
      </c>
      <c r="AS130">
        <v>52</v>
      </c>
      <c r="AT130">
        <v>20</v>
      </c>
      <c r="AV130">
        <v>3</v>
      </c>
      <c r="AW130">
        <v>22</v>
      </c>
      <c r="AX130">
        <v>1800</v>
      </c>
      <c r="AY130">
        <v>2</v>
      </c>
      <c r="AZ130">
        <v>2</v>
      </c>
      <c r="BA130">
        <v>1</v>
      </c>
      <c r="BB130">
        <v>11</v>
      </c>
      <c r="BC130">
        <v>9</v>
      </c>
      <c r="BD130">
        <v>2</v>
      </c>
      <c r="BE130">
        <v>2</v>
      </c>
      <c r="BF130">
        <v>4</v>
      </c>
      <c r="BG130">
        <v>2</v>
      </c>
      <c r="BH130">
        <v>2</v>
      </c>
      <c r="BI130">
        <v>3</v>
      </c>
      <c r="BJ130">
        <v>2</v>
      </c>
      <c r="BK130">
        <v>3</v>
      </c>
      <c r="BL130">
        <v>145</v>
      </c>
      <c r="BM130">
        <v>81</v>
      </c>
      <c r="BN130">
        <v>134</v>
      </c>
      <c r="BO130">
        <v>47</v>
      </c>
      <c r="BP130">
        <v>13</v>
      </c>
      <c r="BQ130">
        <v>16</v>
      </c>
      <c r="BR130">
        <v>1</v>
      </c>
      <c r="BS130">
        <v>57</v>
      </c>
      <c r="BT130">
        <v>3</v>
      </c>
      <c r="BU130">
        <v>2</v>
      </c>
    </row>
    <row r="131" spans="1:73" x14ac:dyDescent="0.25">
      <c r="A131" s="17">
        <v>43249</v>
      </c>
      <c r="B131">
        <v>31</v>
      </c>
      <c r="C131">
        <v>9</v>
      </c>
      <c r="D131">
        <v>3</v>
      </c>
      <c r="E131">
        <v>6</v>
      </c>
      <c r="F131">
        <v>21</v>
      </c>
      <c r="G131">
        <v>21</v>
      </c>
      <c r="H131">
        <v>11</v>
      </c>
      <c r="I131">
        <v>3</v>
      </c>
      <c r="J131">
        <v>4</v>
      </c>
      <c r="K131">
        <v>8</v>
      </c>
      <c r="L131">
        <v>6</v>
      </c>
      <c r="M131">
        <v>5</v>
      </c>
      <c r="N131">
        <v>3</v>
      </c>
      <c r="O131">
        <v>5</v>
      </c>
      <c r="P131">
        <v>4</v>
      </c>
      <c r="Q131">
        <v>4</v>
      </c>
      <c r="R131">
        <v>7</v>
      </c>
      <c r="S131">
        <v>14</v>
      </c>
      <c r="T131">
        <v>17</v>
      </c>
      <c r="U131">
        <v>15</v>
      </c>
      <c r="V131">
        <v>18</v>
      </c>
      <c r="W131">
        <v>8</v>
      </c>
      <c r="X131">
        <v>5</v>
      </c>
      <c r="Y131">
        <v>3</v>
      </c>
      <c r="Z131">
        <v>14</v>
      </c>
      <c r="AA131">
        <v>2</v>
      </c>
      <c r="AB131">
        <v>8</v>
      </c>
      <c r="AC131">
        <v>2</v>
      </c>
      <c r="AD131">
        <v>3</v>
      </c>
      <c r="AE131">
        <v>2</v>
      </c>
      <c r="AF131">
        <v>2</v>
      </c>
      <c r="AG131">
        <v>2</v>
      </c>
      <c r="AH131">
        <v>2</v>
      </c>
      <c r="AI131">
        <v>7</v>
      </c>
      <c r="AJ131">
        <v>6</v>
      </c>
      <c r="AK131">
        <v>200</v>
      </c>
      <c r="AL131">
        <v>3500</v>
      </c>
      <c r="AM131">
        <v>500</v>
      </c>
      <c r="AN131" t="s">
        <v>46</v>
      </c>
      <c r="AO131" t="s">
        <v>46</v>
      </c>
      <c r="AQ131">
        <v>1</v>
      </c>
      <c r="AS131">
        <v>52</v>
      </c>
      <c r="AT131">
        <v>20</v>
      </c>
      <c r="AV131">
        <v>3</v>
      </c>
      <c r="AW131">
        <v>22</v>
      </c>
      <c r="AX131">
        <v>1630</v>
      </c>
      <c r="AY131">
        <v>2</v>
      </c>
      <c r="AZ131">
        <v>2</v>
      </c>
      <c r="BA131">
        <v>1</v>
      </c>
      <c r="BB131">
        <v>11</v>
      </c>
      <c r="BC131">
        <v>9</v>
      </c>
      <c r="BD131">
        <v>2</v>
      </c>
      <c r="BE131">
        <v>2</v>
      </c>
      <c r="BF131">
        <v>4</v>
      </c>
      <c r="BG131">
        <v>2</v>
      </c>
      <c r="BH131">
        <v>2</v>
      </c>
      <c r="BI131">
        <v>3</v>
      </c>
      <c r="BJ131">
        <v>2</v>
      </c>
      <c r="BK131">
        <v>3</v>
      </c>
      <c r="BL131">
        <v>145</v>
      </c>
      <c r="BM131">
        <v>81</v>
      </c>
      <c r="BN131">
        <v>134</v>
      </c>
      <c r="BO131">
        <v>46</v>
      </c>
      <c r="BP131">
        <v>13</v>
      </c>
      <c r="BQ131">
        <v>16</v>
      </c>
      <c r="BR131">
        <v>1</v>
      </c>
      <c r="BS131">
        <v>57</v>
      </c>
      <c r="BT131">
        <v>3</v>
      </c>
      <c r="BU131">
        <v>2</v>
      </c>
    </row>
    <row r="132" spans="1:73" x14ac:dyDescent="0.25">
      <c r="A132" s="17">
        <v>43250</v>
      </c>
      <c r="B132">
        <v>31</v>
      </c>
      <c r="C132">
        <v>9</v>
      </c>
      <c r="D132">
        <v>3</v>
      </c>
      <c r="E132">
        <v>6</v>
      </c>
      <c r="F132">
        <v>21</v>
      </c>
      <c r="G132">
        <v>21</v>
      </c>
      <c r="H132">
        <v>11</v>
      </c>
      <c r="I132">
        <v>3</v>
      </c>
      <c r="J132">
        <v>4</v>
      </c>
      <c r="K132">
        <v>8</v>
      </c>
      <c r="L132">
        <v>6</v>
      </c>
      <c r="M132">
        <v>5</v>
      </c>
      <c r="N132">
        <v>3</v>
      </c>
      <c r="O132">
        <v>5</v>
      </c>
      <c r="P132">
        <v>4</v>
      </c>
      <c r="Q132">
        <v>4</v>
      </c>
      <c r="R132">
        <v>7</v>
      </c>
      <c r="S132">
        <v>14</v>
      </c>
      <c r="T132">
        <v>17</v>
      </c>
      <c r="U132">
        <v>15</v>
      </c>
      <c r="V132">
        <v>18</v>
      </c>
      <c r="W132">
        <v>8</v>
      </c>
      <c r="X132">
        <v>4</v>
      </c>
      <c r="Y132">
        <v>3</v>
      </c>
      <c r="Z132">
        <v>14</v>
      </c>
      <c r="AA132">
        <v>2</v>
      </c>
      <c r="AB132">
        <v>8</v>
      </c>
      <c r="AC132">
        <v>2</v>
      </c>
      <c r="AD132">
        <v>3</v>
      </c>
      <c r="AE132">
        <v>2</v>
      </c>
      <c r="AF132">
        <v>2</v>
      </c>
      <c r="AG132">
        <v>2</v>
      </c>
      <c r="AH132">
        <v>2</v>
      </c>
      <c r="AI132">
        <v>7</v>
      </c>
      <c r="AJ132">
        <v>6</v>
      </c>
      <c r="AK132">
        <v>200</v>
      </c>
      <c r="AL132">
        <v>3500</v>
      </c>
      <c r="AM132">
        <v>500</v>
      </c>
      <c r="AN132" t="s">
        <v>46</v>
      </c>
      <c r="AO132" t="s">
        <v>46</v>
      </c>
      <c r="AQ132">
        <v>1</v>
      </c>
      <c r="AS132">
        <v>52</v>
      </c>
      <c r="AT132">
        <v>20</v>
      </c>
      <c r="AV132">
        <v>3</v>
      </c>
      <c r="AW132">
        <v>22</v>
      </c>
      <c r="AX132">
        <v>1530</v>
      </c>
      <c r="AY132">
        <v>2</v>
      </c>
      <c r="AZ132">
        <v>2</v>
      </c>
      <c r="BA132">
        <v>1</v>
      </c>
      <c r="BB132">
        <v>11</v>
      </c>
      <c r="BC132">
        <v>9</v>
      </c>
      <c r="BD132">
        <v>2</v>
      </c>
      <c r="BE132">
        <v>2</v>
      </c>
      <c r="BF132">
        <v>4</v>
      </c>
      <c r="BG132">
        <v>2</v>
      </c>
      <c r="BH132">
        <v>2</v>
      </c>
      <c r="BI132">
        <v>3</v>
      </c>
      <c r="BJ132">
        <v>2</v>
      </c>
      <c r="BK132">
        <v>3</v>
      </c>
      <c r="BL132">
        <v>145</v>
      </c>
      <c r="BM132">
        <v>81</v>
      </c>
      <c r="BN132">
        <v>134</v>
      </c>
      <c r="BO132">
        <v>46</v>
      </c>
      <c r="BP132">
        <v>13</v>
      </c>
      <c r="BQ132">
        <v>16</v>
      </c>
      <c r="BR132">
        <v>1</v>
      </c>
      <c r="BS132">
        <v>57</v>
      </c>
      <c r="BT132">
        <v>3</v>
      </c>
      <c r="BU132">
        <v>2</v>
      </c>
    </row>
    <row r="133" spans="1:73" x14ac:dyDescent="0.25">
      <c r="A133" s="17">
        <v>43251</v>
      </c>
      <c r="B133">
        <v>31</v>
      </c>
      <c r="C133">
        <v>8</v>
      </c>
      <c r="D133">
        <v>3</v>
      </c>
      <c r="E133">
        <v>6</v>
      </c>
      <c r="F133">
        <v>21</v>
      </c>
      <c r="G133">
        <v>21</v>
      </c>
      <c r="H133">
        <v>11</v>
      </c>
      <c r="I133">
        <v>3</v>
      </c>
      <c r="J133">
        <v>3</v>
      </c>
      <c r="K133">
        <v>8</v>
      </c>
      <c r="L133">
        <v>6</v>
      </c>
      <c r="M133">
        <v>5</v>
      </c>
      <c r="N133">
        <v>3</v>
      </c>
      <c r="O133">
        <v>5</v>
      </c>
      <c r="P133">
        <v>4</v>
      </c>
      <c r="Q133">
        <v>4</v>
      </c>
      <c r="R133">
        <v>7</v>
      </c>
      <c r="S133">
        <v>14</v>
      </c>
      <c r="T133">
        <v>17</v>
      </c>
      <c r="U133">
        <v>15</v>
      </c>
      <c r="V133">
        <v>18</v>
      </c>
      <c r="W133">
        <v>8</v>
      </c>
      <c r="X133">
        <v>4</v>
      </c>
      <c r="Y133">
        <v>3</v>
      </c>
      <c r="Z133">
        <v>14</v>
      </c>
      <c r="AA133">
        <v>2</v>
      </c>
      <c r="AB133">
        <v>8</v>
      </c>
      <c r="AC133">
        <v>2</v>
      </c>
      <c r="AD133">
        <v>3</v>
      </c>
      <c r="AE133">
        <v>2</v>
      </c>
      <c r="AF133">
        <v>2</v>
      </c>
      <c r="AG133">
        <v>2</v>
      </c>
      <c r="AH133">
        <v>2</v>
      </c>
      <c r="AI133">
        <v>7</v>
      </c>
      <c r="AJ133">
        <v>6</v>
      </c>
      <c r="AK133">
        <v>200</v>
      </c>
      <c r="AL133">
        <v>3250</v>
      </c>
      <c r="AM133">
        <v>500</v>
      </c>
      <c r="AN133" t="s">
        <v>46</v>
      </c>
      <c r="AO133" t="s">
        <v>46</v>
      </c>
      <c r="AQ133">
        <v>1</v>
      </c>
      <c r="AS133">
        <v>52</v>
      </c>
      <c r="AT133">
        <v>20</v>
      </c>
      <c r="AV133">
        <v>3</v>
      </c>
      <c r="AW133">
        <v>22</v>
      </c>
      <c r="AX133">
        <v>1465</v>
      </c>
      <c r="AY133">
        <v>2</v>
      </c>
      <c r="AZ133">
        <v>2</v>
      </c>
      <c r="BA133">
        <v>1</v>
      </c>
      <c r="BB133">
        <v>11</v>
      </c>
      <c r="BC133">
        <v>9</v>
      </c>
      <c r="BD133">
        <v>2</v>
      </c>
      <c r="BE133">
        <v>2</v>
      </c>
      <c r="BF133">
        <v>4</v>
      </c>
      <c r="BG133">
        <v>2</v>
      </c>
      <c r="BH133">
        <v>2</v>
      </c>
      <c r="BI133">
        <v>2</v>
      </c>
      <c r="BJ133">
        <v>2</v>
      </c>
      <c r="BK133">
        <v>3</v>
      </c>
      <c r="BL133">
        <v>145</v>
      </c>
      <c r="BM133">
        <v>81</v>
      </c>
      <c r="BN133">
        <v>134</v>
      </c>
      <c r="BO133">
        <v>46</v>
      </c>
      <c r="BP133">
        <v>13</v>
      </c>
      <c r="BQ133">
        <v>16</v>
      </c>
      <c r="BR133">
        <v>1</v>
      </c>
      <c r="BS133">
        <v>57</v>
      </c>
      <c r="BT133">
        <v>3</v>
      </c>
      <c r="BU133">
        <v>2</v>
      </c>
    </row>
    <row r="134" spans="1:73" x14ac:dyDescent="0.25">
      <c r="A134" s="17">
        <v>43255</v>
      </c>
      <c r="B134">
        <v>31</v>
      </c>
      <c r="C134">
        <v>7</v>
      </c>
      <c r="D134">
        <v>3</v>
      </c>
      <c r="E134">
        <v>6</v>
      </c>
      <c r="F134">
        <v>21</v>
      </c>
      <c r="G134">
        <v>21</v>
      </c>
      <c r="H134">
        <v>11</v>
      </c>
      <c r="I134">
        <v>2</v>
      </c>
      <c r="J134">
        <v>3</v>
      </c>
      <c r="K134">
        <v>8</v>
      </c>
      <c r="L134">
        <v>6</v>
      </c>
      <c r="M134">
        <v>5</v>
      </c>
      <c r="N134">
        <v>3</v>
      </c>
      <c r="O134">
        <v>4</v>
      </c>
      <c r="P134">
        <v>4</v>
      </c>
      <c r="Q134">
        <v>3</v>
      </c>
      <c r="R134">
        <v>6</v>
      </c>
      <c r="S134">
        <v>14</v>
      </c>
      <c r="T134">
        <v>17</v>
      </c>
      <c r="U134">
        <v>15</v>
      </c>
      <c r="V134">
        <v>18</v>
      </c>
      <c r="W134">
        <v>8</v>
      </c>
      <c r="X134">
        <v>4</v>
      </c>
      <c r="Y134">
        <v>3</v>
      </c>
      <c r="Z134">
        <v>14</v>
      </c>
      <c r="AA134">
        <v>2</v>
      </c>
      <c r="AB134">
        <v>8</v>
      </c>
      <c r="AC134">
        <v>2</v>
      </c>
      <c r="AD134">
        <v>2</v>
      </c>
      <c r="AE134">
        <v>2</v>
      </c>
      <c r="AF134">
        <v>2</v>
      </c>
      <c r="AG134">
        <v>2</v>
      </c>
      <c r="AH134">
        <v>2</v>
      </c>
      <c r="AI134">
        <v>7</v>
      </c>
      <c r="AJ134">
        <v>6</v>
      </c>
      <c r="AK134">
        <v>200</v>
      </c>
      <c r="AL134">
        <v>3200</v>
      </c>
      <c r="AM134">
        <v>500</v>
      </c>
      <c r="AN134" t="s">
        <v>46</v>
      </c>
      <c r="AO134" t="s">
        <v>46</v>
      </c>
      <c r="AQ134">
        <v>1</v>
      </c>
      <c r="AS134">
        <v>52</v>
      </c>
      <c r="AT134">
        <v>20</v>
      </c>
      <c r="AV134">
        <v>3</v>
      </c>
      <c r="AW134">
        <v>22</v>
      </c>
      <c r="AX134">
        <v>1340</v>
      </c>
      <c r="AY134">
        <v>2</v>
      </c>
      <c r="AZ134">
        <v>2</v>
      </c>
      <c r="BA134">
        <v>1</v>
      </c>
      <c r="BB134">
        <v>10</v>
      </c>
      <c r="BC134">
        <v>8</v>
      </c>
      <c r="BD134">
        <v>2</v>
      </c>
      <c r="BE134">
        <v>2</v>
      </c>
      <c r="BF134">
        <v>3</v>
      </c>
      <c r="BG134">
        <v>2</v>
      </c>
      <c r="BH134">
        <v>2</v>
      </c>
      <c r="BI134">
        <v>1</v>
      </c>
      <c r="BJ134">
        <v>2</v>
      </c>
      <c r="BK134">
        <v>3</v>
      </c>
      <c r="BL134">
        <v>144</v>
      </c>
      <c r="BM134">
        <v>81</v>
      </c>
      <c r="BN134">
        <v>134</v>
      </c>
      <c r="BO134">
        <v>46</v>
      </c>
      <c r="BP134">
        <v>12</v>
      </c>
      <c r="BQ134">
        <v>15</v>
      </c>
      <c r="BR134">
        <v>1</v>
      </c>
      <c r="BS134">
        <v>57</v>
      </c>
      <c r="BT134">
        <v>2</v>
      </c>
      <c r="BU134">
        <v>2</v>
      </c>
    </row>
    <row r="135" spans="1:73" x14ac:dyDescent="0.25">
      <c r="A135" s="17">
        <v>43257</v>
      </c>
      <c r="B135">
        <v>31</v>
      </c>
      <c r="C135">
        <v>7</v>
      </c>
      <c r="D135">
        <v>2</v>
      </c>
      <c r="E135">
        <v>6</v>
      </c>
      <c r="F135">
        <v>21</v>
      </c>
      <c r="G135">
        <v>21</v>
      </c>
      <c r="H135">
        <v>11</v>
      </c>
      <c r="I135">
        <v>2</v>
      </c>
      <c r="J135">
        <v>3</v>
      </c>
      <c r="K135">
        <v>8</v>
      </c>
      <c r="L135">
        <v>6</v>
      </c>
      <c r="M135">
        <v>5</v>
      </c>
      <c r="N135">
        <v>3</v>
      </c>
      <c r="O135">
        <v>4</v>
      </c>
      <c r="P135">
        <v>3</v>
      </c>
      <c r="Q135">
        <v>9</v>
      </c>
      <c r="R135">
        <v>6</v>
      </c>
      <c r="S135">
        <v>14</v>
      </c>
      <c r="T135">
        <v>17</v>
      </c>
      <c r="U135">
        <v>15</v>
      </c>
      <c r="V135">
        <v>17</v>
      </c>
      <c r="W135">
        <v>10</v>
      </c>
      <c r="X135">
        <v>4</v>
      </c>
      <c r="Y135">
        <v>3</v>
      </c>
      <c r="Z135">
        <v>13</v>
      </c>
      <c r="AA135">
        <v>2</v>
      </c>
      <c r="AB135">
        <v>8</v>
      </c>
      <c r="AC135">
        <v>2</v>
      </c>
      <c r="AD135">
        <v>2</v>
      </c>
      <c r="AE135">
        <v>1</v>
      </c>
      <c r="AF135">
        <v>4</v>
      </c>
      <c r="AG135">
        <v>2</v>
      </c>
      <c r="AH135">
        <v>2</v>
      </c>
      <c r="AI135">
        <v>7</v>
      </c>
      <c r="AJ135">
        <v>6</v>
      </c>
      <c r="AK135">
        <v>200</v>
      </c>
      <c r="AL135">
        <v>3010</v>
      </c>
      <c r="AM135">
        <v>500</v>
      </c>
      <c r="AN135" t="s">
        <v>46</v>
      </c>
      <c r="AO135" t="s">
        <v>46</v>
      </c>
      <c r="AQ135">
        <v>1</v>
      </c>
      <c r="AS135">
        <v>52</v>
      </c>
      <c r="AT135">
        <v>20</v>
      </c>
      <c r="AV135">
        <v>3</v>
      </c>
      <c r="AW135">
        <v>22</v>
      </c>
      <c r="AX135">
        <v>1130</v>
      </c>
      <c r="AY135">
        <v>2</v>
      </c>
      <c r="AZ135">
        <v>2</v>
      </c>
      <c r="BA135">
        <v>1</v>
      </c>
      <c r="BB135">
        <v>10</v>
      </c>
      <c r="BC135">
        <v>8</v>
      </c>
      <c r="BD135">
        <v>2</v>
      </c>
      <c r="BE135">
        <v>2</v>
      </c>
      <c r="BF135">
        <v>3</v>
      </c>
      <c r="BG135">
        <v>2</v>
      </c>
      <c r="BH135">
        <v>2</v>
      </c>
      <c r="BI135">
        <v>1</v>
      </c>
      <c r="BJ135">
        <v>2</v>
      </c>
      <c r="BK135">
        <v>3</v>
      </c>
      <c r="BL135">
        <v>143</v>
      </c>
      <c r="BM135">
        <v>80</v>
      </c>
      <c r="BN135">
        <v>134</v>
      </c>
      <c r="BO135">
        <v>45</v>
      </c>
      <c r="BP135">
        <v>12</v>
      </c>
      <c r="BQ135">
        <v>15</v>
      </c>
      <c r="BR135">
        <v>1</v>
      </c>
      <c r="BS135">
        <v>57</v>
      </c>
      <c r="BT135">
        <v>2</v>
      </c>
      <c r="BU135">
        <v>2</v>
      </c>
    </row>
    <row r="136" spans="1:73" x14ac:dyDescent="0.25">
      <c r="A136" s="17">
        <v>43258</v>
      </c>
      <c r="B136">
        <v>31</v>
      </c>
      <c r="C136">
        <v>6</v>
      </c>
      <c r="D136">
        <v>2</v>
      </c>
      <c r="E136">
        <v>5</v>
      </c>
      <c r="F136">
        <v>21</v>
      </c>
      <c r="G136">
        <v>21</v>
      </c>
      <c r="H136">
        <v>11</v>
      </c>
      <c r="I136">
        <v>9</v>
      </c>
      <c r="J136">
        <v>3</v>
      </c>
      <c r="K136">
        <v>7</v>
      </c>
      <c r="L136">
        <v>6</v>
      </c>
      <c r="M136">
        <v>5</v>
      </c>
      <c r="N136">
        <v>3</v>
      </c>
      <c r="O136">
        <v>4</v>
      </c>
      <c r="P136">
        <v>3</v>
      </c>
      <c r="Q136">
        <v>9</v>
      </c>
      <c r="R136">
        <v>6</v>
      </c>
      <c r="S136">
        <v>14</v>
      </c>
      <c r="T136">
        <v>17</v>
      </c>
      <c r="U136">
        <v>15</v>
      </c>
      <c r="V136">
        <v>17</v>
      </c>
      <c r="W136">
        <v>10</v>
      </c>
      <c r="X136">
        <v>4</v>
      </c>
      <c r="Y136">
        <v>3</v>
      </c>
      <c r="Z136">
        <v>13</v>
      </c>
      <c r="AA136">
        <v>2</v>
      </c>
      <c r="AB136">
        <v>8</v>
      </c>
      <c r="AC136">
        <v>2</v>
      </c>
      <c r="AD136">
        <v>2</v>
      </c>
      <c r="AE136">
        <v>2</v>
      </c>
      <c r="AF136">
        <v>4</v>
      </c>
      <c r="AG136">
        <v>2</v>
      </c>
      <c r="AH136">
        <v>1</v>
      </c>
      <c r="AI136">
        <v>7</v>
      </c>
      <c r="AJ136">
        <v>6</v>
      </c>
      <c r="AK136">
        <v>200</v>
      </c>
      <c r="AL136">
        <v>3010</v>
      </c>
      <c r="AM136">
        <v>500</v>
      </c>
      <c r="AN136" t="s">
        <v>46</v>
      </c>
      <c r="AO136" t="s">
        <v>46</v>
      </c>
      <c r="AQ136">
        <v>1</v>
      </c>
      <c r="AS136">
        <v>52</v>
      </c>
      <c r="AT136">
        <v>20</v>
      </c>
      <c r="AV136">
        <v>3</v>
      </c>
      <c r="AW136">
        <v>22</v>
      </c>
      <c r="AX136">
        <v>2630</v>
      </c>
      <c r="AY136">
        <v>2</v>
      </c>
      <c r="AZ136">
        <v>2</v>
      </c>
      <c r="BA136">
        <v>1</v>
      </c>
      <c r="BB136">
        <v>10</v>
      </c>
      <c r="BC136">
        <v>8</v>
      </c>
      <c r="BD136">
        <v>2</v>
      </c>
      <c r="BE136">
        <v>2</v>
      </c>
      <c r="BF136">
        <v>3</v>
      </c>
      <c r="BG136">
        <v>2</v>
      </c>
      <c r="BH136">
        <v>2</v>
      </c>
      <c r="BI136">
        <v>1</v>
      </c>
      <c r="BJ136">
        <v>2</v>
      </c>
      <c r="BK136">
        <v>3</v>
      </c>
      <c r="BL136">
        <v>143</v>
      </c>
      <c r="BM136">
        <v>80</v>
      </c>
      <c r="BN136">
        <v>133</v>
      </c>
      <c r="BO136">
        <v>45</v>
      </c>
      <c r="BP136">
        <v>12</v>
      </c>
      <c r="BQ136">
        <v>15</v>
      </c>
      <c r="BR136">
        <v>1</v>
      </c>
      <c r="BS136">
        <v>56</v>
      </c>
      <c r="BT136">
        <v>2</v>
      </c>
      <c r="BU136">
        <v>2</v>
      </c>
    </row>
    <row r="137" spans="1:73" x14ac:dyDescent="0.25">
      <c r="A137" s="17">
        <v>43262</v>
      </c>
      <c r="B137">
        <v>30</v>
      </c>
      <c r="C137">
        <v>5</v>
      </c>
      <c r="D137">
        <v>2</v>
      </c>
      <c r="E137">
        <v>5</v>
      </c>
      <c r="F137">
        <v>21</v>
      </c>
      <c r="G137">
        <v>21</v>
      </c>
      <c r="H137">
        <v>11</v>
      </c>
      <c r="I137">
        <v>9</v>
      </c>
      <c r="J137">
        <v>2</v>
      </c>
      <c r="K137">
        <v>7</v>
      </c>
      <c r="L137">
        <v>6</v>
      </c>
      <c r="M137">
        <v>5</v>
      </c>
      <c r="N137">
        <v>3</v>
      </c>
      <c r="O137">
        <v>4</v>
      </c>
      <c r="P137">
        <v>3</v>
      </c>
      <c r="Q137">
        <v>8</v>
      </c>
      <c r="R137">
        <v>5</v>
      </c>
      <c r="S137">
        <v>13</v>
      </c>
      <c r="T137">
        <v>16</v>
      </c>
      <c r="U137">
        <v>15</v>
      </c>
      <c r="V137">
        <v>17</v>
      </c>
      <c r="W137">
        <v>10</v>
      </c>
      <c r="X137">
        <v>4</v>
      </c>
      <c r="Y137">
        <v>3</v>
      </c>
      <c r="Z137">
        <v>13</v>
      </c>
      <c r="AA137">
        <v>2</v>
      </c>
      <c r="AB137">
        <v>7</v>
      </c>
      <c r="AC137">
        <v>2</v>
      </c>
      <c r="AD137">
        <v>2</v>
      </c>
      <c r="AE137">
        <v>2</v>
      </c>
      <c r="AF137">
        <v>3</v>
      </c>
      <c r="AG137">
        <v>2</v>
      </c>
      <c r="AH137">
        <v>1</v>
      </c>
      <c r="AI137">
        <v>7</v>
      </c>
      <c r="AJ137">
        <v>6</v>
      </c>
      <c r="AK137">
        <v>200</v>
      </c>
      <c r="AL137">
        <v>2900</v>
      </c>
      <c r="AM137">
        <v>500</v>
      </c>
      <c r="AN137" t="s">
        <v>46</v>
      </c>
      <c r="AO137" t="s">
        <v>46</v>
      </c>
      <c r="AQ137">
        <v>1</v>
      </c>
      <c r="AS137">
        <v>52</v>
      </c>
      <c r="AT137">
        <v>20</v>
      </c>
      <c r="AV137">
        <v>3</v>
      </c>
      <c r="AW137">
        <v>22</v>
      </c>
      <c r="AX137">
        <v>2480</v>
      </c>
      <c r="AY137">
        <v>2</v>
      </c>
      <c r="AZ137">
        <v>2</v>
      </c>
      <c r="BA137">
        <v>1</v>
      </c>
      <c r="BB137">
        <v>9</v>
      </c>
      <c r="BC137">
        <v>7</v>
      </c>
      <c r="BD137">
        <v>2</v>
      </c>
      <c r="BE137">
        <v>2</v>
      </c>
      <c r="BF137">
        <v>3</v>
      </c>
      <c r="BG137">
        <v>2</v>
      </c>
      <c r="BH137">
        <v>2</v>
      </c>
      <c r="BI137">
        <v>1</v>
      </c>
      <c r="BJ137">
        <v>1</v>
      </c>
      <c r="BK137">
        <v>3</v>
      </c>
      <c r="BL137">
        <v>143</v>
      </c>
      <c r="BM137">
        <v>80</v>
      </c>
      <c r="BN137">
        <v>132</v>
      </c>
      <c r="BO137">
        <v>45</v>
      </c>
      <c r="BP137">
        <v>12</v>
      </c>
      <c r="BQ137">
        <v>15</v>
      </c>
      <c r="BR137">
        <v>1</v>
      </c>
      <c r="BS137">
        <v>56</v>
      </c>
      <c r="BT137">
        <v>2</v>
      </c>
      <c r="BU137">
        <v>2</v>
      </c>
    </row>
    <row r="138" spans="1:73" x14ac:dyDescent="0.25">
      <c r="A138" s="17">
        <v>43264</v>
      </c>
      <c r="B138">
        <v>30</v>
      </c>
      <c r="C138">
        <v>4</v>
      </c>
      <c r="D138">
        <v>2</v>
      </c>
      <c r="E138">
        <v>5</v>
      </c>
      <c r="F138">
        <v>21</v>
      </c>
      <c r="G138">
        <v>21</v>
      </c>
      <c r="H138">
        <v>10</v>
      </c>
      <c r="I138">
        <v>9</v>
      </c>
      <c r="J138">
        <v>2</v>
      </c>
      <c r="K138">
        <v>7</v>
      </c>
      <c r="L138">
        <v>6</v>
      </c>
      <c r="M138">
        <v>5</v>
      </c>
      <c r="N138">
        <v>3</v>
      </c>
      <c r="O138">
        <v>4</v>
      </c>
      <c r="P138">
        <v>3</v>
      </c>
      <c r="Q138">
        <v>8</v>
      </c>
      <c r="R138">
        <v>5</v>
      </c>
      <c r="S138">
        <v>13</v>
      </c>
      <c r="T138">
        <v>16</v>
      </c>
      <c r="U138">
        <v>15</v>
      </c>
      <c r="V138">
        <v>17</v>
      </c>
      <c r="W138">
        <v>10</v>
      </c>
      <c r="X138">
        <v>3</v>
      </c>
      <c r="Y138">
        <v>3</v>
      </c>
      <c r="Z138">
        <v>13</v>
      </c>
      <c r="AA138">
        <v>2</v>
      </c>
      <c r="AB138">
        <v>7</v>
      </c>
      <c r="AC138">
        <v>2</v>
      </c>
      <c r="AD138">
        <v>2</v>
      </c>
      <c r="AE138">
        <v>2</v>
      </c>
      <c r="AF138">
        <v>3</v>
      </c>
      <c r="AG138">
        <v>2</v>
      </c>
      <c r="AH138">
        <v>1</v>
      </c>
      <c r="AI138">
        <v>7</v>
      </c>
      <c r="AJ138">
        <v>6</v>
      </c>
      <c r="AK138">
        <v>200</v>
      </c>
      <c r="AL138">
        <v>2800</v>
      </c>
      <c r="AM138">
        <v>500</v>
      </c>
      <c r="AN138" t="s">
        <v>46</v>
      </c>
      <c r="AO138" t="s">
        <v>46</v>
      </c>
      <c r="AQ138">
        <v>1</v>
      </c>
      <c r="AS138">
        <v>52</v>
      </c>
      <c r="AT138">
        <v>20</v>
      </c>
      <c r="AV138">
        <v>2</v>
      </c>
      <c r="AW138">
        <v>22</v>
      </c>
      <c r="AX138">
        <v>2325</v>
      </c>
      <c r="AY138">
        <v>2</v>
      </c>
      <c r="AZ138">
        <v>2</v>
      </c>
      <c r="BA138">
        <v>1</v>
      </c>
      <c r="BB138">
        <v>9</v>
      </c>
      <c r="BC138">
        <v>7</v>
      </c>
      <c r="BD138">
        <v>1</v>
      </c>
      <c r="BE138">
        <v>2</v>
      </c>
      <c r="BF138">
        <v>3</v>
      </c>
      <c r="BG138">
        <v>2</v>
      </c>
      <c r="BH138">
        <v>2</v>
      </c>
      <c r="BI138">
        <v>1</v>
      </c>
      <c r="BJ138">
        <v>1</v>
      </c>
      <c r="BK138">
        <v>3</v>
      </c>
      <c r="BL138">
        <v>142</v>
      </c>
      <c r="BM138">
        <v>80</v>
      </c>
      <c r="BN138">
        <v>132</v>
      </c>
      <c r="BO138">
        <v>44</v>
      </c>
      <c r="BP138">
        <v>11</v>
      </c>
      <c r="BQ138">
        <v>15</v>
      </c>
      <c r="BR138">
        <v>1</v>
      </c>
      <c r="BS138">
        <v>56</v>
      </c>
      <c r="BT138">
        <v>2</v>
      </c>
      <c r="BU138">
        <v>2</v>
      </c>
    </row>
    <row r="139" spans="1:73" x14ac:dyDescent="0.25">
      <c r="A139" s="17">
        <v>43265</v>
      </c>
      <c r="B139">
        <v>30</v>
      </c>
      <c r="C139">
        <v>9</v>
      </c>
      <c r="D139">
        <v>2</v>
      </c>
      <c r="E139">
        <v>5</v>
      </c>
      <c r="F139">
        <v>21</v>
      </c>
      <c r="G139">
        <v>21</v>
      </c>
      <c r="H139">
        <v>10</v>
      </c>
      <c r="I139">
        <v>9</v>
      </c>
      <c r="J139">
        <v>2</v>
      </c>
      <c r="K139">
        <v>7</v>
      </c>
      <c r="L139">
        <v>6</v>
      </c>
      <c r="M139">
        <v>5</v>
      </c>
      <c r="N139">
        <v>3</v>
      </c>
      <c r="O139">
        <v>4</v>
      </c>
      <c r="P139">
        <v>3</v>
      </c>
      <c r="Q139">
        <v>8</v>
      </c>
      <c r="R139">
        <v>5</v>
      </c>
      <c r="S139">
        <v>13</v>
      </c>
      <c r="T139">
        <v>16</v>
      </c>
      <c r="U139">
        <v>15</v>
      </c>
      <c r="V139">
        <v>17</v>
      </c>
      <c r="W139">
        <v>10</v>
      </c>
      <c r="X139">
        <v>3</v>
      </c>
      <c r="Y139">
        <v>3</v>
      </c>
      <c r="Z139">
        <v>13</v>
      </c>
      <c r="AA139">
        <v>2</v>
      </c>
      <c r="AB139">
        <v>7</v>
      </c>
      <c r="AC139">
        <v>2</v>
      </c>
      <c r="AD139">
        <v>2</v>
      </c>
      <c r="AE139">
        <v>2</v>
      </c>
      <c r="AF139">
        <v>3</v>
      </c>
      <c r="AG139">
        <v>2</v>
      </c>
      <c r="AH139">
        <v>1</v>
      </c>
      <c r="AI139">
        <v>7</v>
      </c>
      <c r="AJ139">
        <v>6</v>
      </c>
      <c r="AK139">
        <v>200</v>
      </c>
      <c r="AL139">
        <v>2800</v>
      </c>
      <c r="AM139">
        <v>500</v>
      </c>
      <c r="AN139" t="s">
        <v>46</v>
      </c>
      <c r="AO139" t="s">
        <v>46</v>
      </c>
      <c r="AQ139">
        <v>1</v>
      </c>
      <c r="AS139">
        <v>52</v>
      </c>
      <c r="AT139">
        <v>20</v>
      </c>
      <c r="AV139">
        <v>2</v>
      </c>
      <c r="AW139">
        <v>22</v>
      </c>
      <c r="AX139">
        <v>2325</v>
      </c>
      <c r="AY139">
        <v>2</v>
      </c>
      <c r="AZ139">
        <v>2</v>
      </c>
      <c r="BA139">
        <v>1</v>
      </c>
      <c r="BB139">
        <v>9</v>
      </c>
      <c r="BC139">
        <v>7</v>
      </c>
      <c r="BD139">
        <v>1</v>
      </c>
      <c r="BE139">
        <v>2</v>
      </c>
      <c r="BF139">
        <v>3</v>
      </c>
      <c r="BG139">
        <v>2</v>
      </c>
      <c r="BH139">
        <v>2</v>
      </c>
      <c r="BI139">
        <v>1</v>
      </c>
      <c r="BJ139">
        <v>1</v>
      </c>
      <c r="BK139">
        <v>3</v>
      </c>
      <c r="BL139">
        <v>142</v>
      </c>
      <c r="BM139">
        <v>80</v>
      </c>
      <c r="BN139">
        <v>132</v>
      </c>
      <c r="BO139">
        <v>44</v>
      </c>
      <c r="BP139">
        <v>11</v>
      </c>
      <c r="BQ139">
        <v>15</v>
      </c>
      <c r="BR139">
        <v>1</v>
      </c>
      <c r="BS139">
        <v>56</v>
      </c>
      <c r="BT139">
        <v>2</v>
      </c>
      <c r="BU139">
        <v>2</v>
      </c>
    </row>
    <row r="140" spans="1:73" x14ac:dyDescent="0.25">
      <c r="A140" s="17">
        <v>43269</v>
      </c>
      <c r="B140">
        <v>30</v>
      </c>
      <c r="C140">
        <v>8</v>
      </c>
      <c r="D140">
        <v>2</v>
      </c>
      <c r="E140">
        <v>5</v>
      </c>
      <c r="F140">
        <v>21</v>
      </c>
      <c r="G140">
        <v>20</v>
      </c>
      <c r="H140">
        <v>10</v>
      </c>
      <c r="I140">
        <v>9</v>
      </c>
      <c r="J140">
        <v>2</v>
      </c>
      <c r="K140">
        <v>7</v>
      </c>
      <c r="L140">
        <v>6</v>
      </c>
      <c r="M140">
        <v>5</v>
      </c>
      <c r="N140">
        <v>3</v>
      </c>
      <c r="O140">
        <v>4</v>
      </c>
      <c r="P140">
        <v>3</v>
      </c>
      <c r="Q140">
        <v>8</v>
      </c>
      <c r="R140">
        <v>4</v>
      </c>
      <c r="S140">
        <v>13</v>
      </c>
      <c r="T140">
        <v>16</v>
      </c>
      <c r="U140">
        <v>15</v>
      </c>
      <c r="V140">
        <v>17</v>
      </c>
      <c r="W140">
        <v>10</v>
      </c>
      <c r="X140">
        <v>3</v>
      </c>
      <c r="Y140">
        <v>3</v>
      </c>
      <c r="Z140">
        <v>13</v>
      </c>
      <c r="AA140">
        <v>2</v>
      </c>
      <c r="AB140">
        <v>7</v>
      </c>
      <c r="AC140">
        <v>1</v>
      </c>
      <c r="AD140">
        <v>2</v>
      </c>
      <c r="AE140">
        <v>2</v>
      </c>
      <c r="AF140">
        <v>3</v>
      </c>
      <c r="AG140">
        <v>1</v>
      </c>
      <c r="AH140">
        <v>1</v>
      </c>
      <c r="AI140">
        <v>7</v>
      </c>
      <c r="AJ140">
        <v>3</v>
      </c>
      <c r="AK140">
        <v>200</v>
      </c>
      <c r="AL140">
        <v>2650</v>
      </c>
      <c r="AM140">
        <v>500</v>
      </c>
      <c r="AN140" t="s">
        <v>46</v>
      </c>
      <c r="AO140" t="s">
        <v>46</v>
      </c>
      <c r="AQ140">
        <v>1</v>
      </c>
      <c r="AS140">
        <v>52</v>
      </c>
      <c r="AT140">
        <v>20</v>
      </c>
      <c r="AV140">
        <v>2</v>
      </c>
      <c r="AW140">
        <v>22</v>
      </c>
      <c r="AX140">
        <v>2060</v>
      </c>
      <c r="AY140">
        <v>2</v>
      </c>
      <c r="AZ140">
        <v>2</v>
      </c>
      <c r="BA140">
        <v>1</v>
      </c>
      <c r="BB140">
        <v>8</v>
      </c>
      <c r="BC140">
        <v>6</v>
      </c>
      <c r="BD140">
        <v>1</v>
      </c>
      <c r="BE140">
        <v>2</v>
      </c>
      <c r="BF140">
        <v>3</v>
      </c>
      <c r="BG140">
        <v>2</v>
      </c>
      <c r="BH140">
        <v>2</v>
      </c>
      <c r="BI140">
        <v>1</v>
      </c>
      <c r="BJ140">
        <v>1</v>
      </c>
      <c r="BK140">
        <v>2</v>
      </c>
      <c r="BL140">
        <v>142</v>
      </c>
      <c r="BM140">
        <v>80</v>
      </c>
      <c r="BN140">
        <v>131</v>
      </c>
      <c r="BO140">
        <v>43</v>
      </c>
      <c r="BP140">
        <v>11</v>
      </c>
      <c r="BQ140">
        <v>14</v>
      </c>
      <c r="BR140">
        <v>1</v>
      </c>
      <c r="BS140">
        <v>56</v>
      </c>
      <c r="BT140">
        <v>2</v>
      </c>
      <c r="BU140">
        <v>2</v>
      </c>
    </row>
    <row r="141" spans="1:73" x14ac:dyDescent="0.25">
      <c r="A141" s="17">
        <v>43271</v>
      </c>
      <c r="B141">
        <v>30</v>
      </c>
      <c r="C141">
        <v>8</v>
      </c>
      <c r="D141">
        <v>2</v>
      </c>
      <c r="E141">
        <v>5</v>
      </c>
      <c r="F141">
        <v>21</v>
      </c>
      <c r="G141">
        <v>20</v>
      </c>
      <c r="H141">
        <v>10</v>
      </c>
      <c r="I141">
        <v>8</v>
      </c>
      <c r="J141">
        <v>2</v>
      </c>
      <c r="K141">
        <v>7</v>
      </c>
      <c r="L141">
        <v>6</v>
      </c>
      <c r="M141">
        <v>5</v>
      </c>
      <c r="N141">
        <v>2</v>
      </c>
      <c r="O141">
        <v>4</v>
      </c>
      <c r="P141">
        <v>3</v>
      </c>
      <c r="Q141">
        <v>7</v>
      </c>
      <c r="R141">
        <v>4</v>
      </c>
      <c r="S141">
        <v>13</v>
      </c>
      <c r="T141">
        <v>16</v>
      </c>
      <c r="U141">
        <v>15</v>
      </c>
      <c r="V141">
        <v>17</v>
      </c>
      <c r="W141">
        <v>8</v>
      </c>
      <c r="X141">
        <v>3</v>
      </c>
      <c r="Y141">
        <v>3</v>
      </c>
      <c r="Z141">
        <v>13</v>
      </c>
      <c r="AA141">
        <v>2</v>
      </c>
      <c r="AB141">
        <v>7</v>
      </c>
      <c r="AC141">
        <v>1</v>
      </c>
      <c r="AD141">
        <v>2</v>
      </c>
      <c r="AE141">
        <v>2</v>
      </c>
      <c r="AF141">
        <v>3</v>
      </c>
      <c r="AG141">
        <v>1</v>
      </c>
      <c r="AH141">
        <v>3</v>
      </c>
      <c r="AI141">
        <v>7</v>
      </c>
      <c r="AJ141">
        <v>3</v>
      </c>
      <c r="AK141">
        <v>200</v>
      </c>
      <c r="AL141">
        <v>2450</v>
      </c>
      <c r="AM141">
        <v>500</v>
      </c>
      <c r="AN141" t="s">
        <v>46</v>
      </c>
      <c r="AO141" t="s">
        <v>46</v>
      </c>
      <c r="AQ141">
        <v>1</v>
      </c>
      <c r="AS141">
        <v>52</v>
      </c>
      <c r="AT141">
        <v>20</v>
      </c>
      <c r="AV141">
        <v>2</v>
      </c>
      <c r="AW141">
        <v>22</v>
      </c>
      <c r="AX141">
        <v>1980</v>
      </c>
      <c r="AY141">
        <v>2</v>
      </c>
      <c r="AZ141">
        <v>2</v>
      </c>
      <c r="BA141">
        <v>1</v>
      </c>
      <c r="BB141">
        <v>8</v>
      </c>
      <c r="BC141">
        <v>6</v>
      </c>
      <c r="BD141">
        <v>3</v>
      </c>
      <c r="BE141">
        <v>2</v>
      </c>
      <c r="BG141">
        <v>2</v>
      </c>
      <c r="BH141">
        <v>2</v>
      </c>
      <c r="BI141">
        <v>1</v>
      </c>
      <c r="BJ141">
        <v>1</v>
      </c>
      <c r="BK141">
        <v>2</v>
      </c>
      <c r="BL141">
        <v>142</v>
      </c>
      <c r="BM141">
        <v>80</v>
      </c>
      <c r="BN141">
        <v>131</v>
      </c>
      <c r="BO141">
        <v>43</v>
      </c>
      <c r="BP141">
        <v>11</v>
      </c>
      <c r="BQ141">
        <v>14</v>
      </c>
      <c r="BR141">
        <v>1</v>
      </c>
      <c r="BS141">
        <v>56</v>
      </c>
      <c r="BT141">
        <v>4</v>
      </c>
      <c r="BU141">
        <v>2</v>
      </c>
    </row>
    <row r="142" spans="1:73" x14ac:dyDescent="0.25">
      <c r="A142" s="17">
        <v>43272</v>
      </c>
      <c r="B142">
        <v>30</v>
      </c>
      <c r="C142">
        <v>7</v>
      </c>
      <c r="D142">
        <v>1</v>
      </c>
      <c r="E142">
        <v>5</v>
      </c>
      <c r="F142">
        <v>21</v>
      </c>
      <c r="G142">
        <v>20</v>
      </c>
      <c r="H142">
        <v>10</v>
      </c>
      <c r="I142">
        <v>8</v>
      </c>
      <c r="J142">
        <v>1</v>
      </c>
      <c r="K142">
        <v>7</v>
      </c>
      <c r="L142">
        <v>6</v>
      </c>
      <c r="M142">
        <v>5</v>
      </c>
      <c r="N142">
        <v>6</v>
      </c>
      <c r="O142">
        <v>4</v>
      </c>
      <c r="P142">
        <v>3</v>
      </c>
      <c r="Q142">
        <v>7</v>
      </c>
      <c r="R142">
        <v>3</v>
      </c>
      <c r="S142">
        <v>13</v>
      </c>
      <c r="T142">
        <v>16</v>
      </c>
      <c r="U142">
        <v>15</v>
      </c>
      <c r="V142">
        <v>17</v>
      </c>
      <c r="W142">
        <v>8</v>
      </c>
      <c r="X142">
        <v>13</v>
      </c>
      <c r="Y142">
        <v>3</v>
      </c>
      <c r="Z142">
        <v>12</v>
      </c>
      <c r="AA142">
        <v>6</v>
      </c>
      <c r="AB142">
        <v>12</v>
      </c>
      <c r="AC142">
        <v>3</v>
      </c>
      <c r="AE142">
        <v>2</v>
      </c>
      <c r="AF142">
        <v>3</v>
      </c>
      <c r="AG142">
        <v>3</v>
      </c>
      <c r="AH142">
        <v>3</v>
      </c>
      <c r="AI142">
        <v>7</v>
      </c>
      <c r="AJ142">
        <v>3</v>
      </c>
      <c r="AK142">
        <v>200</v>
      </c>
      <c r="AL142">
        <v>2450</v>
      </c>
      <c r="AM142">
        <v>500</v>
      </c>
      <c r="AN142" t="s">
        <v>46</v>
      </c>
      <c r="AO142" t="s">
        <v>46</v>
      </c>
      <c r="AQ142">
        <v>1</v>
      </c>
      <c r="AS142">
        <v>52</v>
      </c>
      <c r="AT142">
        <v>20</v>
      </c>
      <c r="AV142">
        <v>2</v>
      </c>
      <c r="AW142">
        <v>22</v>
      </c>
      <c r="AX142">
        <v>1980</v>
      </c>
      <c r="AY142">
        <v>2</v>
      </c>
      <c r="AZ142">
        <v>2</v>
      </c>
      <c r="BA142">
        <v>1</v>
      </c>
      <c r="BB142">
        <v>8</v>
      </c>
      <c r="BC142">
        <v>6</v>
      </c>
      <c r="BD142">
        <v>3</v>
      </c>
      <c r="BE142">
        <v>2</v>
      </c>
      <c r="BG142">
        <v>2</v>
      </c>
      <c r="BH142">
        <v>2</v>
      </c>
      <c r="BI142">
        <v>1</v>
      </c>
      <c r="BJ142">
        <v>1</v>
      </c>
      <c r="BK142">
        <v>2</v>
      </c>
      <c r="BL142">
        <v>142</v>
      </c>
      <c r="BM142">
        <v>80</v>
      </c>
      <c r="BN142">
        <v>131</v>
      </c>
      <c r="BO142">
        <v>43</v>
      </c>
      <c r="BP142">
        <v>11</v>
      </c>
      <c r="BQ142">
        <v>14</v>
      </c>
      <c r="BR142">
        <v>1</v>
      </c>
      <c r="BS142">
        <v>56</v>
      </c>
      <c r="BT142">
        <v>4</v>
      </c>
      <c r="BU142">
        <v>2</v>
      </c>
    </row>
    <row r="143" spans="1:73" x14ac:dyDescent="0.25">
      <c r="A143" s="17">
        <v>43273</v>
      </c>
      <c r="B143">
        <v>30</v>
      </c>
      <c r="C143">
        <v>17</v>
      </c>
      <c r="D143">
        <v>11</v>
      </c>
      <c r="E143">
        <v>5</v>
      </c>
      <c r="F143">
        <v>21</v>
      </c>
      <c r="G143">
        <v>20</v>
      </c>
      <c r="H143">
        <v>10</v>
      </c>
      <c r="I143">
        <v>8</v>
      </c>
      <c r="J143">
        <v>9</v>
      </c>
      <c r="K143">
        <v>7</v>
      </c>
      <c r="L143">
        <v>6</v>
      </c>
      <c r="M143">
        <v>5</v>
      </c>
      <c r="N143">
        <v>6</v>
      </c>
      <c r="O143">
        <v>4</v>
      </c>
      <c r="P143">
        <v>3</v>
      </c>
      <c r="Q143">
        <v>7</v>
      </c>
      <c r="R143">
        <v>13</v>
      </c>
      <c r="S143">
        <v>13</v>
      </c>
      <c r="T143">
        <v>16</v>
      </c>
      <c r="U143">
        <v>15</v>
      </c>
      <c r="V143">
        <v>17</v>
      </c>
      <c r="W143">
        <v>8</v>
      </c>
      <c r="X143">
        <v>13</v>
      </c>
      <c r="Y143">
        <v>3</v>
      </c>
      <c r="Z143">
        <v>12</v>
      </c>
      <c r="AA143">
        <v>6</v>
      </c>
      <c r="AB143">
        <v>12</v>
      </c>
      <c r="AC143">
        <v>3</v>
      </c>
      <c r="AE143">
        <v>2</v>
      </c>
      <c r="AF143">
        <v>3</v>
      </c>
      <c r="AG143">
        <v>3</v>
      </c>
      <c r="AH143">
        <v>3</v>
      </c>
      <c r="AI143">
        <v>7</v>
      </c>
      <c r="AJ143">
        <v>3</v>
      </c>
      <c r="AK143">
        <v>200</v>
      </c>
      <c r="AL143">
        <v>2250</v>
      </c>
      <c r="AM143">
        <v>500</v>
      </c>
      <c r="AN143" t="s">
        <v>46</v>
      </c>
      <c r="AO143" t="s">
        <v>46</v>
      </c>
      <c r="AQ143">
        <v>1</v>
      </c>
      <c r="AS143">
        <v>52</v>
      </c>
      <c r="AT143">
        <v>20</v>
      </c>
      <c r="AV143">
        <v>2</v>
      </c>
      <c r="AW143">
        <v>22</v>
      </c>
      <c r="AX143">
        <v>1880</v>
      </c>
      <c r="AY143">
        <v>2</v>
      </c>
      <c r="AZ143">
        <v>2</v>
      </c>
      <c r="BA143">
        <v>1</v>
      </c>
      <c r="BB143">
        <v>8</v>
      </c>
      <c r="BC143">
        <v>6</v>
      </c>
      <c r="BD143">
        <v>3</v>
      </c>
      <c r="BE143">
        <v>2</v>
      </c>
      <c r="BG143">
        <v>2</v>
      </c>
      <c r="BH143">
        <v>2</v>
      </c>
      <c r="BI143">
        <v>1</v>
      </c>
      <c r="BJ143">
        <v>1</v>
      </c>
      <c r="BK143">
        <v>2</v>
      </c>
      <c r="BL143">
        <v>142</v>
      </c>
      <c r="BM143">
        <v>80</v>
      </c>
      <c r="BN143">
        <v>131</v>
      </c>
      <c r="BO143">
        <v>43</v>
      </c>
      <c r="BP143">
        <v>11</v>
      </c>
      <c r="BQ143">
        <v>14</v>
      </c>
      <c r="BR143">
        <v>1</v>
      </c>
      <c r="BS143">
        <v>55</v>
      </c>
      <c r="BT143">
        <v>4</v>
      </c>
      <c r="BU143">
        <v>2</v>
      </c>
    </row>
    <row r="144" spans="1:73" x14ac:dyDescent="0.25">
      <c r="A144" s="17">
        <v>43276</v>
      </c>
      <c r="B144">
        <v>30</v>
      </c>
      <c r="C144">
        <v>17</v>
      </c>
      <c r="D144">
        <v>11</v>
      </c>
      <c r="E144">
        <v>5</v>
      </c>
      <c r="F144">
        <v>19</v>
      </c>
      <c r="G144">
        <v>20</v>
      </c>
      <c r="H144">
        <v>9</v>
      </c>
      <c r="I144">
        <v>8</v>
      </c>
      <c r="J144">
        <v>9</v>
      </c>
      <c r="K144">
        <v>7</v>
      </c>
      <c r="L144">
        <v>6</v>
      </c>
      <c r="M144">
        <v>5</v>
      </c>
      <c r="N144">
        <v>6</v>
      </c>
      <c r="O144">
        <v>4</v>
      </c>
      <c r="P144">
        <v>2</v>
      </c>
      <c r="Q144">
        <v>7</v>
      </c>
      <c r="R144">
        <v>13</v>
      </c>
      <c r="S144">
        <v>13</v>
      </c>
      <c r="T144">
        <v>16</v>
      </c>
      <c r="U144">
        <v>15</v>
      </c>
      <c r="V144">
        <v>17</v>
      </c>
      <c r="W144">
        <v>8</v>
      </c>
      <c r="X144">
        <v>13</v>
      </c>
      <c r="Y144">
        <v>2</v>
      </c>
      <c r="Z144">
        <v>12</v>
      </c>
      <c r="AA144">
        <v>6</v>
      </c>
      <c r="AB144">
        <v>12</v>
      </c>
      <c r="AC144">
        <v>3</v>
      </c>
      <c r="AE144">
        <v>1</v>
      </c>
      <c r="AF144">
        <v>3</v>
      </c>
      <c r="AG144">
        <v>3</v>
      </c>
      <c r="AH144">
        <v>2</v>
      </c>
      <c r="AI144">
        <v>7</v>
      </c>
      <c r="AJ144">
        <v>3</v>
      </c>
      <c r="AK144">
        <v>200</v>
      </c>
      <c r="AL144">
        <v>2000</v>
      </c>
      <c r="AM144">
        <v>500</v>
      </c>
      <c r="AN144" t="s">
        <v>46</v>
      </c>
      <c r="AO144" t="s">
        <v>46</v>
      </c>
      <c r="AQ144">
        <v>1</v>
      </c>
      <c r="AS144">
        <v>52</v>
      </c>
      <c r="AT144">
        <v>20</v>
      </c>
      <c r="AV144">
        <v>2</v>
      </c>
      <c r="AW144">
        <v>12</v>
      </c>
      <c r="AX144">
        <v>1730</v>
      </c>
      <c r="AY144">
        <v>2</v>
      </c>
      <c r="AZ144">
        <v>2</v>
      </c>
      <c r="BA144">
        <v>1</v>
      </c>
      <c r="BB144">
        <v>8</v>
      </c>
      <c r="BC144">
        <v>6</v>
      </c>
      <c r="BD144">
        <v>3</v>
      </c>
      <c r="BE144">
        <v>2</v>
      </c>
      <c r="BG144">
        <v>2</v>
      </c>
      <c r="BH144">
        <v>2</v>
      </c>
      <c r="BI144">
        <v>1</v>
      </c>
      <c r="BJ144">
        <v>1</v>
      </c>
      <c r="BK144">
        <v>2</v>
      </c>
      <c r="BL144">
        <v>141</v>
      </c>
      <c r="BM144">
        <v>79</v>
      </c>
      <c r="BN144">
        <v>131</v>
      </c>
      <c r="BO144">
        <v>42</v>
      </c>
      <c r="BP144">
        <v>10</v>
      </c>
      <c r="BQ144">
        <v>14</v>
      </c>
      <c r="BR144">
        <v>1</v>
      </c>
      <c r="BS144">
        <v>55</v>
      </c>
      <c r="BT144">
        <v>3</v>
      </c>
      <c r="BU144">
        <v>2</v>
      </c>
    </row>
    <row r="145" spans="1:73" x14ac:dyDescent="0.25">
      <c r="A145" s="17">
        <v>43278</v>
      </c>
      <c r="B145">
        <v>30</v>
      </c>
      <c r="C145">
        <v>16</v>
      </c>
      <c r="D145">
        <v>11</v>
      </c>
      <c r="E145">
        <v>5</v>
      </c>
      <c r="F145">
        <v>19</v>
      </c>
      <c r="G145">
        <v>20</v>
      </c>
      <c r="H145">
        <v>9</v>
      </c>
      <c r="I145">
        <v>8</v>
      </c>
      <c r="J145">
        <v>9</v>
      </c>
      <c r="K145">
        <v>7</v>
      </c>
      <c r="L145">
        <v>6</v>
      </c>
      <c r="M145">
        <v>5</v>
      </c>
      <c r="N145">
        <v>6</v>
      </c>
      <c r="O145">
        <v>4</v>
      </c>
      <c r="P145">
        <v>2</v>
      </c>
      <c r="Q145">
        <v>7</v>
      </c>
      <c r="R145">
        <v>13</v>
      </c>
      <c r="S145">
        <v>13</v>
      </c>
      <c r="T145">
        <v>16</v>
      </c>
      <c r="U145">
        <v>14</v>
      </c>
      <c r="V145">
        <v>16</v>
      </c>
      <c r="W145">
        <v>8</v>
      </c>
      <c r="X145">
        <v>12</v>
      </c>
      <c r="Y145">
        <v>2</v>
      </c>
      <c r="Z145">
        <v>12</v>
      </c>
      <c r="AA145">
        <v>6</v>
      </c>
      <c r="AB145">
        <v>12</v>
      </c>
      <c r="AC145">
        <v>3</v>
      </c>
      <c r="AE145">
        <v>1</v>
      </c>
      <c r="AF145">
        <v>3</v>
      </c>
      <c r="AG145">
        <v>3</v>
      </c>
      <c r="AH145">
        <v>2</v>
      </c>
      <c r="AI145">
        <v>7</v>
      </c>
      <c r="AJ145">
        <v>3</v>
      </c>
      <c r="AK145">
        <v>200</v>
      </c>
      <c r="AL145">
        <v>1900</v>
      </c>
      <c r="AM145">
        <v>500</v>
      </c>
      <c r="AN145" t="s">
        <v>46</v>
      </c>
      <c r="AO145" t="s">
        <v>46</v>
      </c>
      <c r="AQ145">
        <v>1</v>
      </c>
      <c r="AS145">
        <v>52</v>
      </c>
      <c r="AT145">
        <v>20</v>
      </c>
      <c r="AV145">
        <v>2</v>
      </c>
      <c r="AW145">
        <v>12</v>
      </c>
      <c r="AX145">
        <v>1675</v>
      </c>
      <c r="AY145">
        <v>2</v>
      </c>
      <c r="AZ145">
        <v>2</v>
      </c>
      <c r="BA145">
        <v>1</v>
      </c>
      <c r="BB145">
        <v>8</v>
      </c>
      <c r="BC145">
        <v>5</v>
      </c>
      <c r="BD145">
        <v>3</v>
      </c>
      <c r="BE145">
        <v>2</v>
      </c>
      <c r="BG145">
        <v>2</v>
      </c>
      <c r="BH145">
        <v>2</v>
      </c>
      <c r="BI145">
        <v>1</v>
      </c>
      <c r="BJ145">
        <v>1</v>
      </c>
      <c r="BK145">
        <v>2</v>
      </c>
      <c r="BL145">
        <v>141</v>
      </c>
      <c r="BM145">
        <v>79</v>
      </c>
      <c r="BN145">
        <v>131</v>
      </c>
      <c r="BO145">
        <v>42</v>
      </c>
      <c r="BP145">
        <v>10</v>
      </c>
      <c r="BQ145">
        <v>14</v>
      </c>
      <c r="BR145">
        <v>1</v>
      </c>
      <c r="BS145">
        <v>55</v>
      </c>
      <c r="BT145">
        <v>3</v>
      </c>
      <c r="BU145">
        <v>2</v>
      </c>
    </row>
    <row r="146" spans="1:73" x14ac:dyDescent="0.25">
      <c r="A146" s="17">
        <v>43279</v>
      </c>
      <c r="B146">
        <v>30</v>
      </c>
      <c r="C146">
        <v>16</v>
      </c>
      <c r="D146">
        <v>11</v>
      </c>
      <c r="E146">
        <v>5</v>
      </c>
      <c r="F146">
        <v>19</v>
      </c>
      <c r="G146">
        <v>20</v>
      </c>
      <c r="H146">
        <v>9</v>
      </c>
      <c r="I146">
        <v>8</v>
      </c>
      <c r="J146">
        <v>9</v>
      </c>
      <c r="K146">
        <v>6</v>
      </c>
      <c r="L146">
        <v>6</v>
      </c>
      <c r="M146">
        <v>5</v>
      </c>
      <c r="N146">
        <v>6</v>
      </c>
      <c r="O146">
        <v>4</v>
      </c>
      <c r="P146">
        <v>2</v>
      </c>
      <c r="Q146">
        <v>7</v>
      </c>
      <c r="R146">
        <v>13</v>
      </c>
      <c r="S146">
        <v>13</v>
      </c>
      <c r="T146">
        <v>16</v>
      </c>
      <c r="U146">
        <v>14</v>
      </c>
      <c r="V146">
        <v>16</v>
      </c>
      <c r="W146">
        <v>8</v>
      </c>
      <c r="X146">
        <v>12</v>
      </c>
      <c r="Y146">
        <v>2</v>
      </c>
      <c r="Z146">
        <v>12</v>
      </c>
      <c r="AA146">
        <v>6</v>
      </c>
      <c r="AB146">
        <v>12</v>
      </c>
      <c r="AC146">
        <v>3</v>
      </c>
      <c r="AE146">
        <v>1</v>
      </c>
      <c r="AF146">
        <v>2</v>
      </c>
      <c r="AG146">
        <v>3</v>
      </c>
      <c r="AH146">
        <v>2</v>
      </c>
      <c r="AI146">
        <v>7</v>
      </c>
      <c r="AJ146">
        <v>3</v>
      </c>
      <c r="AK146">
        <v>200</v>
      </c>
      <c r="AL146">
        <v>1900</v>
      </c>
      <c r="AM146">
        <v>500</v>
      </c>
      <c r="AN146" t="s">
        <v>46</v>
      </c>
      <c r="AO146" t="s">
        <v>46</v>
      </c>
      <c r="AQ146">
        <v>1</v>
      </c>
      <c r="AS146">
        <v>52</v>
      </c>
      <c r="AT146">
        <v>20</v>
      </c>
      <c r="AV146">
        <v>2</v>
      </c>
      <c r="AW146">
        <v>12</v>
      </c>
      <c r="AX146">
        <v>1675</v>
      </c>
      <c r="AY146">
        <v>2</v>
      </c>
      <c r="AZ146">
        <v>2</v>
      </c>
      <c r="BA146">
        <v>1</v>
      </c>
      <c r="BB146">
        <v>8</v>
      </c>
      <c r="BC146">
        <v>5</v>
      </c>
      <c r="BD146">
        <v>3</v>
      </c>
      <c r="BE146">
        <v>2</v>
      </c>
      <c r="BG146">
        <v>2</v>
      </c>
      <c r="BH146">
        <v>2</v>
      </c>
      <c r="BI146">
        <v>1</v>
      </c>
      <c r="BJ146">
        <v>1</v>
      </c>
      <c r="BK146">
        <v>2</v>
      </c>
      <c r="BL146">
        <v>141</v>
      </c>
      <c r="BM146">
        <v>79</v>
      </c>
      <c r="BN146">
        <v>131</v>
      </c>
      <c r="BO146">
        <v>42</v>
      </c>
      <c r="BP146">
        <v>10</v>
      </c>
      <c r="BQ146">
        <v>14</v>
      </c>
      <c r="BR146">
        <v>1</v>
      </c>
      <c r="BS146">
        <v>55</v>
      </c>
      <c r="BT146">
        <v>3</v>
      </c>
      <c r="BU146">
        <v>2</v>
      </c>
    </row>
    <row r="147" spans="1:73" x14ac:dyDescent="0.25">
      <c r="A147" s="17">
        <v>43280</v>
      </c>
      <c r="B147">
        <v>30</v>
      </c>
      <c r="C147">
        <v>16</v>
      </c>
      <c r="D147">
        <v>11</v>
      </c>
      <c r="E147">
        <v>5</v>
      </c>
      <c r="F147">
        <v>19</v>
      </c>
      <c r="G147">
        <v>20</v>
      </c>
      <c r="H147">
        <v>9</v>
      </c>
      <c r="I147">
        <v>8</v>
      </c>
      <c r="J147">
        <v>9</v>
      </c>
      <c r="K147">
        <v>6</v>
      </c>
      <c r="L147">
        <v>6</v>
      </c>
      <c r="M147">
        <v>5</v>
      </c>
      <c r="N147">
        <v>6</v>
      </c>
      <c r="O147">
        <v>4</v>
      </c>
      <c r="P147">
        <v>2</v>
      </c>
      <c r="Q147">
        <v>7</v>
      </c>
      <c r="R147">
        <v>13</v>
      </c>
      <c r="S147">
        <v>13</v>
      </c>
      <c r="T147">
        <v>16</v>
      </c>
      <c r="U147">
        <v>14</v>
      </c>
      <c r="V147">
        <v>16</v>
      </c>
      <c r="W147">
        <v>8</v>
      </c>
      <c r="X147">
        <v>12</v>
      </c>
      <c r="Y147">
        <v>2</v>
      </c>
      <c r="Z147">
        <v>12</v>
      </c>
      <c r="AA147">
        <v>6</v>
      </c>
      <c r="AB147">
        <v>12</v>
      </c>
      <c r="AC147">
        <v>3</v>
      </c>
      <c r="AE147">
        <v>1</v>
      </c>
      <c r="AF147">
        <v>2</v>
      </c>
      <c r="AG147">
        <v>3</v>
      </c>
      <c r="AH147">
        <v>2</v>
      </c>
      <c r="AI147">
        <v>7</v>
      </c>
      <c r="AJ147">
        <v>3</v>
      </c>
      <c r="AK147">
        <v>200</v>
      </c>
      <c r="AL147">
        <v>1900</v>
      </c>
      <c r="AM147">
        <v>500</v>
      </c>
      <c r="AN147" t="s">
        <v>46</v>
      </c>
      <c r="AO147" t="s">
        <v>46</v>
      </c>
      <c r="AQ147">
        <v>1</v>
      </c>
      <c r="AS147">
        <v>52</v>
      </c>
      <c r="AT147">
        <v>20</v>
      </c>
      <c r="AV147">
        <v>2</v>
      </c>
      <c r="AW147">
        <v>12</v>
      </c>
      <c r="AX147">
        <v>1675</v>
      </c>
      <c r="AY147">
        <v>2</v>
      </c>
      <c r="AZ147">
        <v>2</v>
      </c>
      <c r="BA147">
        <v>1</v>
      </c>
      <c r="BB147">
        <v>8</v>
      </c>
      <c r="BC147">
        <v>5</v>
      </c>
      <c r="BD147">
        <v>3</v>
      </c>
      <c r="BE147">
        <v>2</v>
      </c>
      <c r="BG147">
        <v>2</v>
      </c>
      <c r="BH147">
        <v>2</v>
      </c>
      <c r="BI147">
        <v>1</v>
      </c>
      <c r="BJ147">
        <v>1</v>
      </c>
      <c r="BK147">
        <v>2</v>
      </c>
      <c r="BL147">
        <v>141</v>
      </c>
      <c r="BM147">
        <v>79</v>
      </c>
      <c r="BN147">
        <v>131</v>
      </c>
      <c r="BO147">
        <v>42</v>
      </c>
      <c r="BP147">
        <v>10</v>
      </c>
      <c r="BQ147">
        <v>14</v>
      </c>
      <c r="BR147">
        <v>1</v>
      </c>
      <c r="BS147">
        <v>55</v>
      </c>
      <c r="BT147">
        <v>3</v>
      </c>
      <c r="BU147">
        <v>2</v>
      </c>
    </row>
    <row r="148" spans="1:73" x14ac:dyDescent="0.25">
      <c r="A148" s="17">
        <v>43283</v>
      </c>
      <c r="B148">
        <v>30</v>
      </c>
      <c r="C148">
        <v>14</v>
      </c>
      <c r="D148">
        <v>11</v>
      </c>
      <c r="E148">
        <v>5</v>
      </c>
      <c r="F148">
        <v>19</v>
      </c>
      <c r="G148">
        <v>20</v>
      </c>
      <c r="H148">
        <v>9</v>
      </c>
      <c r="I148">
        <v>7</v>
      </c>
      <c r="J148">
        <v>9</v>
      </c>
      <c r="K148">
        <v>6</v>
      </c>
      <c r="L148">
        <v>6</v>
      </c>
      <c r="M148">
        <v>5</v>
      </c>
      <c r="N148">
        <v>6</v>
      </c>
      <c r="O148">
        <v>4</v>
      </c>
      <c r="P148">
        <v>2</v>
      </c>
      <c r="Q148">
        <v>7</v>
      </c>
      <c r="R148">
        <v>13</v>
      </c>
      <c r="S148">
        <v>13</v>
      </c>
      <c r="T148">
        <v>16</v>
      </c>
      <c r="U148">
        <v>14</v>
      </c>
      <c r="V148">
        <v>16</v>
      </c>
      <c r="W148">
        <v>6</v>
      </c>
      <c r="X148">
        <v>12</v>
      </c>
      <c r="Y148">
        <v>2</v>
      </c>
      <c r="Z148">
        <v>12</v>
      </c>
      <c r="AA148">
        <v>6</v>
      </c>
      <c r="AB148">
        <v>11</v>
      </c>
      <c r="AC148">
        <v>3</v>
      </c>
      <c r="AE148">
        <v>1</v>
      </c>
      <c r="AF148">
        <v>2</v>
      </c>
      <c r="AG148">
        <v>3</v>
      </c>
      <c r="AH148">
        <v>2</v>
      </c>
      <c r="AI148">
        <v>7</v>
      </c>
      <c r="AJ148">
        <v>2</v>
      </c>
      <c r="AK148">
        <v>200</v>
      </c>
      <c r="AL148">
        <v>1800</v>
      </c>
      <c r="AM148">
        <v>500</v>
      </c>
      <c r="AN148" t="s">
        <v>46</v>
      </c>
      <c r="AO148" t="s">
        <v>46</v>
      </c>
      <c r="AQ148">
        <v>1</v>
      </c>
      <c r="AS148">
        <v>52</v>
      </c>
      <c r="AT148">
        <v>20</v>
      </c>
      <c r="AV148">
        <v>2</v>
      </c>
      <c r="AW148">
        <v>12</v>
      </c>
      <c r="AX148">
        <v>1475</v>
      </c>
      <c r="AY148">
        <v>2</v>
      </c>
      <c r="AZ148">
        <v>2</v>
      </c>
      <c r="BA148">
        <v>1</v>
      </c>
      <c r="BB148">
        <v>8</v>
      </c>
      <c r="BC148">
        <v>5</v>
      </c>
      <c r="BD148">
        <v>3</v>
      </c>
      <c r="BE148">
        <v>2</v>
      </c>
      <c r="BG148">
        <v>2</v>
      </c>
      <c r="BH148">
        <v>2</v>
      </c>
      <c r="BI148">
        <v>1</v>
      </c>
      <c r="BJ148">
        <v>1</v>
      </c>
      <c r="BK148">
        <v>2</v>
      </c>
      <c r="BL148">
        <v>140</v>
      </c>
      <c r="BM148">
        <v>79</v>
      </c>
      <c r="BN148">
        <v>131</v>
      </c>
      <c r="BO148">
        <v>42</v>
      </c>
      <c r="BP148">
        <v>10</v>
      </c>
      <c r="BQ148">
        <v>14</v>
      </c>
      <c r="BR148">
        <v>1</v>
      </c>
      <c r="BS148">
        <v>55</v>
      </c>
      <c r="BT148">
        <v>3</v>
      </c>
      <c r="BU148">
        <v>2</v>
      </c>
    </row>
    <row r="149" spans="1:73" x14ac:dyDescent="0.25">
      <c r="A149" s="17">
        <v>43285</v>
      </c>
      <c r="B149">
        <v>30</v>
      </c>
      <c r="C149">
        <v>14</v>
      </c>
      <c r="D149">
        <v>11</v>
      </c>
      <c r="E149">
        <v>5</v>
      </c>
      <c r="F149">
        <v>19</v>
      </c>
      <c r="G149">
        <v>20</v>
      </c>
      <c r="H149">
        <v>9</v>
      </c>
      <c r="I149">
        <v>7</v>
      </c>
      <c r="J149">
        <v>8</v>
      </c>
      <c r="K149">
        <v>6</v>
      </c>
      <c r="L149">
        <v>6</v>
      </c>
      <c r="M149">
        <v>5</v>
      </c>
      <c r="N149">
        <v>6</v>
      </c>
      <c r="O149">
        <v>3</v>
      </c>
      <c r="P149">
        <v>2</v>
      </c>
      <c r="Q149">
        <v>7</v>
      </c>
      <c r="R149">
        <v>13</v>
      </c>
      <c r="S149">
        <v>13</v>
      </c>
      <c r="T149">
        <v>16</v>
      </c>
      <c r="U149">
        <v>14</v>
      </c>
      <c r="V149">
        <v>16</v>
      </c>
      <c r="W149">
        <v>6</v>
      </c>
      <c r="X149">
        <v>12</v>
      </c>
      <c r="Y149">
        <v>2</v>
      </c>
      <c r="Z149">
        <v>12</v>
      </c>
      <c r="AA149">
        <v>6</v>
      </c>
      <c r="AB149">
        <v>11</v>
      </c>
      <c r="AC149">
        <v>2</v>
      </c>
      <c r="AE149">
        <v>2</v>
      </c>
      <c r="AF149">
        <v>2</v>
      </c>
      <c r="AG149">
        <v>3</v>
      </c>
      <c r="AH149">
        <v>2</v>
      </c>
      <c r="AI149">
        <v>7</v>
      </c>
      <c r="AJ149">
        <v>2</v>
      </c>
      <c r="AK149">
        <v>200</v>
      </c>
      <c r="AL149">
        <v>1700</v>
      </c>
      <c r="AM149">
        <v>500</v>
      </c>
      <c r="AN149" t="s">
        <v>46</v>
      </c>
      <c r="AO149" t="s">
        <v>46</v>
      </c>
      <c r="AQ149">
        <v>1</v>
      </c>
      <c r="AS149">
        <v>52</v>
      </c>
      <c r="AT149">
        <v>20</v>
      </c>
      <c r="AV149">
        <v>2</v>
      </c>
      <c r="AW149">
        <v>12</v>
      </c>
      <c r="AX149">
        <v>1280</v>
      </c>
      <c r="AY149">
        <v>2</v>
      </c>
      <c r="AZ149">
        <v>2</v>
      </c>
      <c r="BA149">
        <v>1</v>
      </c>
      <c r="BB149">
        <v>8</v>
      </c>
      <c r="BC149">
        <v>4</v>
      </c>
      <c r="BD149">
        <v>3</v>
      </c>
      <c r="BE149">
        <v>2</v>
      </c>
      <c r="BG149">
        <v>2</v>
      </c>
      <c r="BH149">
        <v>2</v>
      </c>
      <c r="BI149">
        <v>1</v>
      </c>
      <c r="BJ149">
        <v>1</v>
      </c>
      <c r="BK149">
        <v>2</v>
      </c>
      <c r="BL149">
        <v>140</v>
      </c>
      <c r="BM149">
        <v>79</v>
      </c>
      <c r="BN149">
        <v>131</v>
      </c>
      <c r="BO149">
        <v>41</v>
      </c>
      <c r="BP149">
        <v>10</v>
      </c>
      <c r="BQ149">
        <v>14</v>
      </c>
      <c r="BR149">
        <v>1</v>
      </c>
      <c r="BS149">
        <v>55</v>
      </c>
      <c r="BT149">
        <v>3</v>
      </c>
      <c r="BU149">
        <v>2</v>
      </c>
    </row>
    <row r="150" spans="1:73" x14ac:dyDescent="0.25">
      <c r="A150" s="17">
        <v>43290</v>
      </c>
      <c r="B150">
        <v>30</v>
      </c>
      <c r="C150">
        <v>13</v>
      </c>
      <c r="D150">
        <v>11</v>
      </c>
      <c r="E150">
        <v>3</v>
      </c>
      <c r="F150">
        <v>18</v>
      </c>
      <c r="G150">
        <v>19</v>
      </c>
      <c r="H150">
        <v>8</v>
      </c>
      <c r="I150">
        <v>6</v>
      </c>
      <c r="J150">
        <v>8</v>
      </c>
      <c r="K150">
        <v>5</v>
      </c>
      <c r="L150">
        <v>6</v>
      </c>
      <c r="M150">
        <v>5</v>
      </c>
      <c r="N150">
        <v>6</v>
      </c>
      <c r="O150">
        <v>3</v>
      </c>
      <c r="P150">
        <v>2</v>
      </c>
      <c r="Q150">
        <v>5</v>
      </c>
      <c r="R150">
        <v>11</v>
      </c>
      <c r="S150">
        <v>12</v>
      </c>
      <c r="T150">
        <v>15</v>
      </c>
      <c r="U150">
        <v>14</v>
      </c>
      <c r="V150">
        <v>16</v>
      </c>
      <c r="W150">
        <v>6</v>
      </c>
      <c r="X150">
        <v>12</v>
      </c>
      <c r="Y150">
        <v>2</v>
      </c>
      <c r="Z150">
        <v>11</v>
      </c>
      <c r="AA150">
        <v>6</v>
      </c>
      <c r="AB150">
        <v>11</v>
      </c>
      <c r="AC150">
        <v>2</v>
      </c>
      <c r="AE150">
        <v>2</v>
      </c>
      <c r="AF150">
        <v>2</v>
      </c>
      <c r="AG150">
        <v>2</v>
      </c>
      <c r="AH150">
        <v>2</v>
      </c>
      <c r="AI150">
        <v>7</v>
      </c>
      <c r="AJ150">
        <v>2</v>
      </c>
      <c r="AK150">
        <v>200</v>
      </c>
      <c r="AL150">
        <v>1400</v>
      </c>
      <c r="AM150">
        <v>500</v>
      </c>
      <c r="AN150" t="s">
        <v>46</v>
      </c>
      <c r="AO150" t="s">
        <v>46</v>
      </c>
      <c r="AQ150">
        <v>1</v>
      </c>
      <c r="AS150">
        <v>52</v>
      </c>
      <c r="AT150">
        <v>20</v>
      </c>
      <c r="AV150">
        <v>2</v>
      </c>
      <c r="AW150">
        <v>12</v>
      </c>
      <c r="AX150">
        <v>1120</v>
      </c>
      <c r="AY150">
        <v>2</v>
      </c>
      <c r="AZ150">
        <v>2</v>
      </c>
      <c r="BA150">
        <v>1</v>
      </c>
      <c r="BB150">
        <v>8</v>
      </c>
      <c r="BC150">
        <v>4</v>
      </c>
      <c r="BD150">
        <v>2</v>
      </c>
      <c r="BE150">
        <v>2</v>
      </c>
      <c r="BG150">
        <v>2</v>
      </c>
      <c r="BH150">
        <v>2</v>
      </c>
      <c r="BI150">
        <v>1</v>
      </c>
      <c r="BJ150">
        <v>1</v>
      </c>
      <c r="BK150">
        <v>2</v>
      </c>
      <c r="BL150">
        <v>139</v>
      </c>
      <c r="BM150">
        <v>78</v>
      </c>
      <c r="BN150">
        <v>130</v>
      </c>
      <c r="BO150">
        <v>41</v>
      </c>
      <c r="BP150">
        <v>9</v>
      </c>
      <c r="BQ150">
        <v>13</v>
      </c>
      <c r="BR150">
        <v>1</v>
      </c>
      <c r="BS150">
        <v>54</v>
      </c>
      <c r="BT150">
        <v>3</v>
      </c>
      <c r="BU150">
        <v>2</v>
      </c>
    </row>
    <row r="151" spans="1:73" x14ac:dyDescent="0.25">
      <c r="A151" s="17">
        <v>43292</v>
      </c>
      <c r="B151">
        <v>30</v>
      </c>
      <c r="C151">
        <v>12</v>
      </c>
      <c r="D151">
        <v>10</v>
      </c>
      <c r="E151">
        <v>3</v>
      </c>
      <c r="F151">
        <v>18</v>
      </c>
      <c r="G151">
        <v>19</v>
      </c>
      <c r="H151">
        <v>8</v>
      </c>
      <c r="I151">
        <v>6</v>
      </c>
      <c r="J151">
        <v>8</v>
      </c>
      <c r="K151">
        <v>5</v>
      </c>
      <c r="L151">
        <v>6</v>
      </c>
      <c r="M151">
        <v>5</v>
      </c>
      <c r="N151">
        <v>6</v>
      </c>
      <c r="O151">
        <v>3</v>
      </c>
      <c r="P151">
        <v>2</v>
      </c>
      <c r="Q151">
        <v>5</v>
      </c>
      <c r="R151">
        <v>11</v>
      </c>
      <c r="S151">
        <v>12</v>
      </c>
      <c r="T151">
        <v>15</v>
      </c>
      <c r="U151">
        <v>14</v>
      </c>
      <c r="V151">
        <v>16</v>
      </c>
      <c r="W151">
        <v>6</v>
      </c>
      <c r="X151">
        <v>11</v>
      </c>
      <c r="Y151">
        <v>2</v>
      </c>
      <c r="Z151">
        <v>11</v>
      </c>
      <c r="AA151">
        <v>5</v>
      </c>
      <c r="AB151">
        <v>11</v>
      </c>
      <c r="AC151">
        <v>2</v>
      </c>
      <c r="AE151">
        <v>2</v>
      </c>
      <c r="AF151">
        <v>2</v>
      </c>
      <c r="AG151">
        <v>2</v>
      </c>
      <c r="AH151">
        <v>2</v>
      </c>
      <c r="AI151">
        <v>7</v>
      </c>
      <c r="AJ151">
        <v>2</v>
      </c>
      <c r="AK151">
        <v>200</v>
      </c>
      <c r="AL151">
        <v>1400</v>
      </c>
      <c r="AM151">
        <v>500</v>
      </c>
      <c r="AN151" t="s">
        <v>46</v>
      </c>
      <c r="AO151" t="s">
        <v>46</v>
      </c>
      <c r="AQ151">
        <v>1</v>
      </c>
      <c r="AS151">
        <v>52</v>
      </c>
      <c r="AT151">
        <v>20</v>
      </c>
      <c r="AV151">
        <v>2</v>
      </c>
      <c r="AW151">
        <v>12</v>
      </c>
      <c r="AX151">
        <v>1025</v>
      </c>
      <c r="AY151">
        <v>2</v>
      </c>
      <c r="AZ151">
        <v>2</v>
      </c>
      <c r="BA151">
        <v>1</v>
      </c>
      <c r="BB151">
        <v>8</v>
      </c>
      <c r="BC151">
        <v>4</v>
      </c>
      <c r="BD151">
        <v>2</v>
      </c>
      <c r="BE151">
        <v>2</v>
      </c>
      <c r="BG151">
        <v>2</v>
      </c>
      <c r="BH151">
        <v>2</v>
      </c>
      <c r="BI151">
        <v>1</v>
      </c>
      <c r="BJ151">
        <v>1</v>
      </c>
      <c r="BK151">
        <v>2</v>
      </c>
      <c r="BL151">
        <v>139</v>
      </c>
      <c r="BM151">
        <v>78</v>
      </c>
      <c r="BN151">
        <v>130</v>
      </c>
      <c r="BO151">
        <v>41</v>
      </c>
      <c r="BP151">
        <v>9</v>
      </c>
      <c r="BQ151">
        <v>13</v>
      </c>
      <c r="BR151">
        <v>1</v>
      </c>
      <c r="BS151">
        <v>54</v>
      </c>
      <c r="BT151">
        <v>3</v>
      </c>
      <c r="BU151">
        <v>2</v>
      </c>
    </row>
    <row r="152" spans="1:73" x14ac:dyDescent="0.25">
      <c r="A152" s="17">
        <v>43293</v>
      </c>
      <c r="B152">
        <v>30</v>
      </c>
      <c r="C152">
        <v>12</v>
      </c>
      <c r="D152">
        <v>10</v>
      </c>
      <c r="E152">
        <v>3</v>
      </c>
      <c r="F152">
        <v>18</v>
      </c>
      <c r="G152">
        <v>19</v>
      </c>
      <c r="H152">
        <v>8</v>
      </c>
      <c r="I152">
        <v>6</v>
      </c>
      <c r="J152">
        <v>8</v>
      </c>
      <c r="K152">
        <v>5</v>
      </c>
      <c r="L152">
        <v>6</v>
      </c>
      <c r="M152">
        <v>5</v>
      </c>
      <c r="N152">
        <v>6</v>
      </c>
      <c r="O152">
        <v>3</v>
      </c>
      <c r="P152">
        <v>2</v>
      </c>
      <c r="Q152">
        <v>5</v>
      </c>
      <c r="R152">
        <v>11</v>
      </c>
      <c r="S152">
        <v>12</v>
      </c>
      <c r="T152">
        <v>15</v>
      </c>
      <c r="U152">
        <v>14</v>
      </c>
      <c r="V152">
        <v>16</v>
      </c>
      <c r="W152">
        <v>6</v>
      </c>
      <c r="X152">
        <v>11</v>
      </c>
      <c r="Y152">
        <v>2</v>
      </c>
      <c r="Z152">
        <v>11</v>
      </c>
      <c r="AA152">
        <v>5</v>
      </c>
      <c r="AB152">
        <v>11</v>
      </c>
      <c r="AC152">
        <v>2</v>
      </c>
      <c r="AE152">
        <v>2</v>
      </c>
      <c r="AF152">
        <v>2</v>
      </c>
      <c r="AG152">
        <v>2</v>
      </c>
      <c r="AH152">
        <v>1</v>
      </c>
      <c r="AI152">
        <v>7</v>
      </c>
      <c r="AJ152">
        <v>2</v>
      </c>
      <c r="AK152">
        <v>200</v>
      </c>
      <c r="AL152">
        <v>1400</v>
      </c>
      <c r="AM152">
        <v>500</v>
      </c>
      <c r="AN152" t="s">
        <v>46</v>
      </c>
      <c r="AO152" t="s">
        <v>46</v>
      </c>
      <c r="AQ152">
        <v>1</v>
      </c>
      <c r="AS152">
        <v>52</v>
      </c>
      <c r="AT152">
        <v>20</v>
      </c>
      <c r="AV152">
        <v>2</v>
      </c>
      <c r="AW152">
        <v>12</v>
      </c>
      <c r="AX152">
        <v>980</v>
      </c>
      <c r="AY152">
        <v>2</v>
      </c>
      <c r="AZ152">
        <v>1</v>
      </c>
      <c r="BA152">
        <v>1</v>
      </c>
      <c r="BB152">
        <v>8</v>
      </c>
      <c r="BC152">
        <v>4</v>
      </c>
      <c r="BD152">
        <v>2</v>
      </c>
      <c r="BE152">
        <v>2</v>
      </c>
      <c r="BG152">
        <v>2</v>
      </c>
      <c r="BH152">
        <v>2</v>
      </c>
      <c r="BI152">
        <v>1</v>
      </c>
      <c r="BJ152">
        <v>1</v>
      </c>
      <c r="BK152">
        <v>2</v>
      </c>
      <c r="BL152">
        <v>139</v>
      </c>
      <c r="BM152">
        <v>78</v>
      </c>
      <c r="BN152">
        <v>129</v>
      </c>
      <c r="BO152">
        <v>39</v>
      </c>
      <c r="BP152">
        <v>9</v>
      </c>
      <c r="BQ152">
        <v>13</v>
      </c>
      <c r="BR152">
        <v>0</v>
      </c>
      <c r="BS152">
        <v>54</v>
      </c>
      <c r="BT152">
        <v>3</v>
      </c>
      <c r="BU152">
        <v>2</v>
      </c>
    </row>
    <row r="153" spans="1:73" x14ac:dyDescent="0.25">
      <c r="A153" s="17">
        <v>43304</v>
      </c>
      <c r="B153">
        <v>29</v>
      </c>
      <c r="C153">
        <v>8</v>
      </c>
      <c r="D153">
        <v>9</v>
      </c>
      <c r="E153">
        <v>3</v>
      </c>
      <c r="F153">
        <v>18</v>
      </c>
      <c r="G153">
        <v>19</v>
      </c>
      <c r="H153">
        <v>7</v>
      </c>
      <c r="I153">
        <v>5</v>
      </c>
      <c r="J153">
        <v>7</v>
      </c>
      <c r="K153">
        <v>5</v>
      </c>
      <c r="L153">
        <v>6</v>
      </c>
      <c r="M153">
        <v>5</v>
      </c>
      <c r="N153">
        <v>5</v>
      </c>
      <c r="O153">
        <v>3</v>
      </c>
      <c r="P153">
        <v>1</v>
      </c>
      <c r="Q153">
        <v>4</v>
      </c>
      <c r="R153">
        <v>9</v>
      </c>
      <c r="S153">
        <v>12</v>
      </c>
      <c r="T153">
        <v>15</v>
      </c>
      <c r="U153">
        <v>13</v>
      </c>
      <c r="V153">
        <v>15</v>
      </c>
      <c r="W153">
        <v>5</v>
      </c>
      <c r="X153">
        <v>10</v>
      </c>
      <c r="Y153">
        <v>2</v>
      </c>
      <c r="Z153">
        <v>10</v>
      </c>
      <c r="AA153">
        <v>3</v>
      </c>
      <c r="AB153">
        <v>11</v>
      </c>
      <c r="AC153">
        <v>2</v>
      </c>
      <c r="AE153">
        <v>2</v>
      </c>
      <c r="AF153">
        <v>1</v>
      </c>
      <c r="AG153">
        <v>2</v>
      </c>
      <c r="AH153">
        <v>3</v>
      </c>
      <c r="AI153">
        <v>7</v>
      </c>
      <c r="AJ153">
        <v>1</v>
      </c>
      <c r="AK153">
        <v>200</v>
      </c>
      <c r="AL153">
        <v>9000</v>
      </c>
      <c r="AM153">
        <v>460</v>
      </c>
      <c r="AN153" t="s">
        <v>46</v>
      </c>
      <c r="AO153" t="s">
        <v>46</v>
      </c>
      <c r="AQ153">
        <v>1</v>
      </c>
      <c r="AS153">
        <v>52</v>
      </c>
      <c r="AT153">
        <v>20</v>
      </c>
      <c r="AV153">
        <v>2</v>
      </c>
      <c r="AW153">
        <v>8</v>
      </c>
      <c r="AX153">
        <v>2480</v>
      </c>
      <c r="AY153">
        <v>2</v>
      </c>
      <c r="AZ153">
        <v>3</v>
      </c>
      <c r="BA153">
        <v>1</v>
      </c>
      <c r="BB153">
        <v>6</v>
      </c>
      <c r="BC153">
        <v>2</v>
      </c>
      <c r="BD153">
        <v>1</v>
      </c>
      <c r="BE153">
        <v>2</v>
      </c>
      <c r="BG153">
        <v>3</v>
      </c>
      <c r="BH153">
        <v>2</v>
      </c>
      <c r="BI153">
        <v>1</v>
      </c>
      <c r="BJ153">
        <v>1</v>
      </c>
      <c r="BK153">
        <v>1</v>
      </c>
      <c r="BL153">
        <v>137</v>
      </c>
      <c r="BM153">
        <v>76</v>
      </c>
      <c r="BN153">
        <v>128</v>
      </c>
      <c r="BO153">
        <v>38</v>
      </c>
      <c r="BP153">
        <v>8</v>
      </c>
      <c r="BQ153">
        <v>13</v>
      </c>
      <c r="BR153">
        <v>1</v>
      </c>
      <c r="BS153">
        <v>53</v>
      </c>
      <c r="BT153">
        <v>2</v>
      </c>
      <c r="BU153">
        <v>1</v>
      </c>
    </row>
    <row r="154" spans="1:73" x14ac:dyDescent="0.25">
      <c r="A154" s="17">
        <v>43305</v>
      </c>
      <c r="B154">
        <v>29</v>
      </c>
      <c r="C154">
        <v>8</v>
      </c>
      <c r="D154">
        <v>9</v>
      </c>
      <c r="E154">
        <v>3</v>
      </c>
      <c r="F154">
        <v>18</v>
      </c>
      <c r="G154">
        <v>19</v>
      </c>
      <c r="H154">
        <v>17</v>
      </c>
      <c r="I154">
        <v>5</v>
      </c>
      <c r="J154">
        <v>7</v>
      </c>
      <c r="K154">
        <v>5</v>
      </c>
      <c r="L154">
        <v>6</v>
      </c>
      <c r="M154">
        <v>5</v>
      </c>
      <c r="N154">
        <v>5</v>
      </c>
      <c r="O154">
        <v>3</v>
      </c>
      <c r="P154">
        <v>3</v>
      </c>
      <c r="Q154">
        <v>4</v>
      </c>
      <c r="R154">
        <v>9</v>
      </c>
      <c r="S154">
        <v>12</v>
      </c>
      <c r="T154">
        <v>15</v>
      </c>
      <c r="U154">
        <v>13</v>
      </c>
      <c r="V154">
        <v>15</v>
      </c>
      <c r="W154">
        <v>5</v>
      </c>
      <c r="X154">
        <v>10</v>
      </c>
      <c r="Y154">
        <v>2</v>
      </c>
      <c r="Z154">
        <v>10</v>
      </c>
      <c r="AA154">
        <v>3</v>
      </c>
      <c r="AB154">
        <v>11</v>
      </c>
      <c r="AC154">
        <v>2</v>
      </c>
      <c r="AE154">
        <v>2</v>
      </c>
      <c r="AF154">
        <v>3</v>
      </c>
      <c r="AG154">
        <v>2</v>
      </c>
      <c r="AH154">
        <v>3</v>
      </c>
      <c r="AI154">
        <v>7</v>
      </c>
      <c r="AJ154">
        <v>9</v>
      </c>
      <c r="AK154">
        <v>200</v>
      </c>
      <c r="AL154">
        <v>9000</v>
      </c>
      <c r="AM154">
        <v>460</v>
      </c>
      <c r="AN154" t="s">
        <v>46</v>
      </c>
      <c r="AO154" t="s">
        <v>46</v>
      </c>
      <c r="AQ154">
        <v>1</v>
      </c>
      <c r="AS154">
        <v>52</v>
      </c>
      <c r="AT154">
        <v>20</v>
      </c>
      <c r="AV154">
        <v>2</v>
      </c>
      <c r="AW154">
        <v>8</v>
      </c>
      <c r="AX154">
        <v>2480</v>
      </c>
      <c r="AY154">
        <v>2</v>
      </c>
      <c r="AZ154">
        <v>3</v>
      </c>
      <c r="BA154">
        <v>1</v>
      </c>
      <c r="BB154">
        <v>6</v>
      </c>
      <c r="BC154">
        <v>12</v>
      </c>
      <c r="BD154">
        <v>1</v>
      </c>
      <c r="BE154">
        <v>2</v>
      </c>
      <c r="BG154">
        <v>3</v>
      </c>
      <c r="BH154">
        <v>2</v>
      </c>
      <c r="BI154">
        <v>1</v>
      </c>
      <c r="BJ154">
        <v>1</v>
      </c>
      <c r="BK154">
        <v>1</v>
      </c>
      <c r="BL154">
        <v>137</v>
      </c>
      <c r="BM154">
        <v>76</v>
      </c>
      <c r="BN154">
        <v>128</v>
      </c>
      <c r="BO154">
        <v>38</v>
      </c>
      <c r="BP154">
        <v>8</v>
      </c>
      <c r="BQ154">
        <v>13</v>
      </c>
      <c r="BR154">
        <v>1</v>
      </c>
      <c r="BS154">
        <v>53</v>
      </c>
      <c r="BT154">
        <v>2</v>
      </c>
      <c r="BU154">
        <v>1</v>
      </c>
    </row>
    <row r="155" spans="1:73" x14ac:dyDescent="0.25">
      <c r="A155" s="17">
        <v>43306</v>
      </c>
      <c r="B155">
        <v>29</v>
      </c>
      <c r="C155">
        <v>8</v>
      </c>
      <c r="D155">
        <v>9</v>
      </c>
      <c r="E155">
        <v>3</v>
      </c>
      <c r="F155">
        <v>18</v>
      </c>
      <c r="G155">
        <v>19</v>
      </c>
      <c r="H155">
        <v>17</v>
      </c>
      <c r="I155">
        <v>5</v>
      </c>
      <c r="J155">
        <v>7</v>
      </c>
      <c r="K155">
        <v>5</v>
      </c>
      <c r="L155">
        <v>6</v>
      </c>
      <c r="M155">
        <v>5</v>
      </c>
      <c r="N155">
        <v>5</v>
      </c>
      <c r="O155">
        <v>3</v>
      </c>
      <c r="P155">
        <v>3</v>
      </c>
      <c r="Q155">
        <v>4</v>
      </c>
      <c r="R155">
        <v>9</v>
      </c>
      <c r="S155">
        <v>12</v>
      </c>
      <c r="T155">
        <v>15</v>
      </c>
      <c r="U155">
        <v>13</v>
      </c>
      <c r="V155">
        <v>15</v>
      </c>
      <c r="W155">
        <v>5</v>
      </c>
      <c r="X155">
        <v>10</v>
      </c>
      <c r="Y155">
        <v>2</v>
      </c>
      <c r="Z155">
        <v>10</v>
      </c>
      <c r="AA155">
        <v>3</v>
      </c>
      <c r="AB155">
        <v>11</v>
      </c>
      <c r="AC155">
        <v>2</v>
      </c>
      <c r="AE155">
        <v>2</v>
      </c>
      <c r="AF155">
        <v>3</v>
      </c>
      <c r="AG155">
        <v>2</v>
      </c>
      <c r="AH155">
        <v>3</v>
      </c>
      <c r="AI155">
        <v>7</v>
      </c>
      <c r="AJ155">
        <v>9</v>
      </c>
      <c r="AK155">
        <v>200</v>
      </c>
      <c r="AL155">
        <v>9000</v>
      </c>
      <c r="AM155">
        <v>460</v>
      </c>
      <c r="AN155" t="s">
        <v>46</v>
      </c>
      <c r="AO155" t="s">
        <v>46</v>
      </c>
      <c r="AQ155">
        <v>1</v>
      </c>
      <c r="AS155">
        <v>52</v>
      </c>
      <c r="AT155">
        <v>20</v>
      </c>
      <c r="AV155">
        <v>2</v>
      </c>
      <c r="AW155">
        <v>8</v>
      </c>
      <c r="AX155">
        <v>2480</v>
      </c>
      <c r="AY155">
        <v>2</v>
      </c>
      <c r="AZ155">
        <v>3</v>
      </c>
      <c r="BA155">
        <v>1</v>
      </c>
      <c r="BB155">
        <v>6</v>
      </c>
      <c r="BC155">
        <v>12</v>
      </c>
      <c r="BD155">
        <v>1</v>
      </c>
      <c r="BE155">
        <v>2</v>
      </c>
      <c r="BG155">
        <v>3</v>
      </c>
      <c r="BH155">
        <v>2</v>
      </c>
      <c r="BI155">
        <v>1</v>
      </c>
      <c r="BJ155">
        <v>1</v>
      </c>
      <c r="BK155">
        <v>1</v>
      </c>
      <c r="BL155">
        <v>137</v>
      </c>
      <c r="BM155">
        <v>76</v>
      </c>
      <c r="BN155">
        <v>128</v>
      </c>
      <c r="BO155">
        <v>38</v>
      </c>
      <c r="BP155">
        <v>8</v>
      </c>
      <c r="BQ155">
        <v>13</v>
      </c>
      <c r="BR155">
        <v>1</v>
      </c>
      <c r="BS155">
        <v>53</v>
      </c>
      <c r="BT155">
        <v>2</v>
      </c>
      <c r="BU155">
        <v>1</v>
      </c>
    </row>
    <row r="156" spans="1:73" x14ac:dyDescent="0.25">
      <c r="A156" s="17">
        <v>43308</v>
      </c>
      <c r="B156">
        <v>29</v>
      </c>
      <c r="C156">
        <v>7</v>
      </c>
      <c r="D156">
        <v>9</v>
      </c>
      <c r="E156">
        <v>2</v>
      </c>
      <c r="F156">
        <v>18</v>
      </c>
      <c r="G156">
        <v>19</v>
      </c>
      <c r="H156">
        <v>17</v>
      </c>
      <c r="I156">
        <v>5</v>
      </c>
      <c r="J156">
        <v>7</v>
      </c>
      <c r="K156">
        <v>5</v>
      </c>
      <c r="L156">
        <v>6</v>
      </c>
      <c r="M156">
        <v>5</v>
      </c>
      <c r="N156">
        <v>5</v>
      </c>
      <c r="O156">
        <v>3</v>
      </c>
      <c r="P156">
        <v>3</v>
      </c>
      <c r="Q156">
        <v>3</v>
      </c>
      <c r="R156">
        <v>8</v>
      </c>
      <c r="S156">
        <v>12</v>
      </c>
      <c r="T156">
        <v>15</v>
      </c>
      <c r="U156">
        <v>13</v>
      </c>
      <c r="V156">
        <v>15</v>
      </c>
      <c r="W156">
        <v>5</v>
      </c>
      <c r="X156">
        <v>10</v>
      </c>
      <c r="Y156">
        <v>2</v>
      </c>
      <c r="Z156">
        <v>10</v>
      </c>
      <c r="AA156">
        <v>3</v>
      </c>
      <c r="AB156">
        <v>10</v>
      </c>
      <c r="AC156">
        <v>2</v>
      </c>
      <c r="AE156">
        <v>2</v>
      </c>
      <c r="AF156">
        <v>3</v>
      </c>
      <c r="AG156">
        <v>2</v>
      </c>
      <c r="AH156">
        <v>3</v>
      </c>
      <c r="AI156">
        <v>7</v>
      </c>
      <c r="AJ156">
        <v>8</v>
      </c>
      <c r="AK156">
        <v>200</v>
      </c>
      <c r="AL156">
        <v>8800</v>
      </c>
      <c r="AM156">
        <v>460</v>
      </c>
      <c r="AN156" t="s">
        <v>46</v>
      </c>
      <c r="AO156" t="s">
        <v>46</v>
      </c>
      <c r="AQ156">
        <v>1</v>
      </c>
      <c r="AS156">
        <v>52</v>
      </c>
      <c r="AT156">
        <v>20</v>
      </c>
      <c r="AV156">
        <v>2</v>
      </c>
      <c r="AW156">
        <v>8</v>
      </c>
      <c r="AX156">
        <v>2330</v>
      </c>
      <c r="AY156">
        <v>2</v>
      </c>
      <c r="AZ156">
        <v>3</v>
      </c>
      <c r="BA156">
        <v>1</v>
      </c>
      <c r="BB156">
        <v>6</v>
      </c>
      <c r="BC156">
        <v>12</v>
      </c>
      <c r="BD156">
        <v>1</v>
      </c>
      <c r="BE156">
        <v>2</v>
      </c>
      <c r="BG156">
        <v>3</v>
      </c>
      <c r="BH156">
        <v>2</v>
      </c>
      <c r="BI156">
        <v>1</v>
      </c>
      <c r="BJ156">
        <v>1</v>
      </c>
      <c r="BK156">
        <v>1</v>
      </c>
      <c r="BL156">
        <v>136</v>
      </c>
      <c r="BM156">
        <v>76</v>
      </c>
      <c r="BN156">
        <v>127</v>
      </c>
      <c r="BO156">
        <v>37</v>
      </c>
      <c r="BP156">
        <v>8</v>
      </c>
      <c r="BQ156">
        <v>12</v>
      </c>
      <c r="BR156">
        <v>1</v>
      </c>
      <c r="BS156">
        <v>53</v>
      </c>
      <c r="BT156">
        <v>2</v>
      </c>
      <c r="BU156">
        <v>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"/>
  <sheetViews>
    <sheetView workbookViewId="0">
      <selection activeCell="P407" sqref="P40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3"/>
  <dimension ref="A1"/>
  <sheetViews>
    <sheetView topLeftCell="A98" workbookViewId="0">
      <selection activeCell="M111" sqref="M11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On Machine</vt:lpstr>
      <vt:lpstr>On Shelf</vt:lpstr>
      <vt:lpstr>Machine history</vt:lpstr>
      <vt:lpstr>Shelf history</vt:lpstr>
      <vt:lpstr>Machine history chart</vt:lpstr>
      <vt:lpstr>Shelf history chart</vt:lpstr>
    </vt:vector>
  </TitlesOfParts>
  <Company>Texas Health Resources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Ainsworth, Eric</dc:creator>
  <cp:lastModifiedBy>Eric Ainsworth</cp:lastModifiedBy>
  <cp:lastPrinted>2018-07-28T01:07:31Z</cp:lastPrinted>
  <dcterms:created xsi:type="dcterms:W3CDTF">2017-08-15T23:20:47Z</dcterms:created>
  <dcterms:modified xsi:type="dcterms:W3CDTF">2018-08-07T15:40:19Z</dcterms:modified>
</cp:coreProperties>
</file>